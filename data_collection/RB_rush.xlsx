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eck\Downloads\"/>
    </mc:Choice>
  </mc:AlternateContent>
  <xr:revisionPtr revIDLastSave="0" documentId="13_ncr:1_{D14499D9-5B16-4943-8F7B-A78118C56A85}" xr6:coauthVersionLast="47" xr6:coauthVersionMax="47" xr10:uidLastSave="{00000000-0000-0000-0000-000000000000}"/>
  <bookViews>
    <workbookView xWindow="-98" yWindow="-98" windowWidth="21795" windowHeight="12975" xr2:uid="{B5B132BB-1B3B-4D7D-A48A-707D460A42B9}"/>
  </bookViews>
  <sheets>
    <sheet name="RB_rush" sheetId="1" r:id="rId1"/>
    <sheet name="RYOE" sheetId="3" r:id="rId2"/>
    <sheet name="RBW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1438" i="1" l="1" a="1"/>
  <c r="K1438" i="1" s="1"/>
  <c r="K1441" i="1" a="1"/>
  <c r="K1441" i="1" s="1"/>
  <c r="D1441" i="1"/>
  <c r="C1441" i="1"/>
  <c r="D1440" i="1"/>
  <c r="K1440" i="1" s="1" a="1"/>
  <c r="K1440" i="1" s="1"/>
  <c r="C1440" i="1"/>
  <c r="D1439" i="1"/>
  <c r="K1439" i="1" s="1" a="1"/>
  <c r="K1439" i="1" s="1"/>
  <c r="C1439" i="1"/>
  <c r="D1438" i="1"/>
  <c r="C1438" i="1"/>
  <c r="D1437" i="1"/>
  <c r="K1437" i="1" s="1" a="1"/>
  <c r="K1437" i="1" s="1"/>
  <c r="C1437" i="1"/>
  <c r="D1436" i="1"/>
  <c r="K1436" i="1" s="1" a="1"/>
  <c r="K1436" i="1" s="1"/>
  <c r="C1436" i="1"/>
  <c r="D1435" i="1"/>
  <c r="K1435" i="1" s="1" a="1"/>
  <c r="K1435" i="1" s="1"/>
  <c r="C1435" i="1"/>
  <c r="D1434" i="1"/>
  <c r="K1434" i="1" s="1" a="1"/>
  <c r="K1434" i="1" s="1"/>
  <c r="C1434" i="1"/>
  <c r="D1433" i="1"/>
  <c r="K1433" i="1" s="1" a="1"/>
  <c r="K1433" i="1" s="1"/>
  <c r="C1433" i="1"/>
  <c r="D1432" i="1"/>
  <c r="K1432" i="1" s="1" a="1"/>
  <c r="K1432" i="1" s="1"/>
  <c r="C1432" i="1"/>
  <c r="D1431" i="1"/>
  <c r="K1431" i="1" s="1" a="1"/>
  <c r="K1431" i="1" s="1"/>
  <c r="C1431" i="1"/>
  <c r="D1430" i="1"/>
  <c r="K1430" i="1" s="1" a="1"/>
  <c r="K1430" i="1" s="1"/>
  <c r="C1430" i="1"/>
  <c r="D1429" i="1"/>
  <c r="K1429" i="1" s="1" a="1"/>
  <c r="K1429" i="1" s="1"/>
  <c r="C1429" i="1"/>
  <c r="D1428" i="1"/>
  <c r="K1428" i="1" s="1" a="1"/>
  <c r="K1428" i="1" s="1"/>
  <c r="C1428" i="1"/>
  <c r="D1427" i="1"/>
  <c r="K1427" i="1" s="1" a="1"/>
  <c r="K1427" i="1" s="1"/>
  <c r="C1427" i="1"/>
  <c r="D1426" i="1"/>
  <c r="K1426" i="1" s="1" a="1"/>
  <c r="K1426" i="1" s="1"/>
  <c r="C1426" i="1"/>
  <c r="D1425" i="1"/>
  <c r="K1425" i="1" s="1" a="1"/>
  <c r="K1425" i="1" s="1"/>
  <c r="C1425" i="1"/>
  <c r="D1424" i="1"/>
  <c r="K1424" i="1" s="1" a="1"/>
  <c r="K1424" i="1" s="1"/>
  <c r="C1424" i="1"/>
  <c r="D1423" i="1"/>
  <c r="K1423" i="1" s="1" a="1"/>
  <c r="K1423" i="1" s="1"/>
  <c r="C1423" i="1"/>
  <c r="D1422" i="1"/>
  <c r="K1422" i="1" s="1" a="1"/>
  <c r="K1422" i="1" s="1"/>
  <c r="C1422" i="1"/>
  <c r="D1421" i="1"/>
  <c r="K1421" i="1" s="1" a="1"/>
  <c r="K1421" i="1" s="1"/>
  <c r="C1421" i="1"/>
  <c r="D1420" i="1"/>
  <c r="K1420" i="1" s="1" a="1"/>
  <c r="K1420" i="1" s="1"/>
  <c r="C1420" i="1"/>
  <c r="D1419" i="1"/>
  <c r="K1419" i="1" s="1" a="1"/>
  <c r="K1419" i="1" s="1"/>
  <c r="C1419" i="1"/>
  <c r="D1418" i="1"/>
  <c r="K1418" i="1" s="1" a="1"/>
  <c r="K1418" i="1" s="1"/>
  <c r="C1418" i="1"/>
  <c r="D1417" i="1"/>
  <c r="K1417" i="1" s="1" a="1"/>
  <c r="K1417" i="1" s="1"/>
  <c r="C1417" i="1"/>
  <c r="D1416" i="1"/>
  <c r="K1416" i="1" s="1" a="1"/>
  <c r="K1416" i="1" s="1"/>
  <c r="C1416" i="1"/>
  <c r="D1415" i="1"/>
  <c r="K1415" i="1" s="1" a="1"/>
  <c r="K1415" i="1" s="1"/>
  <c r="C1415" i="1"/>
  <c r="D1414" i="1"/>
  <c r="K1414" i="1" s="1" a="1"/>
  <c r="K1414" i="1" s="1"/>
  <c r="C1414" i="1"/>
  <c r="D1413" i="1"/>
  <c r="K1413" i="1" s="1" a="1"/>
  <c r="K1413" i="1" s="1"/>
  <c r="C1413" i="1"/>
  <c r="D1412" i="1"/>
  <c r="K1412" i="1" s="1" a="1"/>
  <c r="K1412" i="1" s="1"/>
  <c r="C1412" i="1"/>
  <c r="D1411" i="1"/>
  <c r="K1411" i="1" s="1" a="1"/>
  <c r="K1411" i="1" s="1"/>
  <c r="C1411" i="1"/>
  <c r="D1410" i="1"/>
  <c r="K1410" i="1" s="1" a="1"/>
  <c r="K1410" i="1" s="1"/>
  <c r="C1410" i="1"/>
  <c r="D1409" i="1"/>
  <c r="K1409" i="1" s="1" a="1"/>
  <c r="K1409" i="1" s="1"/>
  <c r="C1409" i="1"/>
  <c r="D1408" i="1"/>
  <c r="K1408" i="1" s="1" a="1"/>
  <c r="K1408" i="1" s="1"/>
  <c r="C1408" i="1"/>
  <c r="D1407" i="1"/>
  <c r="K1407" i="1" s="1" a="1"/>
  <c r="K1407" i="1" s="1"/>
  <c r="C1407" i="1"/>
  <c r="D1406" i="1"/>
  <c r="K1406" i="1" s="1" a="1"/>
  <c r="K1406" i="1" s="1"/>
  <c r="C1406" i="1"/>
  <c r="D1405" i="1"/>
  <c r="K1405" i="1" s="1" a="1"/>
  <c r="K1405" i="1" s="1"/>
  <c r="C1405" i="1"/>
  <c r="D1404" i="1"/>
  <c r="K1404" i="1" s="1" a="1"/>
  <c r="K1404" i="1" s="1"/>
  <c r="C1404" i="1"/>
  <c r="D1403" i="1"/>
  <c r="K1403" i="1" s="1" a="1"/>
  <c r="K1403" i="1" s="1"/>
  <c r="C1403" i="1"/>
  <c r="D1402" i="1"/>
  <c r="K1402" i="1" s="1" a="1"/>
  <c r="K1402" i="1" s="1"/>
  <c r="C1402" i="1"/>
  <c r="D1401" i="1"/>
  <c r="K1401" i="1" s="1" a="1"/>
  <c r="K1401" i="1" s="1"/>
  <c r="C1401" i="1"/>
  <c r="D1400" i="1"/>
  <c r="K1400" i="1" s="1" a="1"/>
  <c r="K1400" i="1" s="1"/>
  <c r="C1400" i="1"/>
  <c r="D1399" i="1"/>
  <c r="K1399" i="1" s="1" a="1"/>
  <c r="K1399" i="1" s="1"/>
  <c r="C1399" i="1"/>
  <c r="D1398" i="1"/>
  <c r="K1398" i="1" s="1" a="1"/>
  <c r="K1398" i="1" s="1"/>
  <c r="C1398" i="1"/>
  <c r="D1397" i="1"/>
  <c r="K1397" i="1" s="1" a="1"/>
  <c r="K1397" i="1" s="1"/>
  <c r="C1397" i="1"/>
  <c r="D1396" i="1"/>
  <c r="K1396" i="1" s="1" a="1"/>
  <c r="K1396" i="1" s="1"/>
  <c r="C1396" i="1"/>
  <c r="D1395" i="1"/>
  <c r="K1395" i="1" s="1" a="1"/>
  <c r="K1395" i="1" s="1"/>
  <c r="C1395" i="1"/>
  <c r="D1394" i="1"/>
  <c r="K1394" i="1" s="1" a="1"/>
  <c r="K1394" i="1" s="1"/>
  <c r="C1394" i="1"/>
  <c r="D1393" i="1"/>
  <c r="K1393" i="1" s="1" a="1"/>
  <c r="K1393" i="1" s="1"/>
  <c r="C1393" i="1"/>
  <c r="D1392" i="1"/>
  <c r="K1392" i="1" s="1" a="1"/>
  <c r="K1392" i="1" s="1"/>
  <c r="C1392" i="1"/>
  <c r="D1391" i="1"/>
  <c r="K1391" i="1" s="1" a="1"/>
  <c r="K1391" i="1" s="1"/>
  <c r="C1391" i="1"/>
  <c r="D1390" i="1"/>
  <c r="K1390" i="1" s="1" a="1"/>
  <c r="K1390" i="1" s="1"/>
  <c r="C1390" i="1"/>
  <c r="D1389" i="1"/>
  <c r="K1389" i="1" s="1" a="1"/>
  <c r="K1389" i="1" s="1"/>
  <c r="C1389" i="1"/>
  <c r="D1388" i="1"/>
  <c r="K1388" i="1" s="1" a="1"/>
  <c r="K1388" i="1" s="1"/>
  <c r="C1388" i="1"/>
  <c r="D1387" i="1"/>
  <c r="K1387" i="1" s="1" a="1"/>
  <c r="K1387" i="1" s="1"/>
  <c r="C1387" i="1"/>
  <c r="D1386" i="1"/>
  <c r="K1386" i="1" s="1" a="1"/>
  <c r="K1386" i="1" s="1"/>
  <c r="C1386" i="1"/>
  <c r="D1385" i="1"/>
  <c r="K1385" i="1" s="1" a="1"/>
  <c r="K1385" i="1" s="1"/>
  <c r="C1385" i="1"/>
  <c r="D1384" i="1"/>
  <c r="K1384" i="1" s="1" a="1"/>
  <c r="K1384" i="1" s="1"/>
  <c r="C1384" i="1"/>
  <c r="D1383" i="1"/>
  <c r="K1383" i="1" s="1" a="1"/>
  <c r="K1383" i="1" s="1"/>
  <c r="C1383" i="1"/>
  <c r="D1382" i="1"/>
  <c r="K1382" i="1" s="1" a="1"/>
  <c r="K1382" i="1" s="1"/>
  <c r="C1382" i="1"/>
  <c r="D1381" i="1"/>
  <c r="K1381" i="1" s="1" a="1"/>
  <c r="K1381" i="1" s="1"/>
  <c r="C1381" i="1"/>
  <c r="D1380" i="1"/>
  <c r="K1380" i="1" s="1" a="1"/>
  <c r="K1380" i="1" s="1"/>
  <c r="C1380" i="1"/>
  <c r="D1379" i="1"/>
  <c r="K1379" i="1" s="1" a="1"/>
  <c r="K1379" i="1" s="1"/>
  <c r="C1379" i="1"/>
  <c r="D1378" i="1"/>
  <c r="K1378" i="1" s="1" a="1"/>
  <c r="K1378" i="1" s="1"/>
  <c r="C1378" i="1"/>
  <c r="D1377" i="1"/>
  <c r="K1377" i="1" s="1" a="1"/>
  <c r="K1377" i="1" s="1"/>
  <c r="C1377" i="1"/>
  <c r="D1376" i="1"/>
  <c r="K1376" i="1" s="1" a="1"/>
  <c r="K1376" i="1" s="1"/>
  <c r="C1376" i="1"/>
  <c r="D1375" i="1"/>
  <c r="K1375" i="1" s="1" a="1"/>
  <c r="K1375" i="1" s="1"/>
  <c r="C1375" i="1"/>
  <c r="D1374" i="1"/>
  <c r="K1374" i="1" s="1" a="1"/>
  <c r="K1374" i="1" s="1"/>
  <c r="C1374" i="1"/>
  <c r="D1373" i="1"/>
  <c r="K1373" i="1" s="1" a="1"/>
  <c r="K1373" i="1" s="1"/>
  <c r="C1373" i="1"/>
  <c r="D1372" i="1"/>
  <c r="K1372" i="1" s="1" a="1"/>
  <c r="K1372" i="1" s="1"/>
  <c r="C1372" i="1"/>
  <c r="D1371" i="1"/>
  <c r="K1371" i="1" s="1" a="1"/>
  <c r="K1371" i="1" s="1"/>
  <c r="C1371" i="1"/>
  <c r="D1370" i="1"/>
  <c r="K1370" i="1" s="1" a="1"/>
  <c r="K1370" i="1" s="1"/>
  <c r="C1370" i="1"/>
  <c r="D1369" i="1"/>
  <c r="K1369" i="1" s="1" a="1"/>
  <c r="K1369" i="1" s="1"/>
  <c r="C1369" i="1"/>
  <c r="D1368" i="1"/>
  <c r="K1368" i="1" s="1" a="1"/>
  <c r="K1368" i="1" s="1"/>
  <c r="C1368" i="1"/>
  <c r="D1367" i="1"/>
  <c r="C1367" i="1"/>
  <c r="D1366" i="1"/>
  <c r="K1366" i="1" s="1" a="1"/>
  <c r="K1366" i="1" s="1"/>
  <c r="C1366" i="1"/>
  <c r="D1365" i="1"/>
  <c r="K1365" i="1" s="1" a="1"/>
  <c r="K1365" i="1" s="1"/>
  <c r="C1365" i="1"/>
  <c r="D1364" i="1"/>
  <c r="K1364" i="1" s="1" a="1"/>
  <c r="K1364" i="1" s="1"/>
  <c r="C1364" i="1"/>
  <c r="D1363" i="1"/>
  <c r="K1363" i="1" s="1" a="1"/>
  <c r="K1363" i="1" s="1"/>
  <c r="C1363" i="1"/>
  <c r="D1362" i="1"/>
  <c r="K1362" i="1" s="1" a="1"/>
  <c r="K1362" i="1" s="1"/>
  <c r="C1362" i="1"/>
  <c r="D1361" i="1"/>
  <c r="C1361" i="1"/>
  <c r="D1360" i="1"/>
  <c r="K1360" i="1" s="1" a="1"/>
  <c r="K1360" i="1" s="1"/>
  <c r="C1360" i="1"/>
  <c r="D1359" i="1"/>
  <c r="K1359" i="1" s="1" a="1"/>
  <c r="K1359" i="1" s="1"/>
  <c r="C1359" i="1"/>
  <c r="D1358" i="1"/>
  <c r="K1358" i="1" s="1" a="1"/>
  <c r="K1358" i="1" s="1"/>
  <c r="C1358" i="1"/>
  <c r="D1357" i="1"/>
  <c r="K1357" i="1" s="1" a="1"/>
  <c r="K1357" i="1" s="1"/>
  <c r="C1357" i="1"/>
  <c r="D1356" i="1"/>
  <c r="K1356" i="1" s="1" a="1"/>
  <c r="K1356" i="1" s="1"/>
  <c r="C1356" i="1"/>
  <c r="D1355" i="1"/>
  <c r="C1355" i="1"/>
  <c r="D1354" i="1"/>
  <c r="K1354" i="1" s="1" a="1"/>
  <c r="K1354" i="1" s="1"/>
  <c r="C1354" i="1"/>
  <c r="D1353" i="1"/>
  <c r="K1353" i="1" s="1" a="1"/>
  <c r="K1353" i="1" s="1"/>
  <c r="C1353" i="1"/>
  <c r="D1352" i="1"/>
  <c r="K1352" i="1" s="1" a="1"/>
  <c r="K1352" i="1" s="1"/>
  <c r="C1352" i="1"/>
  <c r="D1351" i="1"/>
  <c r="K1351" i="1" s="1" a="1"/>
  <c r="K1351" i="1" s="1"/>
  <c r="C1351" i="1"/>
  <c r="D1350" i="1"/>
  <c r="K1350" i="1" s="1" a="1"/>
  <c r="K1350" i="1" s="1"/>
  <c r="C1350" i="1"/>
  <c r="D1349" i="1"/>
  <c r="C1349" i="1"/>
  <c r="D1348" i="1"/>
  <c r="K1348" i="1" s="1" a="1"/>
  <c r="K1348" i="1" s="1"/>
  <c r="C1348" i="1"/>
  <c r="D1347" i="1"/>
  <c r="K1347" i="1" s="1" a="1"/>
  <c r="K1347" i="1" s="1"/>
  <c r="C1347" i="1"/>
  <c r="D1346" i="1"/>
  <c r="K1346" i="1" s="1" a="1"/>
  <c r="K1346" i="1" s="1"/>
  <c r="C1346" i="1"/>
  <c r="D1345" i="1"/>
  <c r="K1345" i="1" s="1" a="1"/>
  <c r="K1345" i="1" s="1"/>
  <c r="C1345" i="1"/>
  <c r="D1344" i="1"/>
  <c r="K1344" i="1" s="1" a="1"/>
  <c r="K1344" i="1" s="1"/>
  <c r="C1344" i="1"/>
  <c r="D1343" i="1"/>
  <c r="C1343" i="1"/>
  <c r="D1342" i="1"/>
  <c r="K1342" i="1" s="1" a="1"/>
  <c r="K1342" i="1" s="1"/>
  <c r="C1342" i="1"/>
  <c r="D1341" i="1"/>
  <c r="K1341" i="1" s="1" a="1"/>
  <c r="K1341" i="1" s="1"/>
  <c r="C1341" i="1"/>
  <c r="D1340" i="1"/>
  <c r="K1340" i="1" s="1" a="1"/>
  <c r="K1340" i="1" s="1"/>
  <c r="C1340" i="1"/>
  <c r="D1339" i="1"/>
  <c r="K1339" i="1" s="1" a="1"/>
  <c r="K1339" i="1" s="1"/>
  <c r="C1339" i="1"/>
  <c r="D1338" i="1"/>
  <c r="C1338" i="1"/>
  <c r="D1337" i="1"/>
  <c r="C1337" i="1"/>
  <c r="D1336" i="1"/>
  <c r="K1336" i="1" s="1" a="1"/>
  <c r="K1336" i="1" s="1"/>
  <c r="C1336" i="1"/>
  <c r="D1335" i="1"/>
  <c r="K1335" i="1" s="1" a="1"/>
  <c r="K1335" i="1" s="1"/>
  <c r="C1335" i="1"/>
  <c r="D1334" i="1"/>
  <c r="K1334" i="1" s="1" a="1"/>
  <c r="K1334" i="1" s="1"/>
  <c r="C1334" i="1"/>
  <c r="D1333" i="1"/>
  <c r="K1333" i="1" s="1" a="1"/>
  <c r="K1333" i="1" s="1"/>
  <c r="C1333" i="1"/>
  <c r="D1332" i="1"/>
  <c r="C1332" i="1"/>
  <c r="D1331" i="1"/>
  <c r="C1331" i="1"/>
  <c r="D1330" i="1"/>
  <c r="C1330" i="1"/>
  <c r="D1329" i="1"/>
  <c r="K1329" i="1" s="1" a="1"/>
  <c r="K1329" i="1" s="1"/>
  <c r="C1329" i="1"/>
  <c r="D1328" i="1"/>
  <c r="K1328" i="1" s="1" a="1"/>
  <c r="K1328" i="1" s="1"/>
  <c r="C1328" i="1"/>
  <c r="D1327" i="1"/>
  <c r="K1327" i="1" s="1" a="1"/>
  <c r="K1327" i="1" s="1"/>
  <c r="C1327" i="1"/>
  <c r="D1326" i="1"/>
  <c r="C1326" i="1"/>
  <c r="D1325" i="1"/>
  <c r="C1325" i="1"/>
  <c r="D1324" i="1"/>
  <c r="C1324" i="1"/>
  <c r="D1323" i="1"/>
  <c r="K1323" i="1" s="1" a="1"/>
  <c r="K1323" i="1" s="1"/>
  <c r="C1323" i="1"/>
  <c r="D1322" i="1"/>
  <c r="K1322" i="1" s="1" a="1"/>
  <c r="K1322" i="1" s="1"/>
  <c r="C1322" i="1"/>
  <c r="D1321" i="1"/>
  <c r="K1321" i="1" s="1" a="1"/>
  <c r="K1321" i="1" s="1"/>
  <c r="C1321" i="1"/>
  <c r="D1320" i="1"/>
  <c r="C1320" i="1"/>
  <c r="D1319" i="1"/>
  <c r="C1319" i="1"/>
  <c r="D1318" i="1"/>
  <c r="C1318" i="1"/>
  <c r="D1317" i="1"/>
  <c r="K1317" i="1" s="1" a="1"/>
  <c r="K1317" i="1" s="1"/>
  <c r="C1317" i="1"/>
  <c r="D1316" i="1"/>
  <c r="K1316" i="1" s="1" a="1"/>
  <c r="K1316" i="1" s="1"/>
  <c r="C1316" i="1"/>
  <c r="D1315" i="1"/>
  <c r="K1315" i="1" s="1" a="1"/>
  <c r="K1315" i="1" s="1"/>
  <c r="C1315" i="1"/>
  <c r="D1314" i="1"/>
  <c r="C1314" i="1"/>
  <c r="D1313" i="1"/>
  <c r="C1313" i="1"/>
  <c r="D1312" i="1"/>
  <c r="C1312" i="1"/>
  <c r="D1311" i="1"/>
  <c r="K1311" i="1" s="1" a="1"/>
  <c r="K1311" i="1" s="1"/>
  <c r="C1311" i="1"/>
  <c r="D1310" i="1"/>
  <c r="K1310" i="1" s="1" a="1"/>
  <c r="K1310" i="1" s="1"/>
  <c r="C1310" i="1"/>
  <c r="D1309" i="1"/>
  <c r="C1309" i="1"/>
  <c r="D1308" i="1"/>
  <c r="C1308" i="1"/>
  <c r="D1307" i="1"/>
  <c r="C1307" i="1"/>
  <c r="D1306" i="1"/>
  <c r="C1306" i="1"/>
  <c r="D1305" i="1"/>
  <c r="K1305" i="1" s="1" a="1"/>
  <c r="K1305" i="1" s="1"/>
  <c r="C1305" i="1"/>
  <c r="D1304" i="1"/>
  <c r="K1304" i="1" s="1" a="1"/>
  <c r="K1304" i="1" s="1"/>
  <c r="C1304" i="1"/>
  <c r="D1303" i="1"/>
  <c r="C1303" i="1"/>
  <c r="D1302" i="1"/>
  <c r="C1302" i="1"/>
  <c r="D1301" i="1"/>
  <c r="C1301" i="1"/>
  <c r="D1300" i="1"/>
  <c r="C1300" i="1"/>
  <c r="D1299" i="1"/>
  <c r="K1299" i="1" s="1" a="1"/>
  <c r="K1299" i="1" s="1"/>
  <c r="C1299" i="1"/>
  <c r="D1298" i="1"/>
  <c r="K1298" i="1" s="1" a="1"/>
  <c r="K1298" i="1" s="1"/>
  <c r="C1298" i="1"/>
  <c r="D1297" i="1"/>
  <c r="C1297" i="1"/>
  <c r="D1296" i="1"/>
  <c r="C1296" i="1"/>
  <c r="D1295" i="1"/>
  <c r="C1295" i="1"/>
  <c r="D1294" i="1"/>
  <c r="C1294" i="1"/>
  <c r="D1293" i="1"/>
  <c r="K1293" i="1" s="1" a="1"/>
  <c r="K1293" i="1" s="1"/>
  <c r="C1293" i="1"/>
  <c r="D1292" i="1"/>
  <c r="K1292" i="1" s="1" a="1"/>
  <c r="K1292" i="1" s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K1286" i="1" s="1" a="1"/>
  <c r="K1286" i="1" s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K1280" i="1" s="1" a="1"/>
  <c r="K1280" i="1" s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K1274" i="1" s="1" a="1"/>
  <c r="K1274" i="1" s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K1268" i="1" s="1" a="1"/>
  <c r="K1268" i="1" s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K1262" i="1" s="1" a="1"/>
  <c r="K1262" i="1" s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K1256" i="1" s="1" a="1"/>
  <c r="K1256" i="1" s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K1250" i="1" s="1" a="1"/>
  <c r="K1250" i="1" s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K1244" i="1" s="1" a="1"/>
  <c r="K1244" i="1" s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K1238" i="1" s="1" a="1"/>
  <c r="K1238" i="1" s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K1232" i="1" s="1" a="1"/>
  <c r="K1232" i="1" s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N2" i="1" l="1" a="1"/>
  <c r="N2" i="1" s="1"/>
  <c r="M2" i="1" a="1"/>
  <c r="M2" i="1" s="1"/>
  <c r="L2" i="1" a="1"/>
  <c r="L2" i="1" s="1"/>
  <c r="N6" i="1" a="1"/>
  <c r="N6" i="1" s="1"/>
  <c r="M6" i="1" a="1"/>
  <c r="M6" i="1" s="1"/>
  <c r="L6" i="1" a="1"/>
  <c r="L6" i="1" s="1"/>
  <c r="N7" i="1" a="1"/>
  <c r="N7" i="1" s="1"/>
  <c r="M7" i="1" a="1"/>
  <c r="M7" i="1" s="1"/>
  <c r="L7" i="1" a="1"/>
  <c r="L7" i="1" s="1"/>
  <c r="N8" i="1" a="1"/>
  <c r="N8" i="1" s="1"/>
  <c r="M8" i="1" a="1"/>
  <c r="M8" i="1" s="1"/>
  <c r="L8" i="1" a="1"/>
  <c r="L8" i="1" s="1"/>
  <c r="M12" i="1" a="1"/>
  <c r="M12" i="1" s="1"/>
  <c r="N12" i="1" a="1"/>
  <c r="N12" i="1" s="1"/>
  <c r="L12" i="1" a="1"/>
  <c r="L12" i="1" s="1"/>
  <c r="M13" i="1" a="1"/>
  <c r="M13" i="1" s="1"/>
  <c r="N13" i="1" a="1"/>
  <c r="N13" i="1" s="1"/>
  <c r="L13" i="1" a="1"/>
  <c r="L13" i="1" s="1"/>
  <c r="N14" i="1" a="1"/>
  <c r="N14" i="1" s="1"/>
  <c r="M14" i="1" a="1"/>
  <c r="M14" i="1" s="1"/>
  <c r="L14" i="1" a="1"/>
  <c r="L14" i="1" s="1"/>
  <c r="M18" i="1" a="1"/>
  <c r="M18" i="1" s="1"/>
  <c r="N18" i="1" a="1"/>
  <c r="N18" i="1" s="1"/>
  <c r="L18" i="1" a="1"/>
  <c r="L18" i="1" s="1"/>
  <c r="M19" i="1" a="1"/>
  <c r="M19" i="1" s="1"/>
  <c r="N19" i="1" a="1"/>
  <c r="N19" i="1" s="1"/>
  <c r="L19" i="1" a="1"/>
  <c r="L19" i="1" s="1"/>
  <c r="N20" i="1" a="1"/>
  <c r="N20" i="1" s="1"/>
  <c r="L20" i="1" a="1"/>
  <c r="L20" i="1" s="1"/>
  <c r="M20" i="1" a="1"/>
  <c r="M20" i="1" s="1"/>
  <c r="N24" i="1" a="1"/>
  <c r="N24" i="1" s="1"/>
  <c r="M24" i="1" a="1"/>
  <c r="M24" i="1" s="1"/>
  <c r="L24" i="1" a="1"/>
  <c r="L24" i="1" s="1"/>
  <c r="N25" i="1" a="1"/>
  <c r="N25" i="1" s="1"/>
  <c r="M25" i="1" a="1"/>
  <c r="M25" i="1" s="1"/>
  <c r="L25" i="1" a="1"/>
  <c r="L25" i="1" s="1"/>
  <c r="N26" i="1" a="1"/>
  <c r="N26" i="1" s="1"/>
  <c r="M26" i="1" a="1"/>
  <c r="M26" i="1" s="1"/>
  <c r="L26" i="1" a="1"/>
  <c r="L26" i="1" s="1"/>
  <c r="N30" i="1" a="1"/>
  <c r="N30" i="1" s="1"/>
  <c r="L30" i="1" a="1"/>
  <c r="L30" i="1" s="1"/>
  <c r="M30" i="1" a="1"/>
  <c r="M30" i="1" s="1"/>
  <c r="N32" i="1" a="1"/>
  <c r="N32" i="1" s="1"/>
  <c r="M32" i="1" a="1"/>
  <c r="M32" i="1" s="1"/>
  <c r="L32" i="1" a="1"/>
  <c r="L32" i="1" s="1"/>
  <c r="M36" i="1" a="1"/>
  <c r="M36" i="1" s="1"/>
  <c r="N36" i="1" a="1"/>
  <c r="N36" i="1" s="1"/>
  <c r="L36" i="1" a="1"/>
  <c r="L36" i="1" s="1"/>
  <c r="N38" i="1" a="1"/>
  <c r="N38" i="1" s="1"/>
  <c r="M38" i="1" a="1"/>
  <c r="M38" i="1" s="1"/>
  <c r="L38" i="1" a="1"/>
  <c r="L38" i="1" s="1"/>
  <c r="N42" i="1" a="1"/>
  <c r="N42" i="1" s="1"/>
  <c r="M42" i="1" a="1"/>
  <c r="M42" i="1" s="1"/>
  <c r="L42" i="1" a="1"/>
  <c r="L42" i="1" s="1"/>
  <c r="N44" i="1" a="1"/>
  <c r="N44" i="1" s="1"/>
  <c r="L44" i="1" a="1"/>
  <c r="L44" i="1" s="1"/>
  <c r="M44" i="1" a="1"/>
  <c r="M44" i="1" s="1"/>
  <c r="M48" i="1" a="1"/>
  <c r="M48" i="1" s="1"/>
  <c r="L48" i="1" a="1"/>
  <c r="L48" i="1" s="1"/>
  <c r="N48" i="1" a="1"/>
  <c r="N48" i="1" s="1"/>
  <c r="N50" i="1" a="1"/>
  <c r="N50" i="1" s="1"/>
  <c r="L50" i="1" a="1"/>
  <c r="L50" i="1" s="1"/>
  <c r="M50" i="1" a="1"/>
  <c r="M50" i="1" s="1"/>
  <c r="M54" i="1" a="1"/>
  <c r="M54" i="1" s="1"/>
  <c r="N54" i="1" a="1"/>
  <c r="N54" i="1" s="1"/>
  <c r="L54" i="1" a="1"/>
  <c r="L54" i="1" s="1"/>
  <c r="N56" i="1" a="1"/>
  <c r="N56" i="1" s="1"/>
  <c r="M56" i="1" a="1"/>
  <c r="M56" i="1" s="1"/>
  <c r="L56" i="1" a="1"/>
  <c r="L56" i="1" s="1"/>
  <c r="N60" i="1" a="1"/>
  <c r="N60" i="1" s="1"/>
  <c r="M60" i="1" a="1"/>
  <c r="M60" i="1" s="1"/>
  <c r="L60" i="1" a="1"/>
  <c r="L60" i="1" s="1"/>
  <c r="N62" i="1" a="1"/>
  <c r="N62" i="1" s="1"/>
  <c r="M62" i="1" a="1"/>
  <c r="M62" i="1" s="1"/>
  <c r="L62" i="1" a="1"/>
  <c r="L62" i="1" s="1"/>
  <c r="N66" i="1" a="1"/>
  <c r="N66" i="1" s="1"/>
  <c r="M66" i="1" a="1"/>
  <c r="M66" i="1" s="1"/>
  <c r="L66" i="1" a="1"/>
  <c r="L66" i="1" s="1"/>
  <c r="L68" i="1" a="1"/>
  <c r="L68" i="1" s="1"/>
  <c r="M68" i="1" a="1"/>
  <c r="M68" i="1" s="1"/>
  <c r="N68" i="1" a="1"/>
  <c r="N68" i="1" s="1"/>
  <c r="M72" i="1" a="1"/>
  <c r="M72" i="1" s="1"/>
  <c r="N72" i="1" a="1"/>
  <c r="N72" i="1" s="1"/>
  <c r="L72" i="1" a="1"/>
  <c r="L72" i="1" s="1"/>
  <c r="N74" i="1" a="1"/>
  <c r="N74" i="1" s="1"/>
  <c r="M74" i="1" a="1"/>
  <c r="M74" i="1" s="1"/>
  <c r="L74" i="1" a="1"/>
  <c r="L74" i="1" s="1"/>
  <c r="N78" i="1" a="1"/>
  <c r="N78" i="1" s="1"/>
  <c r="M78" i="1" a="1"/>
  <c r="M78" i="1" s="1"/>
  <c r="L78" i="1" a="1"/>
  <c r="L78" i="1" s="1"/>
  <c r="N80" i="1" a="1"/>
  <c r="N80" i="1" s="1"/>
  <c r="L80" i="1" a="1"/>
  <c r="L80" i="1" s="1"/>
  <c r="M80" i="1" a="1"/>
  <c r="M80" i="1" s="1"/>
  <c r="M84" i="1" a="1"/>
  <c r="M84" i="1" s="1"/>
  <c r="L84" i="1" a="1"/>
  <c r="L84" i="1" s="1"/>
  <c r="N84" i="1" a="1"/>
  <c r="N84" i="1" s="1"/>
  <c r="N86" i="1" a="1"/>
  <c r="N86" i="1" s="1"/>
  <c r="M86" i="1" a="1"/>
  <c r="M86" i="1" s="1"/>
  <c r="L86" i="1" a="1"/>
  <c r="L86" i="1" s="1"/>
  <c r="N90" i="1" a="1"/>
  <c r="N90" i="1" s="1"/>
  <c r="M90" i="1" a="1"/>
  <c r="M90" i="1" s="1"/>
  <c r="L90" i="1" a="1"/>
  <c r="L90" i="1" s="1"/>
  <c r="L92" i="1" a="1"/>
  <c r="L92" i="1" s="1"/>
  <c r="N92" i="1" a="1"/>
  <c r="N92" i="1" s="1"/>
  <c r="M92" i="1" a="1"/>
  <c r="M92" i="1" s="1"/>
  <c r="N96" i="1" a="1"/>
  <c r="N96" i="1" s="1"/>
  <c r="M96" i="1" a="1"/>
  <c r="M96" i="1" s="1"/>
  <c r="L96" i="1" a="1"/>
  <c r="L96" i="1" s="1"/>
  <c r="N98" i="1" a="1"/>
  <c r="N98" i="1" s="1"/>
  <c r="M98" i="1" a="1"/>
  <c r="M98" i="1" s="1"/>
  <c r="L98" i="1" a="1"/>
  <c r="L98" i="1" s="1"/>
  <c r="N102" i="1" a="1"/>
  <c r="N102" i="1" s="1"/>
  <c r="M102" i="1" a="1"/>
  <c r="M102" i="1" s="1"/>
  <c r="L102" i="1" a="1"/>
  <c r="L102" i="1" s="1"/>
  <c r="N104" i="1" a="1"/>
  <c r="N104" i="1" s="1"/>
  <c r="M104" i="1" a="1"/>
  <c r="M104" i="1" s="1"/>
  <c r="L104" i="1" a="1"/>
  <c r="L104" i="1" s="1"/>
  <c r="M108" i="1" a="1"/>
  <c r="M108" i="1" s="1"/>
  <c r="N108" i="1" a="1"/>
  <c r="N108" i="1" s="1"/>
  <c r="L108" i="1" a="1"/>
  <c r="L108" i="1" s="1"/>
  <c r="N110" i="1" a="1"/>
  <c r="N110" i="1" s="1"/>
  <c r="M110" i="1" a="1"/>
  <c r="M110" i="1" s="1"/>
  <c r="L110" i="1" a="1"/>
  <c r="L110" i="1" s="1"/>
  <c r="M114" i="1" a="1"/>
  <c r="M114" i="1" s="1"/>
  <c r="L114" i="1" a="1"/>
  <c r="L114" i="1" s="1"/>
  <c r="N114" i="1" a="1"/>
  <c r="N114" i="1" s="1"/>
  <c r="N116" i="1" a="1"/>
  <c r="N116" i="1" s="1"/>
  <c r="L116" i="1" a="1"/>
  <c r="L116" i="1" s="1"/>
  <c r="M116" i="1" a="1"/>
  <c r="M116" i="1" s="1"/>
  <c r="M120" i="1" a="1"/>
  <c r="M120" i="1" s="1"/>
  <c r="N120" i="1" a="1"/>
  <c r="N120" i="1" s="1"/>
  <c r="L120" i="1" a="1"/>
  <c r="L120" i="1" s="1"/>
  <c r="N122" i="1" a="1"/>
  <c r="N122" i="1" s="1"/>
  <c r="M122" i="1" a="1"/>
  <c r="M122" i="1" s="1"/>
  <c r="L122" i="1" a="1"/>
  <c r="L122" i="1" s="1"/>
  <c r="L126" i="1" a="1"/>
  <c r="L126" i="1" s="1"/>
  <c r="M126" i="1" a="1"/>
  <c r="M126" i="1" s="1"/>
  <c r="N126" i="1" a="1"/>
  <c r="N126" i="1" s="1"/>
  <c r="N128" i="1" a="1"/>
  <c r="N128" i="1" s="1"/>
  <c r="L128" i="1" a="1"/>
  <c r="L128" i="1" s="1"/>
  <c r="M128" i="1" a="1"/>
  <c r="M128" i="1" s="1"/>
  <c r="N132" i="1" a="1"/>
  <c r="N132" i="1" s="1"/>
  <c r="M132" i="1" a="1"/>
  <c r="M132" i="1" s="1"/>
  <c r="L132" i="1" a="1"/>
  <c r="L132" i="1" s="1"/>
  <c r="N134" i="1" a="1"/>
  <c r="N134" i="1" s="1"/>
  <c r="M134" i="1" a="1"/>
  <c r="M134" i="1" s="1"/>
  <c r="L134" i="1" a="1"/>
  <c r="L134" i="1" s="1"/>
  <c r="N138" i="1" a="1"/>
  <c r="N138" i="1" s="1"/>
  <c r="M138" i="1" a="1"/>
  <c r="M138" i="1" s="1"/>
  <c r="L138" i="1" a="1"/>
  <c r="L138" i="1" s="1"/>
  <c r="N140" i="1" a="1"/>
  <c r="N140" i="1" s="1"/>
  <c r="M140" i="1" a="1"/>
  <c r="M140" i="1" s="1"/>
  <c r="L140" i="1" a="1"/>
  <c r="L140" i="1" s="1"/>
  <c r="M144" i="1" a="1"/>
  <c r="M144" i="1" s="1"/>
  <c r="N144" i="1" a="1"/>
  <c r="N144" i="1" s="1"/>
  <c r="L144" i="1" a="1"/>
  <c r="L144" i="1" s="1"/>
  <c r="N146" i="1" a="1"/>
  <c r="N146" i="1" s="1"/>
  <c r="M146" i="1" a="1"/>
  <c r="M146" i="1" s="1"/>
  <c r="L146" i="1" a="1"/>
  <c r="L146" i="1" s="1"/>
  <c r="N150" i="1" a="1"/>
  <c r="N150" i="1" s="1"/>
  <c r="M150" i="1" a="1"/>
  <c r="M150" i="1" s="1"/>
  <c r="L150" i="1" a="1"/>
  <c r="L150" i="1" s="1"/>
  <c r="N152" i="1" a="1"/>
  <c r="N152" i="1" s="1"/>
  <c r="M152" i="1" a="1"/>
  <c r="M152" i="1" s="1"/>
  <c r="L152" i="1" a="1"/>
  <c r="L152" i="1" s="1"/>
  <c r="M156" i="1" a="1"/>
  <c r="M156" i="1" s="1"/>
  <c r="N156" i="1" a="1"/>
  <c r="N156" i="1" s="1"/>
  <c r="L156" i="1" a="1"/>
  <c r="L156" i="1" s="1"/>
  <c r="N158" i="1" a="1"/>
  <c r="N158" i="1" s="1"/>
  <c r="M158" i="1" a="1"/>
  <c r="M158" i="1" s="1"/>
  <c r="L158" i="1" a="1"/>
  <c r="L158" i="1" s="1"/>
  <c r="M162" i="1" a="1"/>
  <c r="M162" i="1" s="1"/>
  <c r="N162" i="1" a="1"/>
  <c r="N162" i="1" s="1"/>
  <c r="L162" i="1" a="1"/>
  <c r="L162" i="1" s="1"/>
  <c r="L164" i="1" a="1"/>
  <c r="L164" i="1" s="1"/>
  <c r="N164" i="1" a="1"/>
  <c r="N164" i="1" s="1"/>
  <c r="M164" i="1" a="1"/>
  <c r="M164" i="1" s="1"/>
  <c r="N168" i="1" a="1"/>
  <c r="N168" i="1" s="1"/>
  <c r="M168" i="1" a="1"/>
  <c r="M168" i="1" s="1"/>
  <c r="L168" i="1" a="1"/>
  <c r="L168" i="1" s="1"/>
  <c r="N170" i="1" a="1"/>
  <c r="N170" i="1" s="1"/>
  <c r="M170" i="1" a="1"/>
  <c r="M170" i="1" s="1"/>
  <c r="L170" i="1" a="1"/>
  <c r="L170" i="1" s="1"/>
  <c r="N174" i="1" a="1"/>
  <c r="N174" i="1" s="1"/>
  <c r="M174" i="1" a="1"/>
  <c r="M174" i="1" s="1"/>
  <c r="L174" i="1" a="1"/>
  <c r="L174" i="1" s="1"/>
  <c r="N176" i="1" a="1"/>
  <c r="N176" i="1" s="1"/>
  <c r="L176" i="1" a="1"/>
  <c r="L176" i="1" s="1"/>
  <c r="M176" i="1" a="1"/>
  <c r="M176" i="1" s="1"/>
  <c r="M180" i="1" a="1"/>
  <c r="M180" i="1" s="1"/>
  <c r="N180" i="1" a="1"/>
  <c r="N180" i="1" s="1"/>
  <c r="L180" i="1" a="1"/>
  <c r="L180" i="1" s="1"/>
  <c r="N182" i="1" a="1"/>
  <c r="N182" i="1" s="1"/>
  <c r="M182" i="1" a="1"/>
  <c r="M182" i="1" s="1"/>
  <c r="L182" i="1" a="1"/>
  <c r="L182" i="1" s="1"/>
  <c r="N186" i="1" a="1"/>
  <c r="N186" i="1" s="1"/>
  <c r="M186" i="1" a="1"/>
  <c r="M186" i="1" s="1"/>
  <c r="L186" i="1" a="1"/>
  <c r="L186" i="1" s="1"/>
  <c r="N188" i="1" a="1"/>
  <c r="N188" i="1" s="1"/>
  <c r="M188" i="1" a="1"/>
  <c r="M188" i="1" s="1"/>
  <c r="L188" i="1" a="1"/>
  <c r="L188" i="1" s="1"/>
  <c r="M192" i="1" a="1"/>
  <c r="M192" i="1" s="1"/>
  <c r="L192" i="1" a="1"/>
  <c r="L192" i="1" s="1"/>
  <c r="N192" i="1" a="1"/>
  <c r="N192" i="1" s="1"/>
  <c r="N194" i="1" a="1"/>
  <c r="N194" i="1" s="1"/>
  <c r="M194" i="1" a="1"/>
  <c r="M194" i="1" s="1"/>
  <c r="L194" i="1" a="1"/>
  <c r="L194" i="1" s="1"/>
  <c r="N198" i="1" a="1"/>
  <c r="N198" i="1" s="1"/>
  <c r="L198" i="1" a="1"/>
  <c r="L198" i="1" s="1"/>
  <c r="M198" i="1" a="1"/>
  <c r="M198" i="1" s="1"/>
  <c r="N200" i="1" a="1"/>
  <c r="N200" i="1" s="1"/>
  <c r="M200" i="1" a="1"/>
  <c r="M200" i="1" s="1"/>
  <c r="L200" i="1" a="1"/>
  <c r="L200" i="1" s="1"/>
  <c r="N204" i="1" a="1"/>
  <c r="N204" i="1" s="1"/>
  <c r="M204" i="1" a="1"/>
  <c r="M204" i="1" s="1"/>
  <c r="L204" i="1" a="1"/>
  <c r="L204" i="1" s="1"/>
  <c r="N206" i="1" a="1"/>
  <c r="N206" i="1" s="1"/>
  <c r="L206" i="1" a="1"/>
  <c r="L206" i="1" s="1"/>
  <c r="M206" i="1" a="1"/>
  <c r="M206" i="1" s="1"/>
  <c r="N210" i="1" a="1"/>
  <c r="N210" i="1" s="1"/>
  <c r="M210" i="1" a="1"/>
  <c r="M210" i="1" s="1"/>
  <c r="L210" i="1" a="1"/>
  <c r="L210" i="1" s="1"/>
  <c r="M212" i="1" a="1"/>
  <c r="M212" i="1" s="1"/>
  <c r="L212" i="1" a="1"/>
  <c r="L212" i="1" s="1"/>
  <c r="N212" i="1" a="1"/>
  <c r="N212" i="1" s="1"/>
  <c r="M216" i="1" a="1"/>
  <c r="M216" i="1" s="1"/>
  <c r="N216" i="1" a="1"/>
  <c r="N216" i="1" s="1"/>
  <c r="L216" i="1" a="1"/>
  <c r="L216" i="1" s="1"/>
  <c r="N218" i="1" a="1"/>
  <c r="N218" i="1" s="1"/>
  <c r="M218" i="1" a="1"/>
  <c r="M218" i="1" s="1"/>
  <c r="L218" i="1" a="1"/>
  <c r="L218" i="1" s="1"/>
  <c r="N222" i="1" a="1"/>
  <c r="N222" i="1" s="1"/>
  <c r="M222" i="1" a="1"/>
  <c r="M222" i="1" s="1"/>
  <c r="L222" i="1" a="1"/>
  <c r="L222" i="1" s="1"/>
  <c r="N224" i="1" a="1"/>
  <c r="N224" i="1" s="1"/>
  <c r="L224" i="1" a="1"/>
  <c r="L224" i="1" s="1"/>
  <c r="M224" i="1" a="1"/>
  <c r="M224" i="1" s="1"/>
  <c r="M228" i="1" a="1"/>
  <c r="M228" i="1" s="1"/>
  <c r="N228" i="1" a="1"/>
  <c r="N228" i="1" s="1"/>
  <c r="L228" i="1" a="1"/>
  <c r="L228" i="1" s="1"/>
  <c r="N230" i="1" a="1"/>
  <c r="N230" i="1" s="1"/>
  <c r="M230" i="1" a="1"/>
  <c r="M230" i="1" s="1"/>
  <c r="L230" i="1" a="1"/>
  <c r="L230" i="1" s="1"/>
  <c r="N234" i="1" a="1"/>
  <c r="N234" i="1" s="1"/>
  <c r="L234" i="1" a="1"/>
  <c r="L234" i="1" s="1"/>
  <c r="M234" i="1" a="1"/>
  <c r="M234" i="1" s="1"/>
  <c r="N236" i="1" a="1"/>
  <c r="N236" i="1" s="1"/>
  <c r="L236" i="1" a="1"/>
  <c r="L236" i="1" s="1"/>
  <c r="M236" i="1" a="1"/>
  <c r="M236" i="1" s="1"/>
  <c r="N240" i="1" a="1"/>
  <c r="N240" i="1" s="1"/>
  <c r="M240" i="1" a="1"/>
  <c r="M240" i="1" s="1"/>
  <c r="L240" i="1" a="1"/>
  <c r="L240" i="1" s="1"/>
  <c r="N242" i="1" a="1"/>
  <c r="N242" i="1" s="1"/>
  <c r="M242" i="1" a="1"/>
  <c r="M242" i="1" s="1"/>
  <c r="L242" i="1" a="1"/>
  <c r="L242" i="1" s="1"/>
  <c r="M246" i="1" a="1"/>
  <c r="M246" i="1" s="1"/>
  <c r="N246" i="1" a="1"/>
  <c r="N246" i="1" s="1"/>
  <c r="L246" i="1" a="1"/>
  <c r="L246" i="1" s="1"/>
  <c r="N248" i="1" a="1"/>
  <c r="N248" i="1" s="1"/>
  <c r="M248" i="1" a="1"/>
  <c r="M248" i="1" s="1"/>
  <c r="L248" i="1" a="1"/>
  <c r="L248" i="1" s="1"/>
  <c r="M252" i="1" a="1"/>
  <c r="M252" i="1" s="1"/>
  <c r="N252" i="1" a="1"/>
  <c r="N252" i="1" s="1"/>
  <c r="L252" i="1" a="1"/>
  <c r="L252" i="1" s="1"/>
  <c r="N254" i="1" a="1"/>
  <c r="N254" i="1" s="1"/>
  <c r="M254" i="1" a="1"/>
  <c r="M254" i="1" s="1"/>
  <c r="L254" i="1" a="1"/>
  <c r="L254" i="1" s="1"/>
  <c r="M258" i="1" a="1"/>
  <c r="M258" i="1" s="1"/>
  <c r="L258" i="1" a="1"/>
  <c r="L258" i="1" s="1"/>
  <c r="N258" i="1" a="1"/>
  <c r="N258" i="1" s="1"/>
  <c r="N260" i="1" a="1"/>
  <c r="N260" i="1" s="1"/>
  <c r="M260" i="1" a="1"/>
  <c r="M260" i="1" s="1"/>
  <c r="L260" i="1" a="1"/>
  <c r="L260" i="1" s="1"/>
  <c r="M264" i="1" a="1"/>
  <c r="M264" i="1" s="1"/>
  <c r="N264" i="1" a="1"/>
  <c r="N264" i="1" s="1"/>
  <c r="L264" i="1" a="1"/>
  <c r="L264" i="1" s="1"/>
  <c r="N266" i="1" a="1"/>
  <c r="N266" i="1" s="1"/>
  <c r="M266" i="1" a="1"/>
  <c r="M266" i="1" s="1"/>
  <c r="L266" i="1" a="1"/>
  <c r="L266" i="1" s="1"/>
  <c r="N270" i="1" a="1"/>
  <c r="N270" i="1" s="1"/>
  <c r="M270" i="1" a="1"/>
  <c r="M270" i="1" s="1"/>
  <c r="L270" i="1" a="1"/>
  <c r="L270" i="1" s="1"/>
  <c r="N272" i="1" a="1"/>
  <c r="N272" i="1" s="1"/>
  <c r="L272" i="1" a="1"/>
  <c r="L272" i="1" s="1"/>
  <c r="M272" i="1" a="1"/>
  <c r="M272" i="1" s="1"/>
  <c r="N276" i="1" a="1"/>
  <c r="N276" i="1" s="1"/>
  <c r="M276" i="1" a="1"/>
  <c r="M276" i="1" s="1"/>
  <c r="L276" i="1" a="1"/>
  <c r="L276" i="1" s="1"/>
  <c r="N278" i="1" a="1"/>
  <c r="N278" i="1" s="1"/>
  <c r="L278" i="1" a="1"/>
  <c r="L278" i="1" s="1"/>
  <c r="M278" i="1" a="1"/>
  <c r="M278" i="1" s="1"/>
  <c r="N282" i="1" a="1"/>
  <c r="N282" i="1" s="1"/>
  <c r="M282" i="1" a="1"/>
  <c r="M282" i="1" s="1"/>
  <c r="L282" i="1" a="1"/>
  <c r="L282" i="1" s="1"/>
  <c r="L284" i="1" a="1"/>
  <c r="L284" i="1" s="1"/>
  <c r="N284" i="1" a="1"/>
  <c r="N284" i="1" s="1"/>
  <c r="M284" i="1" a="1"/>
  <c r="M284" i="1" s="1"/>
  <c r="M288" i="1" a="1"/>
  <c r="M288" i="1" s="1"/>
  <c r="N288" i="1" a="1"/>
  <c r="N288" i="1" s="1"/>
  <c r="L288" i="1" a="1"/>
  <c r="L288" i="1" s="1"/>
  <c r="N290" i="1" a="1"/>
  <c r="N290" i="1" s="1"/>
  <c r="M290" i="1" a="1"/>
  <c r="M290" i="1" s="1"/>
  <c r="L290" i="1" a="1"/>
  <c r="L290" i="1" s="1"/>
  <c r="N294" i="1" a="1"/>
  <c r="N294" i="1" s="1"/>
  <c r="M294" i="1" a="1"/>
  <c r="M294" i="1" s="1"/>
  <c r="L294" i="1" a="1"/>
  <c r="L294" i="1" s="1"/>
  <c r="N296" i="1" a="1"/>
  <c r="N296" i="1" s="1"/>
  <c r="M296" i="1" a="1"/>
  <c r="M296" i="1" s="1"/>
  <c r="L296" i="1" a="1"/>
  <c r="L296" i="1" s="1"/>
  <c r="M300" i="1" a="1"/>
  <c r="M300" i="1" s="1"/>
  <c r="N300" i="1" a="1"/>
  <c r="N300" i="1" s="1"/>
  <c r="L300" i="1" a="1"/>
  <c r="L300" i="1" s="1"/>
  <c r="N302" i="1" a="1"/>
  <c r="N302" i="1" s="1"/>
  <c r="M302" i="1" a="1"/>
  <c r="M302" i="1" s="1"/>
  <c r="L302" i="1" a="1"/>
  <c r="L302" i="1" s="1"/>
  <c r="M306" i="1" a="1"/>
  <c r="M306" i="1" s="1"/>
  <c r="L306" i="1" a="1"/>
  <c r="L306" i="1" s="1"/>
  <c r="N306" i="1" a="1"/>
  <c r="N306" i="1" s="1"/>
  <c r="L308" i="1" a="1"/>
  <c r="L308" i="1" s="1"/>
  <c r="M308" i="1" a="1"/>
  <c r="M308" i="1" s="1"/>
  <c r="N308" i="1" a="1"/>
  <c r="N308" i="1" s="1"/>
  <c r="M312" i="1" a="1"/>
  <c r="M312" i="1" s="1"/>
  <c r="N312" i="1" a="1"/>
  <c r="N312" i="1" s="1"/>
  <c r="L312" i="1" a="1"/>
  <c r="L312" i="1" s="1"/>
  <c r="N314" i="1" a="1"/>
  <c r="N314" i="1" s="1"/>
  <c r="M314" i="1" a="1"/>
  <c r="M314" i="1" s="1"/>
  <c r="L314" i="1" a="1"/>
  <c r="L314" i="1" s="1"/>
  <c r="N318" i="1" a="1"/>
  <c r="N318" i="1" s="1"/>
  <c r="M318" i="1" a="1"/>
  <c r="M318" i="1" s="1"/>
  <c r="L318" i="1" a="1"/>
  <c r="L318" i="1" s="1"/>
  <c r="L320" i="1" a="1"/>
  <c r="L320" i="1" s="1"/>
  <c r="M320" i="1" a="1"/>
  <c r="M320" i="1" s="1"/>
  <c r="N320" i="1" a="1"/>
  <c r="N320" i="1" s="1"/>
  <c r="N324" i="1" a="1"/>
  <c r="N324" i="1" s="1"/>
  <c r="M324" i="1" a="1"/>
  <c r="M324" i="1" s="1"/>
  <c r="L324" i="1" a="1"/>
  <c r="L324" i="1" s="1"/>
  <c r="N326" i="1" a="1"/>
  <c r="N326" i="1" s="1"/>
  <c r="M326" i="1" a="1"/>
  <c r="M326" i="1" s="1"/>
  <c r="L326" i="1" a="1"/>
  <c r="L326" i="1" s="1"/>
  <c r="N330" i="1" a="1"/>
  <c r="N330" i="1" s="1"/>
  <c r="M330" i="1" a="1"/>
  <c r="M330" i="1" s="1"/>
  <c r="L330" i="1" a="1"/>
  <c r="L330" i="1" s="1"/>
  <c r="N332" i="1" a="1"/>
  <c r="N332" i="1" s="1"/>
  <c r="L332" i="1" a="1"/>
  <c r="L332" i="1" s="1"/>
  <c r="M332" i="1" a="1"/>
  <c r="M332" i="1" s="1"/>
  <c r="N336" i="1" a="1"/>
  <c r="N336" i="1" s="1"/>
  <c r="M336" i="1" a="1"/>
  <c r="M336" i="1" s="1"/>
  <c r="L336" i="1" a="1"/>
  <c r="L336" i="1" s="1"/>
  <c r="N338" i="1" a="1"/>
  <c r="N338" i="1" s="1"/>
  <c r="M338" i="1" a="1"/>
  <c r="M338" i="1" s="1"/>
  <c r="L338" i="1" a="1"/>
  <c r="L338" i="1" s="1"/>
  <c r="N342" i="1" a="1"/>
  <c r="N342" i="1" s="1"/>
  <c r="M342" i="1" a="1"/>
  <c r="M342" i="1" s="1"/>
  <c r="L342" i="1" a="1"/>
  <c r="L342" i="1" s="1"/>
  <c r="N344" i="1" a="1"/>
  <c r="N344" i="1" s="1"/>
  <c r="M344" i="1" a="1"/>
  <c r="M344" i="1" s="1"/>
  <c r="L344" i="1" a="1"/>
  <c r="L344" i="1" s="1"/>
  <c r="M348" i="1" a="1"/>
  <c r="M348" i="1" s="1"/>
  <c r="N348" i="1" a="1"/>
  <c r="N348" i="1" s="1"/>
  <c r="L348" i="1" a="1"/>
  <c r="L348" i="1" s="1"/>
  <c r="N350" i="1" a="1"/>
  <c r="N350" i="1" s="1"/>
  <c r="L350" i="1" a="1"/>
  <c r="L350" i="1" s="1"/>
  <c r="M350" i="1" a="1"/>
  <c r="M350" i="1" s="1"/>
  <c r="N354" i="1" a="1"/>
  <c r="N354" i="1" s="1"/>
  <c r="M354" i="1" a="1"/>
  <c r="M354" i="1" s="1"/>
  <c r="L354" i="1" a="1"/>
  <c r="L354" i="1" s="1"/>
  <c r="N356" i="1" a="1"/>
  <c r="N356" i="1" s="1"/>
  <c r="L356" i="1" a="1"/>
  <c r="L356" i="1" s="1"/>
  <c r="M356" i="1" a="1"/>
  <c r="M356" i="1" s="1"/>
  <c r="M360" i="1" a="1"/>
  <c r="M360" i="1" s="1"/>
  <c r="N360" i="1" a="1"/>
  <c r="N360" i="1" s="1"/>
  <c r="L360" i="1" a="1"/>
  <c r="L360" i="1" s="1"/>
  <c r="M362" i="1" a="1"/>
  <c r="M362" i="1" s="1"/>
  <c r="N362" i="1" a="1"/>
  <c r="N362" i="1" s="1"/>
  <c r="L362" i="1" a="1"/>
  <c r="L362" i="1" s="1"/>
  <c r="N366" i="1" a="1"/>
  <c r="N366" i="1" s="1"/>
  <c r="M366" i="1" a="1"/>
  <c r="M366" i="1" s="1"/>
  <c r="L366" i="1" a="1"/>
  <c r="L366" i="1" s="1"/>
  <c r="M368" i="1" a="1"/>
  <c r="M368" i="1" s="1"/>
  <c r="L368" i="1" a="1"/>
  <c r="L368" i="1" s="1"/>
  <c r="N368" i="1" a="1"/>
  <c r="N368" i="1" s="1"/>
  <c r="M372" i="1" a="1"/>
  <c r="M372" i="1" s="1"/>
  <c r="N372" i="1" a="1"/>
  <c r="N372" i="1" s="1"/>
  <c r="L372" i="1" a="1"/>
  <c r="L372" i="1" s="1"/>
  <c r="N374" i="1" a="1"/>
  <c r="N374" i="1" s="1"/>
  <c r="M374" i="1" a="1"/>
  <c r="M374" i="1" s="1"/>
  <c r="L374" i="1" a="1"/>
  <c r="L374" i="1" s="1"/>
  <c r="N378" i="1" a="1"/>
  <c r="N378" i="1" s="1"/>
  <c r="L378" i="1" a="1"/>
  <c r="L378" i="1" s="1"/>
  <c r="M378" i="1" a="1"/>
  <c r="M378" i="1" s="1"/>
  <c r="N380" i="1" a="1"/>
  <c r="N380" i="1" s="1"/>
  <c r="L380" i="1" a="1"/>
  <c r="L380" i="1" s="1"/>
  <c r="M380" i="1" a="1"/>
  <c r="M380" i="1" s="1"/>
  <c r="N384" i="1" a="1"/>
  <c r="N384" i="1" s="1"/>
  <c r="M384" i="1" a="1"/>
  <c r="M384" i="1" s="1"/>
  <c r="L384" i="1" a="1"/>
  <c r="L384" i="1" s="1"/>
  <c r="N386" i="1" a="1"/>
  <c r="N386" i="1" s="1"/>
  <c r="M386" i="1" a="1"/>
  <c r="M386" i="1" s="1"/>
  <c r="L386" i="1" a="1"/>
  <c r="L386" i="1" s="1"/>
  <c r="M390" i="1" a="1"/>
  <c r="M390" i="1" s="1"/>
  <c r="N390" i="1" a="1"/>
  <c r="N390" i="1" s="1"/>
  <c r="L390" i="1" a="1"/>
  <c r="L390" i="1" s="1"/>
  <c r="N392" i="1" a="1"/>
  <c r="N392" i="1" s="1"/>
  <c r="M392" i="1" a="1"/>
  <c r="M392" i="1" s="1"/>
  <c r="L392" i="1" a="1"/>
  <c r="L392" i="1" s="1"/>
  <c r="M396" i="1" a="1"/>
  <c r="M396" i="1" s="1"/>
  <c r="N396" i="1" a="1"/>
  <c r="N396" i="1" s="1"/>
  <c r="L396" i="1" a="1"/>
  <c r="L396" i="1" s="1"/>
  <c r="N398" i="1" a="1"/>
  <c r="N398" i="1" s="1"/>
  <c r="M398" i="1" a="1"/>
  <c r="M398" i="1" s="1"/>
  <c r="L398" i="1" a="1"/>
  <c r="L398" i="1" s="1"/>
  <c r="N402" i="1" a="1"/>
  <c r="N402" i="1" s="1"/>
  <c r="M402" i="1" a="1"/>
  <c r="M402" i="1" s="1"/>
  <c r="L402" i="1" a="1"/>
  <c r="L402" i="1" s="1"/>
  <c r="N404" i="1" a="1"/>
  <c r="N404" i="1" s="1"/>
  <c r="L404" i="1" a="1"/>
  <c r="L404" i="1" s="1"/>
  <c r="M404" i="1" a="1"/>
  <c r="M404" i="1" s="1"/>
  <c r="M408" i="1" a="1"/>
  <c r="M408" i="1" s="1"/>
  <c r="L408" i="1" a="1"/>
  <c r="L408" i="1" s="1"/>
  <c r="N408" i="1" a="1"/>
  <c r="N408" i="1" s="1"/>
  <c r="N410" i="1" a="1"/>
  <c r="N410" i="1" s="1"/>
  <c r="M410" i="1" a="1"/>
  <c r="M410" i="1" s="1"/>
  <c r="L410" i="1" a="1"/>
  <c r="L410" i="1" s="1"/>
  <c r="N414" i="1" a="1"/>
  <c r="N414" i="1" s="1"/>
  <c r="M414" i="1" a="1"/>
  <c r="M414" i="1" s="1"/>
  <c r="L414" i="1" a="1"/>
  <c r="L414" i="1" s="1"/>
  <c r="N416" i="1" a="1"/>
  <c r="N416" i="1" s="1"/>
  <c r="M416" i="1" a="1"/>
  <c r="M416" i="1" s="1"/>
  <c r="L416" i="1" a="1"/>
  <c r="L416" i="1" s="1"/>
  <c r="N420" i="1" a="1"/>
  <c r="N420" i="1" s="1"/>
  <c r="M420" i="1" a="1"/>
  <c r="M420" i="1" s="1"/>
  <c r="L420" i="1" a="1"/>
  <c r="L420" i="1" s="1"/>
  <c r="M422" i="1" a="1"/>
  <c r="M422" i="1" s="1"/>
  <c r="N422" i="1" a="1"/>
  <c r="N422" i="1" s="1"/>
  <c r="L422" i="1" a="1"/>
  <c r="L422" i="1" s="1"/>
  <c r="N426" i="1" a="1"/>
  <c r="N426" i="1" s="1"/>
  <c r="M426" i="1" a="1"/>
  <c r="M426" i="1" s="1"/>
  <c r="L426" i="1" a="1"/>
  <c r="L426" i="1" s="1"/>
  <c r="N428" i="1" a="1"/>
  <c r="N428" i="1" s="1"/>
  <c r="L428" i="1" a="1"/>
  <c r="L428" i="1" s="1"/>
  <c r="M428" i="1" a="1"/>
  <c r="M428" i="1" s="1"/>
  <c r="M432" i="1" a="1"/>
  <c r="M432" i="1" s="1"/>
  <c r="N432" i="1" a="1"/>
  <c r="N432" i="1" s="1"/>
  <c r="L432" i="1" a="1"/>
  <c r="L432" i="1" s="1"/>
  <c r="N434" i="1" a="1"/>
  <c r="N434" i="1" s="1"/>
  <c r="M434" i="1" a="1"/>
  <c r="M434" i="1" s="1"/>
  <c r="L434" i="1" a="1"/>
  <c r="L434" i="1" s="1"/>
  <c r="M438" i="1" a="1"/>
  <c r="M438" i="1" s="1"/>
  <c r="N438" i="1" a="1"/>
  <c r="N438" i="1" s="1"/>
  <c r="L438" i="1" a="1"/>
  <c r="L438" i="1" s="1"/>
  <c r="N440" i="1" a="1"/>
  <c r="N440" i="1" s="1"/>
  <c r="M440" i="1" a="1"/>
  <c r="M440" i="1" s="1"/>
  <c r="L440" i="1" a="1"/>
  <c r="L440" i="1" s="1"/>
  <c r="N444" i="1" a="1"/>
  <c r="N444" i="1" s="1"/>
  <c r="M444" i="1" a="1"/>
  <c r="M444" i="1" s="1"/>
  <c r="L444" i="1" a="1"/>
  <c r="L444" i="1" s="1"/>
  <c r="M446" i="1" a="1"/>
  <c r="M446" i="1" s="1"/>
  <c r="N446" i="1" a="1"/>
  <c r="N446" i="1" s="1"/>
  <c r="L446" i="1" a="1"/>
  <c r="L446" i="1" s="1"/>
  <c r="N450" i="1" a="1"/>
  <c r="N450" i="1" s="1"/>
  <c r="M450" i="1" a="1"/>
  <c r="M450" i="1" s="1"/>
  <c r="L450" i="1" a="1"/>
  <c r="L450" i="1" s="1"/>
  <c r="N452" i="1" a="1"/>
  <c r="N452" i="1" s="1"/>
  <c r="M452" i="1" a="1"/>
  <c r="M452" i="1" s="1"/>
  <c r="L452" i="1" a="1"/>
  <c r="L452" i="1" s="1"/>
  <c r="N456" i="1" a="1"/>
  <c r="N456" i="1" s="1"/>
  <c r="M456" i="1" a="1"/>
  <c r="M456" i="1" s="1"/>
  <c r="L456" i="1" a="1"/>
  <c r="L456" i="1" s="1"/>
  <c r="N458" i="1" a="1"/>
  <c r="N458" i="1" s="1"/>
  <c r="M458" i="1" a="1"/>
  <c r="M458" i="1" s="1"/>
  <c r="L458" i="1" a="1"/>
  <c r="L458" i="1" s="1"/>
  <c r="N462" i="1" a="1"/>
  <c r="N462" i="1" s="1"/>
  <c r="M462" i="1" a="1"/>
  <c r="M462" i="1" s="1"/>
  <c r="L462" i="1" a="1"/>
  <c r="L462" i="1" s="1"/>
  <c r="N464" i="1" a="1"/>
  <c r="N464" i="1" s="1"/>
  <c r="M464" i="1" a="1"/>
  <c r="M464" i="1" s="1"/>
  <c r="L464" i="1" a="1"/>
  <c r="L464" i="1" s="1"/>
  <c r="N468" i="1" a="1"/>
  <c r="N468" i="1" s="1"/>
  <c r="M468" i="1" a="1"/>
  <c r="M468" i="1" s="1"/>
  <c r="L468" i="1" a="1"/>
  <c r="L468" i="1" s="1"/>
  <c r="N470" i="1" a="1"/>
  <c r="N470" i="1" s="1"/>
  <c r="M470" i="1" a="1"/>
  <c r="M470" i="1" s="1"/>
  <c r="L470" i="1" a="1"/>
  <c r="L470" i="1" s="1"/>
  <c r="N474" i="1" a="1"/>
  <c r="N474" i="1" s="1"/>
  <c r="L474" i="1" a="1"/>
  <c r="L474" i="1" s="1"/>
  <c r="M474" i="1" a="1"/>
  <c r="M474" i="1" s="1"/>
  <c r="N476" i="1" a="1"/>
  <c r="N476" i="1" s="1"/>
  <c r="M476" i="1" a="1"/>
  <c r="M476" i="1" s="1"/>
  <c r="L476" i="1" a="1"/>
  <c r="L476" i="1" s="1"/>
  <c r="M480" i="1" a="1"/>
  <c r="M480" i="1" s="1"/>
  <c r="L480" i="1" a="1"/>
  <c r="L480" i="1" s="1"/>
  <c r="N480" i="1" a="1"/>
  <c r="N480" i="1" s="1"/>
  <c r="N482" i="1" a="1"/>
  <c r="N482" i="1" s="1"/>
  <c r="M482" i="1" a="1"/>
  <c r="M482" i="1" s="1"/>
  <c r="L482" i="1" a="1"/>
  <c r="L482" i="1" s="1"/>
  <c r="N486" i="1" a="1"/>
  <c r="N486" i="1" s="1"/>
  <c r="M486" i="1" a="1"/>
  <c r="M486" i="1" s="1"/>
  <c r="L486" i="1" a="1"/>
  <c r="L486" i="1" s="1"/>
  <c r="N488" i="1" a="1"/>
  <c r="N488" i="1" s="1"/>
  <c r="M488" i="1" a="1"/>
  <c r="M488" i="1" s="1"/>
  <c r="L488" i="1" a="1"/>
  <c r="L488" i="1" s="1"/>
  <c r="M492" i="1" a="1"/>
  <c r="M492" i="1" s="1"/>
  <c r="N492" i="1" a="1"/>
  <c r="N492" i="1" s="1"/>
  <c r="L492" i="1" a="1"/>
  <c r="L492" i="1" s="1"/>
  <c r="N494" i="1" a="1"/>
  <c r="N494" i="1" s="1"/>
  <c r="M494" i="1" a="1"/>
  <c r="M494" i="1" s="1"/>
  <c r="L494" i="1" a="1"/>
  <c r="L494" i="1" s="1"/>
  <c r="N498" i="1" a="1"/>
  <c r="N498" i="1" s="1"/>
  <c r="M498" i="1" a="1"/>
  <c r="M498" i="1" s="1"/>
  <c r="L498" i="1" a="1"/>
  <c r="L498" i="1" s="1"/>
  <c r="N500" i="1" a="1"/>
  <c r="N500" i="1" s="1"/>
  <c r="M500" i="1" a="1"/>
  <c r="M500" i="1" s="1"/>
  <c r="L500" i="1" a="1"/>
  <c r="L500" i="1" s="1"/>
  <c r="M504" i="1" a="1"/>
  <c r="M504" i="1" s="1"/>
  <c r="N504" i="1" a="1"/>
  <c r="N504" i="1" s="1"/>
  <c r="L504" i="1" a="1"/>
  <c r="L504" i="1" s="1"/>
  <c r="N506" i="1" a="1"/>
  <c r="N506" i="1" s="1"/>
  <c r="M506" i="1" a="1"/>
  <c r="M506" i="1" s="1"/>
  <c r="L506" i="1" a="1"/>
  <c r="L506" i="1" s="1"/>
  <c r="N510" i="1" a="1"/>
  <c r="N510" i="1" s="1"/>
  <c r="L510" i="1" a="1"/>
  <c r="L510" i="1" s="1"/>
  <c r="M510" i="1" a="1"/>
  <c r="M510" i="1" s="1"/>
  <c r="N512" i="1" a="1"/>
  <c r="N512" i="1" s="1"/>
  <c r="L512" i="1" a="1"/>
  <c r="L512" i="1" s="1"/>
  <c r="M512" i="1" a="1"/>
  <c r="M512" i="1" s="1"/>
  <c r="N516" i="1" a="1"/>
  <c r="N516" i="1" s="1"/>
  <c r="M516" i="1" a="1"/>
  <c r="M516" i="1" s="1"/>
  <c r="L516" i="1" a="1"/>
  <c r="L516" i="1" s="1"/>
  <c r="N518" i="1" a="1"/>
  <c r="N518" i="1" s="1"/>
  <c r="M518" i="1" a="1"/>
  <c r="M518" i="1" s="1"/>
  <c r="L518" i="1" a="1"/>
  <c r="L518" i="1" s="1"/>
  <c r="N522" i="1" a="1"/>
  <c r="N522" i="1" s="1"/>
  <c r="L522" i="1" a="1"/>
  <c r="L522" i="1" s="1"/>
  <c r="M522" i="1" a="1"/>
  <c r="M522" i="1" s="1"/>
  <c r="N524" i="1" a="1"/>
  <c r="N524" i="1" s="1"/>
  <c r="M524" i="1" a="1"/>
  <c r="M524" i="1" s="1"/>
  <c r="L524" i="1" a="1"/>
  <c r="L524" i="1" s="1"/>
  <c r="N528" i="1" a="1"/>
  <c r="N528" i="1" s="1"/>
  <c r="M528" i="1" a="1"/>
  <c r="M528" i="1" s="1"/>
  <c r="L528" i="1" a="1"/>
  <c r="L528" i="1" s="1"/>
  <c r="N530" i="1" a="1"/>
  <c r="N530" i="1" s="1"/>
  <c r="M530" i="1" a="1"/>
  <c r="M530" i="1" s="1"/>
  <c r="L530" i="1" a="1"/>
  <c r="L530" i="1" s="1"/>
  <c r="N534" i="1" a="1"/>
  <c r="N534" i="1" s="1"/>
  <c r="M534" i="1" a="1"/>
  <c r="M534" i="1" s="1"/>
  <c r="L534" i="1" a="1"/>
  <c r="L534" i="1" s="1"/>
  <c r="N536" i="1" a="1"/>
  <c r="N536" i="1" s="1"/>
  <c r="L536" i="1" a="1"/>
  <c r="L536" i="1" s="1"/>
  <c r="M536" i="1" a="1"/>
  <c r="M536" i="1" s="1"/>
  <c r="N540" i="1" a="1"/>
  <c r="N540" i="1" s="1"/>
  <c r="M540" i="1" a="1"/>
  <c r="M540" i="1" s="1"/>
  <c r="L540" i="1" a="1"/>
  <c r="L540" i="1" s="1"/>
  <c r="N542" i="1" a="1"/>
  <c r="N542" i="1" s="1"/>
  <c r="M542" i="1" a="1"/>
  <c r="M542" i="1" s="1"/>
  <c r="L542" i="1" a="1"/>
  <c r="L542" i="1" s="1"/>
  <c r="N546" i="1" a="1"/>
  <c r="N546" i="1" s="1"/>
  <c r="M546" i="1" a="1"/>
  <c r="M546" i="1" s="1"/>
  <c r="L546" i="1" a="1"/>
  <c r="L546" i="1" s="1"/>
  <c r="N548" i="1" a="1"/>
  <c r="N548" i="1" s="1"/>
  <c r="M548" i="1" a="1"/>
  <c r="M548" i="1" s="1"/>
  <c r="L548" i="1" a="1"/>
  <c r="L548" i="1" s="1"/>
  <c r="N552" i="1" a="1"/>
  <c r="N552" i="1" s="1"/>
  <c r="M552" i="1" a="1"/>
  <c r="M552" i="1" s="1"/>
  <c r="L552" i="1" a="1"/>
  <c r="L552" i="1" s="1"/>
  <c r="N554" i="1" a="1"/>
  <c r="N554" i="1" s="1"/>
  <c r="M554" i="1" a="1"/>
  <c r="M554" i="1" s="1"/>
  <c r="L554" i="1" a="1"/>
  <c r="L554" i="1" s="1"/>
  <c r="M558" i="1" a="1"/>
  <c r="M558" i="1" s="1"/>
  <c r="L558" i="1" a="1"/>
  <c r="L558" i="1" s="1"/>
  <c r="N558" i="1" a="1"/>
  <c r="N558" i="1" s="1"/>
  <c r="N560" i="1" a="1"/>
  <c r="N560" i="1" s="1"/>
  <c r="M560" i="1" a="1"/>
  <c r="M560" i="1" s="1"/>
  <c r="L560" i="1" a="1"/>
  <c r="L560" i="1" s="1"/>
  <c r="M564" i="1" a="1"/>
  <c r="M564" i="1" s="1"/>
  <c r="N564" i="1" a="1"/>
  <c r="N564" i="1" s="1"/>
  <c r="L564" i="1" a="1"/>
  <c r="L564" i="1" s="1"/>
  <c r="N566" i="1" a="1"/>
  <c r="N566" i="1" s="1"/>
  <c r="M566" i="1" a="1"/>
  <c r="M566" i="1" s="1"/>
  <c r="L566" i="1" a="1"/>
  <c r="L566" i="1" s="1"/>
  <c r="M570" i="1" a="1"/>
  <c r="M570" i="1" s="1"/>
  <c r="N570" i="1" a="1"/>
  <c r="N570" i="1" s="1"/>
  <c r="L570" i="1" a="1"/>
  <c r="L570" i="1" s="1"/>
  <c r="M572" i="1" a="1"/>
  <c r="M572" i="1" s="1"/>
  <c r="L572" i="1" a="1"/>
  <c r="L572" i="1" s="1"/>
  <c r="N572" i="1" a="1"/>
  <c r="N572" i="1" s="1"/>
  <c r="N576" i="1" a="1"/>
  <c r="N576" i="1" s="1"/>
  <c r="M576" i="1" a="1"/>
  <c r="M576" i="1" s="1"/>
  <c r="L576" i="1" a="1"/>
  <c r="L576" i="1" s="1"/>
  <c r="N578" i="1" a="1"/>
  <c r="N578" i="1" s="1"/>
  <c r="L578" i="1" a="1"/>
  <c r="L578" i="1" s="1"/>
  <c r="M578" i="1" a="1"/>
  <c r="M578" i="1" s="1"/>
  <c r="M582" i="1" a="1"/>
  <c r="M582" i="1" s="1"/>
  <c r="N582" i="1" a="1"/>
  <c r="N582" i="1" s="1"/>
  <c r="L582" i="1" a="1"/>
  <c r="L582" i="1" s="1"/>
  <c r="N584" i="1" a="1"/>
  <c r="N584" i="1" s="1"/>
  <c r="M584" i="1" a="1"/>
  <c r="M584" i="1" s="1"/>
  <c r="L584" i="1" a="1"/>
  <c r="L584" i="1" s="1"/>
  <c r="M588" i="1" a="1"/>
  <c r="M588" i="1" s="1"/>
  <c r="N588" i="1" a="1"/>
  <c r="N588" i="1" s="1"/>
  <c r="L588" i="1" a="1"/>
  <c r="L588" i="1" s="1"/>
  <c r="M590" i="1" a="1"/>
  <c r="M590" i="1" s="1"/>
  <c r="N590" i="1" a="1"/>
  <c r="N590" i="1" s="1"/>
  <c r="L590" i="1" a="1"/>
  <c r="L590" i="1" s="1"/>
  <c r="N594" i="1" a="1"/>
  <c r="N594" i="1" s="1"/>
  <c r="M594" i="1" a="1"/>
  <c r="M594" i="1" s="1"/>
  <c r="L594" i="1" a="1"/>
  <c r="L594" i="1" s="1"/>
  <c r="M596" i="1" a="1"/>
  <c r="M596" i="1" s="1"/>
  <c r="N596" i="1" a="1"/>
  <c r="N596" i="1" s="1"/>
  <c r="L596" i="1" a="1"/>
  <c r="L596" i="1" s="1"/>
  <c r="M600" i="1" a="1"/>
  <c r="M600" i="1" s="1"/>
  <c r="N600" i="1" a="1"/>
  <c r="N600" i="1" s="1"/>
  <c r="L600" i="1" a="1"/>
  <c r="L600" i="1" s="1"/>
  <c r="N602" i="1" a="1"/>
  <c r="N602" i="1" s="1"/>
  <c r="M602" i="1" a="1"/>
  <c r="M602" i="1" s="1"/>
  <c r="L602" i="1" a="1"/>
  <c r="L602" i="1" s="1"/>
  <c r="N606" i="1" a="1"/>
  <c r="N606" i="1" s="1"/>
  <c r="M606" i="1" a="1"/>
  <c r="M606" i="1" s="1"/>
  <c r="L606" i="1" a="1"/>
  <c r="L606" i="1" s="1"/>
  <c r="M608" i="1" a="1"/>
  <c r="M608" i="1" s="1"/>
  <c r="N608" i="1" a="1"/>
  <c r="N608" i="1" s="1"/>
  <c r="L608" i="1" a="1"/>
  <c r="L608" i="1" s="1"/>
  <c r="N612" i="1" a="1"/>
  <c r="N612" i="1" s="1"/>
  <c r="M612" i="1" a="1"/>
  <c r="M612" i="1" s="1"/>
  <c r="L612" i="1" a="1"/>
  <c r="L612" i="1" s="1"/>
  <c r="N614" i="1" a="1"/>
  <c r="N614" i="1" s="1"/>
  <c r="M614" i="1" a="1"/>
  <c r="M614" i="1" s="1"/>
  <c r="L614" i="1" a="1"/>
  <c r="L614" i="1" s="1"/>
  <c r="N618" i="1" a="1"/>
  <c r="N618" i="1" s="1"/>
  <c r="M618" i="1" a="1"/>
  <c r="M618" i="1" s="1"/>
  <c r="L618" i="1" a="1"/>
  <c r="L618" i="1" s="1"/>
  <c r="N620" i="1" a="1"/>
  <c r="N620" i="1" s="1"/>
  <c r="M620" i="1" a="1"/>
  <c r="M620" i="1" s="1"/>
  <c r="L620" i="1" a="1"/>
  <c r="L620" i="1" s="1"/>
  <c r="M624" i="1" a="1"/>
  <c r="M624" i="1" s="1"/>
  <c r="L624" i="1" a="1"/>
  <c r="L624" i="1" s="1"/>
  <c r="N624" i="1" a="1"/>
  <c r="N624" i="1" s="1"/>
  <c r="M626" i="1" a="1"/>
  <c r="M626" i="1" s="1"/>
  <c r="L626" i="1" a="1"/>
  <c r="L626" i="1" s="1"/>
  <c r="N626" i="1" a="1"/>
  <c r="N626" i="1" s="1"/>
  <c r="N630" i="1" a="1"/>
  <c r="N630" i="1" s="1"/>
  <c r="M630" i="1" a="1"/>
  <c r="M630" i="1" s="1"/>
  <c r="L630" i="1" a="1"/>
  <c r="L630" i="1" s="1"/>
  <c r="N632" i="1" a="1"/>
  <c r="N632" i="1" s="1"/>
  <c r="L632" i="1" a="1"/>
  <c r="L632" i="1" s="1"/>
  <c r="M632" i="1" a="1"/>
  <c r="M632" i="1" s="1"/>
  <c r="N636" i="1" a="1"/>
  <c r="N636" i="1" s="1"/>
  <c r="M636" i="1" a="1"/>
  <c r="M636" i="1" s="1"/>
  <c r="L636" i="1" a="1"/>
  <c r="L636" i="1" s="1"/>
  <c r="N638" i="1" a="1"/>
  <c r="N638" i="1" s="1"/>
  <c r="M638" i="1" a="1"/>
  <c r="M638" i="1" s="1"/>
  <c r="L638" i="1" a="1"/>
  <c r="L638" i="1" s="1"/>
  <c r="M642" i="1" a="1"/>
  <c r="M642" i="1" s="1"/>
  <c r="N642" i="1" a="1"/>
  <c r="N642" i="1" s="1"/>
  <c r="L642" i="1" a="1"/>
  <c r="L642" i="1" s="1"/>
  <c r="N644" i="1" a="1"/>
  <c r="N644" i="1" s="1"/>
  <c r="L644" i="1" a="1"/>
  <c r="L644" i="1" s="1"/>
  <c r="M644" i="1" a="1"/>
  <c r="M644" i="1" s="1"/>
  <c r="N648" i="1" a="1"/>
  <c r="N648" i="1" s="1"/>
  <c r="M648" i="1" a="1"/>
  <c r="M648" i="1" s="1"/>
  <c r="L648" i="1" a="1"/>
  <c r="L648" i="1" s="1"/>
  <c r="N650" i="1" a="1"/>
  <c r="N650" i="1" s="1"/>
  <c r="M650" i="1" a="1"/>
  <c r="M650" i="1" s="1"/>
  <c r="L650" i="1" a="1"/>
  <c r="L650" i="1" s="1"/>
  <c r="M654" i="1" a="1"/>
  <c r="M654" i="1" s="1"/>
  <c r="L654" i="1" a="1"/>
  <c r="L654" i="1" s="1"/>
  <c r="N654" i="1" a="1"/>
  <c r="N654" i="1" s="1"/>
  <c r="N656" i="1" a="1"/>
  <c r="N656" i="1" s="1"/>
  <c r="L656" i="1" a="1"/>
  <c r="L656" i="1" s="1"/>
  <c r="M656" i="1" a="1"/>
  <c r="M656" i="1" s="1"/>
  <c r="N660" i="1" a="1"/>
  <c r="N660" i="1" s="1"/>
  <c r="M660" i="1" a="1"/>
  <c r="M660" i="1" s="1"/>
  <c r="L660" i="1" a="1"/>
  <c r="L660" i="1" s="1"/>
  <c r="M662" i="1" a="1"/>
  <c r="M662" i="1" s="1"/>
  <c r="L662" i="1" a="1"/>
  <c r="L662" i="1" s="1"/>
  <c r="N662" i="1" a="1"/>
  <c r="N662" i="1" s="1"/>
  <c r="M666" i="1" a="1"/>
  <c r="M666" i="1" s="1"/>
  <c r="L666" i="1" a="1"/>
  <c r="L666" i="1" s="1"/>
  <c r="N666" i="1" a="1"/>
  <c r="N666" i="1" s="1"/>
  <c r="N668" i="1" a="1"/>
  <c r="N668" i="1" s="1"/>
  <c r="M668" i="1" a="1"/>
  <c r="M668" i="1" s="1"/>
  <c r="L668" i="1" a="1"/>
  <c r="L668" i="1" s="1"/>
  <c r="N672" i="1" a="1"/>
  <c r="N672" i="1" s="1"/>
  <c r="M672" i="1" a="1"/>
  <c r="M672" i="1" s="1"/>
  <c r="L672" i="1" a="1"/>
  <c r="L672" i="1" s="1"/>
  <c r="N674" i="1" a="1"/>
  <c r="N674" i="1" s="1"/>
  <c r="M674" i="1" a="1"/>
  <c r="M674" i="1" s="1"/>
  <c r="L674" i="1" a="1"/>
  <c r="L674" i="1" s="1"/>
  <c r="M678" i="1" a="1"/>
  <c r="M678" i="1" s="1"/>
  <c r="N678" i="1" a="1"/>
  <c r="N678" i="1" s="1"/>
  <c r="L678" i="1" a="1"/>
  <c r="L678" i="1" s="1"/>
  <c r="N680" i="1" a="1"/>
  <c r="N680" i="1" s="1"/>
  <c r="M680" i="1" a="1"/>
  <c r="M680" i="1" s="1"/>
  <c r="L680" i="1" a="1"/>
  <c r="L680" i="1" s="1"/>
  <c r="M684" i="1" a="1"/>
  <c r="M684" i="1" s="1"/>
  <c r="N684" i="1" a="1"/>
  <c r="N684" i="1" s="1"/>
  <c r="L684" i="1" a="1"/>
  <c r="L684" i="1" s="1"/>
  <c r="N686" i="1" a="1"/>
  <c r="N686" i="1" s="1"/>
  <c r="M686" i="1" a="1"/>
  <c r="M686" i="1" s="1"/>
  <c r="L686" i="1" a="1"/>
  <c r="L686" i="1" s="1"/>
  <c r="N690" i="1" a="1"/>
  <c r="N690" i="1" s="1"/>
  <c r="L690" i="1" a="1"/>
  <c r="L690" i="1" s="1"/>
  <c r="M690" i="1" a="1"/>
  <c r="M690" i="1" s="1"/>
  <c r="N692" i="1" a="1"/>
  <c r="N692" i="1" s="1"/>
  <c r="M692" i="1" a="1"/>
  <c r="M692" i="1" s="1"/>
  <c r="L692" i="1" a="1"/>
  <c r="L692" i="1" s="1"/>
  <c r="N696" i="1" a="1"/>
  <c r="N696" i="1" s="1"/>
  <c r="M696" i="1" a="1"/>
  <c r="M696" i="1" s="1"/>
  <c r="L696" i="1" a="1"/>
  <c r="L696" i="1" s="1"/>
  <c r="N698" i="1" a="1"/>
  <c r="N698" i="1" s="1"/>
  <c r="L698" i="1" a="1"/>
  <c r="L698" i="1" s="1"/>
  <c r="M698" i="1" a="1"/>
  <c r="M698" i="1" s="1"/>
  <c r="N702" i="1" a="1"/>
  <c r="N702" i="1" s="1"/>
  <c r="M702" i="1" a="1"/>
  <c r="M702" i="1" s="1"/>
  <c r="L702" i="1" a="1"/>
  <c r="L702" i="1" s="1"/>
  <c r="N704" i="1" a="1"/>
  <c r="N704" i="1" s="1"/>
  <c r="M704" i="1" a="1"/>
  <c r="M704" i="1" s="1"/>
  <c r="L704" i="1" a="1"/>
  <c r="L704" i="1" s="1"/>
  <c r="N708" i="1" a="1"/>
  <c r="N708" i="1" s="1"/>
  <c r="M708" i="1" a="1"/>
  <c r="M708" i="1" s="1"/>
  <c r="L708" i="1" a="1"/>
  <c r="L708" i="1" s="1"/>
  <c r="N710" i="1" a="1"/>
  <c r="N710" i="1" s="1"/>
  <c r="M710" i="1" a="1"/>
  <c r="M710" i="1" s="1"/>
  <c r="L710" i="1" a="1"/>
  <c r="L710" i="1" s="1"/>
  <c r="N714" i="1" a="1"/>
  <c r="N714" i="1" s="1"/>
  <c r="M714" i="1" a="1"/>
  <c r="M714" i="1" s="1"/>
  <c r="L714" i="1" a="1"/>
  <c r="L714" i="1" s="1"/>
  <c r="M716" i="1" a="1"/>
  <c r="M716" i="1" s="1"/>
  <c r="L716" i="1" a="1"/>
  <c r="L716" i="1" s="1"/>
  <c r="N716" i="1" a="1"/>
  <c r="N716" i="1" s="1"/>
  <c r="N720" i="1" a="1"/>
  <c r="N720" i="1" s="1"/>
  <c r="M720" i="1" a="1"/>
  <c r="M720" i="1" s="1"/>
  <c r="L720" i="1" a="1"/>
  <c r="L720" i="1" s="1"/>
  <c r="N722" i="1" a="1"/>
  <c r="N722" i="1" s="1"/>
  <c r="M722" i="1" a="1"/>
  <c r="M722" i="1" s="1"/>
  <c r="L722" i="1" a="1"/>
  <c r="L722" i="1" s="1"/>
  <c r="M726" i="1" a="1"/>
  <c r="M726" i="1" s="1"/>
  <c r="N726" i="1" a="1"/>
  <c r="N726" i="1" s="1"/>
  <c r="L726" i="1" a="1"/>
  <c r="L726" i="1" s="1"/>
  <c r="N728" i="1" a="1"/>
  <c r="N728" i="1" s="1"/>
  <c r="M728" i="1" a="1"/>
  <c r="M728" i="1" s="1"/>
  <c r="L728" i="1" a="1"/>
  <c r="L728" i="1" s="1"/>
  <c r="N732" i="1" a="1"/>
  <c r="N732" i="1" s="1"/>
  <c r="M732" i="1" a="1"/>
  <c r="M732" i="1" s="1"/>
  <c r="L732" i="1" a="1"/>
  <c r="L732" i="1" s="1"/>
  <c r="N734" i="1" a="1"/>
  <c r="N734" i="1" s="1"/>
  <c r="M734" i="1" a="1"/>
  <c r="M734" i="1" s="1"/>
  <c r="L734" i="1" a="1"/>
  <c r="L734" i="1" s="1"/>
  <c r="N738" i="1" a="1"/>
  <c r="N738" i="1" s="1"/>
  <c r="L738" i="1" a="1"/>
  <c r="L738" i="1" s="1"/>
  <c r="M738" i="1" a="1"/>
  <c r="M738" i="1" s="1"/>
  <c r="M740" i="1" a="1"/>
  <c r="M740" i="1" s="1"/>
  <c r="N740" i="1" a="1"/>
  <c r="N740" i="1" s="1"/>
  <c r="L740" i="1" a="1"/>
  <c r="L740" i="1" s="1"/>
  <c r="N744" i="1" a="1"/>
  <c r="N744" i="1" s="1"/>
  <c r="M744" i="1" a="1"/>
  <c r="M744" i="1" s="1"/>
  <c r="L744" i="1" a="1"/>
  <c r="L744" i="1" s="1"/>
  <c r="N746" i="1" a="1"/>
  <c r="N746" i="1" s="1"/>
  <c r="M746" i="1" a="1"/>
  <c r="M746" i="1" s="1"/>
  <c r="L746" i="1" a="1"/>
  <c r="L746" i="1" s="1"/>
  <c r="N750" i="1" a="1"/>
  <c r="N750" i="1" s="1"/>
  <c r="L750" i="1" a="1"/>
  <c r="L750" i="1" s="1"/>
  <c r="M750" i="1" a="1"/>
  <c r="M750" i="1" s="1"/>
  <c r="N752" i="1" a="1"/>
  <c r="N752" i="1" s="1"/>
  <c r="M752" i="1" a="1"/>
  <c r="M752" i="1" s="1"/>
  <c r="L752" i="1" a="1"/>
  <c r="L752" i="1" s="1"/>
  <c r="N756" i="1" a="1"/>
  <c r="N756" i="1" s="1"/>
  <c r="L756" i="1" a="1"/>
  <c r="L756" i="1" s="1"/>
  <c r="M756" i="1" a="1"/>
  <c r="M756" i="1" s="1"/>
  <c r="N758" i="1" a="1"/>
  <c r="N758" i="1" s="1"/>
  <c r="M758" i="1" a="1"/>
  <c r="M758" i="1" s="1"/>
  <c r="L758" i="1" a="1"/>
  <c r="L758" i="1" s="1"/>
  <c r="N762" i="1" a="1"/>
  <c r="N762" i="1" s="1"/>
  <c r="M762" i="1" a="1"/>
  <c r="M762" i="1" s="1"/>
  <c r="L762" i="1" a="1"/>
  <c r="L762" i="1" s="1"/>
  <c r="N764" i="1" a="1"/>
  <c r="N764" i="1" s="1"/>
  <c r="M764" i="1" a="1"/>
  <c r="M764" i="1" s="1"/>
  <c r="L764" i="1" a="1"/>
  <c r="L764" i="1" s="1"/>
  <c r="N768" i="1" a="1"/>
  <c r="N768" i="1" s="1"/>
  <c r="M768" i="1" a="1"/>
  <c r="M768" i="1" s="1"/>
  <c r="L768" i="1" a="1"/>
  <c r="L768" i="1" s="1"/>
  <c r="N770" i="1" a="1"/>
  <c r="N770" i="1" s="1"/>
  <c r="M770" i="1" a="1"/>
  <c r="M770" i="1" s="1"/>
  <c r="L770" i="1" a="1"/>
  <c r="L770" i="1" s="1"/>
  <c r="N774" i="1" a="1"/>
  <c r="N774" i="1" s="1"/>
  <c r="L774" i="1" a="1"/>
  <c r="L774" i="1" s="1"/>
  <c r="M774" i="1" a="1"/>
  <c r="M774" i="1" s="1"/>
  <c r="M776" i="1" a="1"/>
  <c r="M776" i="1" s="1"/>
  <c r="N776" i="1" a="1"/>
  <c r="N776" i="1" s="1"/>
  <c r="L776" i="1" a="1"/>
  <c r="L776" i="1" s="1"/>
  <c r="N780" i="1" a="1"/>
  <c r="N780" i="1" s="1"/>
  <c r="M780" i="1" a="1"/>
  <c r="M780" i="1" s="1"/>
  <c r="L780" i="1" a="1"/>
  <c r="L780" i="1" s="1"/>
  <c r="N782" i="1" a="1"/>
  <c r="N782" i="1" s="1"/>
  <c r="M782" i="1" a="1"/>
  <c r="M782" i="1" s="1"/>
  <c r="L782" i="1" a="1"/>
  <c r="L782" i="1" s="1"/>
  <c r="M786" i="1" a="1"/>
  <c r="M786" i="1" s="1"/>
  <c r="L786" i="1" a="1"/>
  <c r="L786" i="1" s="1"/>
  <c r="N786" i="1" a="1"/>
  <c r="N786" i="1" s="1"/>
  <c r="N788" i="1" a="1"/>
  <c r="N788" i="1" s="1"/>
  <c r="M788" i="1" a="1"/>
  <c r="M788" i="1" s="1"/>
  <c r="L788" i="1" a="1"/>
  <c r="L788" i="1" s="1"/>
  <c r="N792" i="1" a="1"/>
  <c r="N792" i="1" s="1"/>
  <c r="L792" i="1" a="1"/>
  <c r="L792" i="1" s="1"/>
  <c r="M792" i="1" a="1"/>
  <c r="M792" i="1" s="1"/>
  <c r="N794" i="1" a="1"/>
  <c r="N794" i="1" s="1"/>
  <c r="L794" i="1" a="1"/>
  <c r="L794" i="1" s="1"/>
  <c r="M794" i="1" a="1"/>
  <c r="M794" i="1" s="1"/>
  <c r="N798" i="1" a="1"/>
  <c r="N798" i="1" s="1"/>
  <c r="M798" i="1" a="1"/>
  <c r="M798" i="1" s="1"/>
  <c r="L798" i="1" a="1"/>
  <c r="L798" i="1" s="1"/>
  <c r="N800" i="1" a="1"/>
  <c r="N800" i="1" s="1"/>
  <c r="M800" i="1" a="1"/>
  <c r="M800" i="1" s="1"/>
  <c r="L800" i="1" a="1"/>
  <c r="L800" i="1" s="1"/>
  <c r="N804" i="1" a="1"/>
  <c r="N804" i="1" s="1"/>
  <c r="M804" i="1" a="1"/>
  <c r="M804" i="1" s="1"/>
  <c r="L804" i="1" a="1"/>
  <c r="L804" i="1" s="1"/>
  <c r="N806" i="1" a="1"/>
  <c r="N806" i="1" s="1"/>
  <c r="M806" i="1" a="1"/>
  <c r="M806" i="1" s="1"/>
  <c r="L806" i="1" a="1"/>
  <c r="L806" i="1" s="1"/>
  <c r="L810" i="1" a="1"/>
  <c r="L810" i="1" s="1"/>
  <c r="M810" i="1" a="1"/>
  <c r="M810" i="1" s="1"/>
  <c r="N810" i="1" a="1"/>
  <c r="N810" i="1" s="1"/>
  <c r="M812" i="1" a="1"/>
  <c r="M812" i="1" s="1"/>
  <c r="N812" i="1" a="1"/>
  <c r="N812" i="1" s="1"/>
  <c r="L812" i="1" a="1"/>
  <c r="L812" i="1" s="1"/>
  <c r="N816" i="1" a="1"/>
  <c r="N816" i="1" s="1"/>
  <c r="M816" i="1" a="1"/>
  <c r="M816" i="1" s="1"/>
  <c r="L816" i="1" a="1"/>
  <c r="L816" i="1" s="1"/>
  <c r="N818" i="1" a="1"/>
  <c r="N818" i="1" s="1"/>
  <c r="M818" i="1" a="1"/>
  <c r="M818" i="1" s="1"/>
  <c r="L818" i="1" a="1"/>
  <c r="L818" i="1" s="1"/>
  <c r="N822" i="1" a="1"/>
  <c r="N822" i="1" s="1"/>
  <c r="L822" i="1" a="1"/>
  <c r="L822" i="1" s="1"/>
  <c r="M822" i="1" a="1"/>
  <c r="M822" i="1" s="1"/>
  <c r="N824" i="1" a="1"/>
  <c r="N824" i="1" s="1"/>
  <c r="L824" i="1" a="1"/>
  <c r="L824" i="1" s="1"/>
  <c r="M824" i="1" a="1"/>
  <c r="M824" i="1" s="1"/>
  <c r="N828" i="1" a="1"/>
  <c r="N828" i="1" s="1"/>
  <c r="M828" i="1" a="1"/>
  <c r="M828" i="1" s="1"/>
  <c r="L828" i="1" a="1"/>
  <c r="L828" i="1" s="1"/>
  <c r="N830" i="1" a="1"/>
  <c r="N830" i="1" s="1"/>
  <c r="L830" i="1" a="1"/>
  <c r="L830" i="1" s="1"/>
  <c r="M830" i="1" a="1"/>
  <c r="M830" i="1" s="1"/>
  <c r="N834" i="1" a="1"/>
  <c r="N834" i="1" s="1"/>
  <c r="L834" i="1" a="1"/>
  <c r="L834" i="1" s="1"/>
  <c r="M834" i="1" a="1"/>
  <c r="M834" i="1" s="1"/>
  <c r="N836" i="1" a="1"/>
  <c r="N836" i="1" s="1"/>
  <c r="M836" i="1" a="1"/>
  <c r="M836" i="1" s="1"/>
  <c r="L836" i="1" a="1"/>
  <c r="L836" i="1" s="1"/>
  <c r="L840" i="1" a="1"/>
  <c r="L840" i="1" s="1"/>
  <c r="M840" i="1" a="1"/>
  <c r="M840" i="1" s="1"/>
  <c r="N840" i="1" a="1"/>
  <c r="N840" i="1" s="1"/>
  <c r="N842" i="1" a="1"/>
  <c r="N842" i="1" s="1"/>
  <c r="M842" i="1" a="1"/>
  <c r="M842" i="1" s="1"/>
  <c r="L842" i="1" a="1"/>
  <c r="L842" i="1" s="1"/>
  <c r="N846" i="1" a="1"/>
  <c r="N846" i="1" s="1"/>
  <c r="M846" i="1" a="1"/>
  <c r="M846" i="1" s="1"/>
  <c r="L846" i="1" a="1"/>
  <c r="L846" i="1" s="1"/>
  <c r="M848" i="1" a="1"/>
  <c r="M848" i="1" s="1"/>
  <c r="N848" i="1" a="1"/>
  <c r="N848" i="1" s="1"/>
  <c r="L848" i="1" a="1"/>
  <c r="L848" i="1" s="1"/>
  <c r="N852" i="1" a="1"/>
  <c r="N852" i="1" s="1"/>
  <c r="M852" i="1" a="1"/>
  <c r="M852" i="1" s="1"/>
  <c r="L852" i="1" a="1"/>
  <c r="L852" i="1" s="1"/>
  <c r="N854" i="1" a="1"/>
  <c r="N854" i="1" s="1"/>
  <c r="M854" i="1" a="1"/>
  <c r="M854" i="1" s="1"/>
  <c r="L854" i="1" a="1"/>
  <c r="L854" i="1" s="1"/>
  <c r="N858" i="1" a="1"/>
  <c r="N858" i="1" s="1"/>
  <c r="M858" i="1" a="1"/>
  <c r="M858" i="1" s="1"/>
  <c r="L858" i="1" a="1"/>
  <c r="L858" i="1" s="1"/>
  <c r="N860" i="1" a="1"/>
  <c r="N860" i="1" s="1"/>
  <c r="M860" i="1" a="1"/>
  <c r="M860" i="1" s="1"/>
  <c r="L860" i="1" a="1"/>
  <c r="L860" i="1" s="1"/>
  <c r="M864" i="1" a="1"/>
  <c r="M864" i="1" s="1"/>
  <c r="N864" i="1" a="1"/>
  <c r="N864" i="1" s="1"/>
  <c r="L864" i="1" a="1"/>
  <c r="L864" i="1" s="1"/>
  <c r="N866" i="1" a="1"/>
  <c r="N866" i="1" s="1"/>
  <c r="M866" i="1" a="1"/>
  <c r="M866" i="1" s="1"/>
  <c r="L866" i="1" a="1"/>
  <c r="L866" i="1" s="1"/>
  <c r="M870" i="1" a="1"/>
  <c r="M870" i="1" s="1"/>
  <c r="L870" i="1" a="1"/>
  <c r="L870" i="1" s="1"/>
  <c r="N870" i="1" a="1"/>
  <c r="N870" i="1" s="1"/>
  <c r="M872" i="1" a="1"/>
  <c r="M872" i="1" s="1"/>
  <c r="N872" i="1" a="1"/>
  <c r="N872" i="1" s="1"/>
  <c r="L872" i="1" a="1"/>
  <c r="L872" i="1" s="1"/>
  <c r="N876" i="1" a="1"/>
  <c r="N876" i="1" s="1"/>
  <c r="L876" i="1" a="1"/>
  <c r="L876" i="1" s="1"/>
  <c r="M876" i="1" a="1"/>
  <c r="M876" i="1" s="1"/>
  <c r="N878" i="1" a="1"/>
  <c r="N878" i="1" s="1"/>
  <c r="L878" i="1" a="1"/>
  <c r="L878" i="1" s="1"/>
  <c r="M878" i="1" a="1"/>
  <c r="M878" i="1" s="1"/>
  <c r="N882" i="1" a="1"/>
  <c r="N882" i="1" s="1"/>
  <c r="L882" i="1" a="1"/>
  <c r="L882" i="1" s="1"/>
  <c r="M882" i="1" a="1"/>
  <c r="M882" i="1" s="1"/>
  <c r="N884" i="1" a="1"/>
  <c r="N884" i="1" s="1"/>
  <c r="M884" i="1" a="1"/>
  <c r="M884" i="1" s="1"/>
  <c r="L884" i="1" a="1"/>
  <c r="L884" i="1" s="1"/>
  <c r="N888" i="1" a="1"/>
  <c r="N888" i="1" s="1"/>
  <c r="M888" i="1" a="1"/>
  <c r="M888" i="1" s="1"/>
  <c r="L888" i="1" a="1"/>
  <c r="L888" i="1" s="1"/>
  <c r="N890" i="1" a="1"/>
  <c r="N890" i="1" s="1"/>
  <c r="M890" i="1" a="1"/>
  <c r="M890" i="1" s="1"/>
  <c r="L890" i="1" a="1"/>
  <c r="L890" i="1" s="1"/>
  <c r="N894" i="1" a="1"/>
  <c r="N894" i="1" s="1"/>
  <c r="L894" i="1" a="1"/>
  <c r="L894" i="1" s="1"/>
  <c r="M894" i="1" a="1"/>
  <c r="M894" i="1" s="1"/>
  <c r="M896" i="1" a="1"/>
  <c r="M896" i="1" s="1"/>
  <c r="L896" i="1" a="1"/>
  <c r="L896" i="1" s="1"/>
  <c r="N896" i="1" a="1"/>
  <c r="N896" i="1" s="1"/>
  <c r="N900" i="1" a="1"/>
  <c r="N900" i="1" s="1"/>
  <c r="M900" i="1" a="1"/>
  <c r="M900" i="1" s="1"/>
  <c r="L900" i="1" a="1"/>
  <c r="L900" i="1" s="1"/>
  <c r="N902" i="1" a="1"/>
  <c r="N902" i="1" s="1"/>
  <c r="M902" i="1" a="1"/>
  <c r="M902" i="1" s="1"/>
  <c r="L902" i="1" a="1"/>
  <c r="L902" i="1" s="1"/>
  <c r="N906" i="1" a="1"/>
  <c r="N906" i="1" s="1"/>
  <c r="L906" i="1" a="1"/>
  <c r="L906" i="1" s="1"/>
  <c r="M906" i="1" a="1"/>
  <c r="M906" i="1" s="1"/>
  <c r="N908" i="1" a="1"/>
  <c r="N908" i="1" s="1"/>
  <c r="M908" i="1" a="1"/>
  <c r="M908" i="1" s="1"/>
  <c r="L908" i="1" a="1"/>
  <c r="L908" i="1" s="1"/>
  <c r="M912" i="1" a="1"/>
  <c r="M912" i="1" s="1"/>
  <c r="N912" i="1" a="1"/>
  <c r="N912" i="1" s="1"/>
  <c r="L912" i="1" a="1"/>
  <c r="L912" i="1" s="1"/>
  <c r="M914" i="1" a="1"/>
  <c r="M914" i="1" s="1"/>
  <c r="N914" i="1" a="1"/>
  <c r="N914" i="1" s="1"/>
  <c r="L914" i="1" a="1"/>
  <c r="L914" i="1" s="1"/>
  <c r="N918" i="1" a="1"/>
  <c r="N918" i="1" s="1"/>
  <c r="L918" i="1" a="1"/>
  <c r="L918" i="1" s="1"/>
  <c r="M918" i="1" a="1"/>
  <c r="M918" i="1" s="1"/>
  <c r="N920" i="1" a="1"/>
  <c r="N920" i="1" s="1"/>
  <c r="M920" i="1" a="1"/>
  <c r="M920" i="1" s="1"/>
  <c r="L920" i="1" a="1"/>
  <c r="L920" i="1" s="1"/>
  <c r="M924" i="1" a="1"/>
  <c r="M924" i="1" s="1"/>
  <c r="N924" i="1" a="1"/>
  <c r="N924" i="1" s="1"/>
  <c r="L924" i="1" a="1"/>
  <c r="L924" i="1" s="1"/>
  <c r="N926" i="1" a="1"/>
  <c r="N926" i="1" s="1"/>
  <c r="L926" i="1" a="1"/>
  <c r="L926" i="1" s="1"/>
  <c r="M926" i="1" a="1"/>
  <c r="M926" i="1" s="1"/>
  <c r="N930" i="1" a="1"/>
  <c r="N930" i="1" s="1"/>
  <c r="M930" i="1" a="1"/>
  <c r="M930" i="1" s="1"/>
  <c r="L930" i="1" a="1"/>
  <c r="L930" i="1" s="1"/>
  <c r="N932" i="1" a="1"/>
  <c r="N932" i="1" s="1"/>
  <c r="M932" i="1" a="1"/>
  <c r="M932" i="1" s="1"/>
  <c r="L932" i="1" a="1"/>
  <c r="L932" i="1" s="1"/>
  <c r="N936" i="1" a="1"/>
  <c r="N936" i="1" s="1"/>
  <c r="M936" i="1" a="1"/>
  <c r="M936" i="1" s="1"/>
  <c r="L936" i="1" a="1"/>
  <c r="L936" i="1" s="1"/>
  <c r="M938" i="1" a="1"/>
  <c r="M938" i="1" s="1"/>
  <c r="N938" i="1" a="1"/>
  <c r="N938" i="1" s="1"/>
  <c r="L938" i="1" a="1"/>
  <c r="L938" i="1" s="1"/>
  <c r="L942" i="1" a="1"/>
  <c r="L942" i="1" s="1"/>
  <c r="N942" i="1" a="1"/>
  <c r="N942" i="1" s="1"/>
  <c r="M942" i="1" a="1"/>
  <c r="M942" i="1" s="1"/>
  <c r="N944" i="1" a="1"/>
  <c r="N944" i="1" s="1"/>
  <c r="M944" i="1" a="1"/>
  <c r="M944" i="1" s="1"/>
  <c r="L944" i="1" a="1"/>
  <c r="L944" i="1" s="1"/>
  <c r="N948" i="1" a="1"/>
  <c r="N948" i="1" s="1"/>
  <c r="M948" i="1" a="1"/>
  <c r="M948" i="1" s="1"/>
  <c r="L948" i="1" a="1"/>
  <c r="L948" i="1" s="1"/>
  <c r="N950" i="1" a="1"/>
  <c r="N950" i="1" s="1"/>
  <c r="M950" i="1" a="1"/>
  <c r="M950" i="1" s="1"/>
  <c r="L950" i="1" a="1"/>
  <c r="L950" i="1" s="1"/>
  <c r="L954" i="1" a="1"/>
  <c r="L954" i="1" s="1"/>
  <c r="M954" i="1" a="1"/>
  <c r="M954" i="1" s="1"/>
  <c r="N954" i="1" a="1"/>
  <c r="N954" i="1" s="1"/>
  <c r="M956" i="1" a="1"/>
  <c r="M956" i="1" s="1"/>
  <c r="L956" i="1" a="1"/>
  <c r="L956" i="1" s="1"/>
  <c r="N956" i="1" a="1"/>
  <c r="N956" i="1" s="1"/>
  <c r="N960" i="1" a="1"/>
  <c r="N960" i="1" s="1"/>
  <c r="M960" i="1" a="1"/>
  <c r="M960" i="1" s="1"/>
  <c r="L960" i="1" a="1"/>
  <c r="L960" i="1" s="1"/>
  <c r="N962" i="1" a="1"/>
  <c r="N962" i="1" s="1"/>
  <c r="L962" i="1" a="1"/>
  <c r="L962" i="1" s="1"/>
  <c r="M962" i="1" a="1"/>
  <c r="M962" i="1" s="1"/>
  <c r="N966" i="1" a="1"/>
  <c r="N966" i="1" s="1"/>
  <c r="M966" i="1" a="1"/>
  <c r="M966" i="1" s="1"/>
  <c r="L966" i="1" a="1"/>
  <c r="L966" i="1" s="1"/>
  <c r="N968" i="1" a="1"/>
  <c r="N968" i="1" s="1"/>
  <c r="M968" i="1" a="1"/>
  <c r="M968" i="1" s="1"/>
  <c r="L968" i="1" a="1"/>
  <c r="L968" i="1" s="1"/>
  <c r="N972" i="1" a="1"/>
  <c r="N972" i="1" s="1"/>
  <c r="M972" i="1" a="1"/>
  <c r="M972" i="1" s="1"/>
  <c r="L972" i="1" a="1"/>
  <c r="L972" i="1" s="1"/>
  <c r="N974" i="1" a="1"/>
  <c r="N974" i="1" s="1"/>
  <c r="M974" i="1" a="1"/>
  <c r="M974" i="1" s="1"/>
  <c r="L974" i="1" a="1"/>
  <c r="L974" i="1" s="1"/>
  <c r="N978" i="1" a="1"/>
  <c r="N978" i="1" s="1"/>
  <c r="L978" i="1" a="1"/>
  <c r="L978" i="1" s="1"/>
  <c r="M978" i="1" a="1"/>
  <c r="M978" i="1" s="1"/>
  <c r="N980" i="1" a="1"/>
  <c r="N980" i="1" s="1"/>
  <c r="M980" i="1" a="1"/>
  <c r="M980" i="1" s="1"/>
  <c r="L980" i="1" a="1"/>
  <c r="L980" i="1" s="1"/>
  <c r="L984" i="1" a="1"/>
  <c r="L984" i="1" s="1"/>
  <c r="N984" i="1" a="1"/>
  <c r="N984" i="1" s="1"/>
  <c r="M984" i="1" a="1"/>
  <c r="M984" i="1" s="1"/>
  <c r="N986" i="1" a="1"/>
  <c r="N986" i="1" s="1"/>
  <c r="M986" i="1" a="1"/>
  <c r="M986" i="1" s="1"/>
  <c r="L986" i="1" a="1"/>
  <c r="L986" i="1" s="1"/>
  <c r="N990" i="1" a="1"/>
  <c r="N990" i="1" s="1"/>
  <c r="L990" i="1" a="1"/>
  <c r="L990" i="1" s="1"/>
  <c r="M990" i="1" a="1"/>
  <c r="M990" i="1" s="1"/>
  <c r="N992" i="1" a="1"/>
  <c r="N992" i="1" s="1"/>
  <c r="M992" i="1" a="1"/>
  <c r="M992" i="1" s="1"/>
  <c r="L992" i="1" a="1"/>
  <c r="L992" i="1" s="1"/>
  <c r="N996" i="1" a="1"/>
  <c r="N996" i="1" s="1"/>
  <c r="M996" i="1" a="1"/>
  <c r="M996" i="1" s="1"/>
  <c r="L996" i="1" a="1"/>
  <c r="L996" i="1" s="1"/>
  <c r="N998" i="1" a="1"/>
  <c r="N998" i="1" s="1"/>
  <c r="M998" i="1" a="1"/>
  <c r="M998" i="1" s="1"/>
  <c r="L998" i="1" a="1"/>
  <c r="L998" i="1" s="1"/>
  <c r="N1002" i="1" a="1"/>
  <c r="N1002" i="1" s="1"/>
  <c r="L1002" i="1" a="1"/>
  <c r="L1002" i="1" s="1"/>
  <c r="M1002" i="1" a="1"/>
  <c r="M1002" i="1" s="1"/>
  <c r="N1004" i="1" a="1"/>
  <c r="N1004" i="1" s="1"/>
  <c r="L1004" i="1" a="1"/>
  <c r="L1004" i="1" s="1"/>
  <c r="M1004" i="1" a="1"/>
  <c r="M1004" i="1" s="1"/>
  <c r="N1008" i="1" a="1"/>
  <c r="N1008" i="1" s="1"/>
  <c r="M1008" i="1" a="1"/>
  <c r="M1008" i="1" s="1"/>
  <c r="L1008" i="1" a="1"/>
  <c r="L1008" i="1" s="1"/>
  <c r="M1010" i="1" a="1"/>
  <c r="M1010" i="1" s="1"/>
  <c r="N1010" i="1" a="1"/>
  <c r="N1010" i="1" s="1"/>
  <c r="L1010" i="1" a="1"/>
  <c r="L1010" i="1" s="1"/>
  <c r="N1014" i="1" a="1"/>
  <c r="N1014" i="1" s="1"/>
  <c r="L1014" i="1" a="1"/>
  <c r="L1014" i="1" s="1"/>
  <c r="M1014" i="1" a="1"/>
  <c r="M1014" i="1" s="1"/>
  <c r="M1016" i="1" a="1"/>
  <c r="M1016" i="1" s="1"/>
  <c r="N1016" i="1" a="1"/>
  <c r="N1016" i="1" s="1"/>
  <c r="L1016" i="1" a="1"/>
  <c r="L1016" i="1" s="1"/>
  <c r="N1020" i="1" a="1"/>
  <c r="N1020" i="1" s="1"/>
  <c r="L1020" i="1" a="1"/>
  <c r="L1020" i="1" s="1"/>
  <c r="M1020" i="1" a="1"/>
  <c r="M1020" i="1" s="1"/>
  <c r="M1022" i="1" a="1"/>
  <c r="M1022" i="1" s="1"/>
  <c r="L1022" i="1" a="1"/>
  <c r="L1022" i="1" s="1"/>
  <c r="N1022" i="1" a="1"/>
  <c r="N1022" i="1" s="1"/>
  <c r="N1026" i="1" a="1"/>
  <c r="N1026" i="1" s="1"/>
  <c r="M1026" i="1" a="1"/>
  <c r="M1026" i="1" s="1"/>
  <c r="L1026" i="1" a="1"/>
  <c r="L1026" i="1" s="1"/>
  <c r="N1028" i="1" a="1"/>
  <c r="N1028" i="1" s="1"/>
  <c r="M1028" i="1" a="1"/>
  <c r="M1028" i="1" s="1"/>
  <c r="L1028" i="1" a="1"/>
  <c r="L1028" i="1" s="1"/>
  <c r="N1032" i="1" a="1"/>
  <c r="N1032" i="1" s="1"/>
  <c r="M1032" i="1" a="1"/>
  <c r="M1032" i="1" s="1"/>
  <c r="L1032" i="1" a="1"/>
  <c r="L1032" i="1" s="1"/>
  <c r="N1034" i="1" a="1"/>
  <c r="N1034" i="1" s="1"/>
  <c r="M1034" i="1" a="1"/>
  <c r="M1034" i="1" s="1"/>
  <c r="L1034" i="1" a="1"/>
  <c r="L1034" i="1" s="1"/>
  <c r="N1038" i="1" a="1"/>
  <c r="N1038" i="1" s="1"/>
  <c r="M1038" i="1" a="1"/>
  <c r="M1038" i="1" s="1"/>
  <c r="L1038" i="1" a="1"/>
  <c r="L1038" i="1" s="1"/>
  <c r="N1040" i="1" a="1"/>
  <c r="N1040" i="1" s="1"/>
  <c r="M1040" i="1" a="1"/>
  <c r="M1040" i="1" s="1"/>
  <c r="L1040" i="1" a="1"/>
  <c r="L1040" i="1" s="1"/>
  <c r="N1044" i="1" a="1"/>
  <c r="N1044" i="1" s="1"/>
  <c r="L1044" i="1" a="1"/>
  <c r="L1044" i="1" s="1"/>
  <c r="M1044" i="1" a="1"/>
  <c r="M1044" i="1" s="1"/>
  <c r="N1046" i="1" a="1"/>
  <c r="N1046" i="1" s="1"/>
  <c r="M1046" i="1" a="1"/>
  <c r="M1046" i="1" s="1"/>
  <c r="L1046" i="1" a="1"/>
  <c r="L1046" i="1" s="1"/>
  <c r="N1050" i="1" a="1"/>
  <c r="N1050" i="1" s="1"/>
  <c r="L1050" i="1" a="1"/>
  <c r="L1050" i="1" s="1"/>
  <c r="M1050" i="1" a="1"/>
  <c r="M1050" i="1" s="1"/>
  <c r="M1052" i="1" a="1"/>
  <c r="M1052" i="1" s="1"/>
  <c r="N1052" i="1" a="1"/>
  <c r="N1052" i="1" s="1"/>
  <c r="L1052" i="1" a="1"/>
  <c r="L1052" i="1" s="1"/>
  <c r="N1056" i="1" a="1"/>
  <c r="N1056" i="1" s="1"/>
  <c r="L1056" i="1" a="1"/>
  <c r="L1056" i="1" s="1"/>
  <c r="M1056" i="1" a="1"/>
  <c r="M1056" i="1" s="1"/>
  <c r="N1058" i="1" a="1"/>
  <c r="N1058" i="1" s="1"/>
  <c r="M1058" i="1" a="1"/>
  <c r="M1058" i="1" s="1"/>
  <c r="L1058" i="1" a="1"/>
  <c r="L1058" i="1" s="1"/>
  <c r="N1062" i="1" a="1"/>
  <c r="N1062" i="1" s="1"/>
  <c r="M1062" i="1" a="1"/>
  <c r="M1062" i="1" s="1"/>
  <c r="L1062" i="1" a="1"/>
  <c r="L1062" i="1" s="1"/>
  <c r="N1064" i="1" a="1"/>
  <c r="N1064" i="1" s="1"/>
  <c r="M1064" i="1" a="1"/>
  <c r="M1064" i="1" s="1"/>
  <c r="L1064" i="1" a="1"/>
  <c r="L1064" i="1" s="1"/>
  <c r="N1068" i="1" a="1"/>
  <c r="N1068" i="1" s="1"/>
  <c r="M1068" i="1" a="1"/>
  <c r="M1068" i="1" s="1"/>
  <c r="L1068" i="1" a="1"/>
  <c r="L1068" i="1" s="1"/>
  <c r="N1070" i="1" a="1"/>
  <c r="N1070" i="1" s="1"/>
  <c r="M1070" i="1" a="1"/>
  <c r="M1070" i="1" s="1"/>
  <c r="L1070" i="1" a="1"/>
  <c r="L1070" i="1" s="1"/>
  <c r="N1074" i="1" a="1"/>
  <c r="N1074" i="1" s="1"/>
  <c r="L1074" i="1" a="1"/>
  <c r="L1074" i="1" s="1"/>
  <c r="M1074" i="1" a="1"/>
  <c r="M1074" i="1" s="1"/>
  <c r="N1076" i="1" a="1"/>
  <c r="N1076" i="1" s="1"/>
  <c r="L1076" i="1" a="1"/>
  <c r="L1076" i="1" s="1"/>
  <c r="M1076" i="1" a="1"/>
  <c r="M1076" i="1" s="1"/>
  <c r="N1080" i="1" a="1"/>
  <c r="N1080" i="1" s="1"/>
  <c r="L1080" i="1" a="1"/>
  <c r="L1080" i="1" s="1"/>
  <c r="M1080" i="1" a="1"/>
  <c r="M1080" i="1" s="1"/>
  <c r="N1082" i="1" a="1"/>
  <c r="N1082" i="1" s="1"/>
  <c r="M1082" i="1" a="1"/>
  <c r="M1082" i="1" s="1"/>
  <c r="L1082" i="1" a="1"/>
  <c r="L1082" i="1" s="1"/>
  <c r="N1086" i="1" a="1"/>
  <c r="N1086" i="1" s="1"/>
  <c r="L1086" i="1" a="1"/>
  <c r="L1086" i="1" s="1"/>
  <c r="M1086" i="1" a="1"/>
  <c r="M1086" i="1" s="1"/>
  <c r="N1088" i="1" a="1"/>
  <c r="N1088" i="1" s="1"/>
  <c r="M1088" i="1" a="1"/>
  <c r="M1088" i="1" s="1"/>
  <c r="L1088" i="1" a="1"/>
  <c r="L1088" i="1" s="1"/>
  <c r="N1092" i="1" a="1"/>
  <c r="N1092" i="1" s="1"/>
  <c r="M1092" i="1" a="1"/>
  <c r="M1092" i="1" s="1"/>
  <c r="L1092" i="1" a="1"/>
  <c r="L1092" i="1" s="1"/>
  <c r="N1094" i="1" a="1"/>
  <c r="N1094" i="1" s="1"/>
  <c r="M1094" i="1" a="1"/>
  <c r="M1094" i="1" s="1"/>
  <c r="L1094" i="1" a="1"/>
  <c r="L1094" i="1" s="1"/>
  <c r="L1098" i="1" a="1"/>
  <c r="L1098" i="1" s="1"/>
  <c r="N1098" i="1" a="1"/>
  <c r="N1098" i="1" s="1"/>
  <c r="M1098" i="1" a="1"/>
  <c r="M1098" i="1" s="1"/>
  <c r="N1100" i="1" a="1"/>
  <c r="N1100" i="1" s="1"/>
  <c r="M1100" i="1" a="1"/>
  <c r="M1100" i="1" s="1"/>
  <c r="L1100" i="1" a="1"/>
  <c r="L1100" i="1" s="1"/>
  <c r="N1104" i="1" a="1"/>
  <c r="N1104" i="1" s="1"/>
  <c r="M1104" i="1" a="1"/>
  <c r="M1104" i="1" s="1"/>
  <c r="L1104" i="1" a="1"/>
  <c r="L1104" i="1" s="1"/>
  <c r="N1106" i="1" a="1"/>
  <c r="N1106" i="1" s="1"/>
  <c r="M1106" i="1" a="1"/>
  <c r="M1106" i="1" s="1"/>
  <c r="L1106" i="1" a="1"/>
  <c r="L1106" i="1" s="1"/>
  <c r="M1110" i="1" a="1"/>
  <c r="M1110" i="1" s="1"/>
  <c r="N1110" i="1" a="1"/>
  <c r="N1110" i="1" s="1"/>
  <c r="L1110" i="1" a="1"/>
  <c r="L1110" i="1" s="1"/>
  <c r="N1112" i="1" a="1"/>
  <c r="N1112" i="1" s="1"/>
  <c r="M1112" i="1" a="1"/>
  <c r="M1112" i="1" s="1"/>
  <c r="L1112" i="1" a="1"/>
  <c r="L1112" i="1" s="1"/>
  <c r="N1116" i="1" a="1"/>
  <c r="N1116" i="1" s="1"/>
  <c r="L1116" i="1" a="1"/>
  <c r="L1116" i="1" s="1"/>
  <c r="M1116" i="1" a="1"/>
  <c r="M1116" i="1" s="1"/>
  <c r="N1118" i="1" a="1"/>
  <c r="N1118" i="1" s="1"/>
  <c r="L1118" i="1" a="1"/>
  <c r="L1118" i="1" s="1"/>
  <c r="M1118" i="1" a="1"/>
  <c r="M1118" i="1" s="1"/>
  <c r="N1122" i="1" a="1"/>
  <c r="N1122" i="1" s="1"/>
  <c r="L1122" i="1" a="1"/>
  <c r="L1122" i="1" s="1"/>
  <c r="M1122" i="1" a="1"/>
  <c r="M1122" i="1" s="1"/>
  <c r="N1124" i="1" a="1"/>
  <c r="N1124" i="1" s="1"/>
  <c r="M1124" i="1" a="1"/>
  <c r="M1124" i="1" s="1"/>
  <c r="L1124" i="1" a="1"/>
  <c r="L1124" i="1" s="1"/>
  <c r="N1128" i="1" a="1"/>
  <c r="N1128" i="1" s="1"/>
  <c r="M1128" i="1" a="1"/>
  <c r="M1128" i="1" s="1"/>
  <c r="L1128" i="1" a="1"/>
  <c r="L1128" i="1" s="1"/>
  <c r="N1130" i="1" a="1"/>
  <c r="N1130" i="1" s="1"/>
  <c r="M1130" i="1" a="1"/>
  <c r="M1130" i="1" s="1"/>
  <c r="L1130" i="1" a="1"/>
  <c r="L1130" i="1" s="1"/>
  <c r="L1134" i="1" a="1"/>
  <c r="L1134" i="1" s="1"/>
  <c r="N1134" i="1" a="1"/>
  <c r="N1134" i="1" s="1"/>
  <c r="M1134" i="1" a="1"/>
  <c r="M1134" i="1" s="1"/>
  <c r="M1136" i="1" a="1"/>
  <c r="M1136" i="1" s="1"/>
  <c r="L1136" i="1" a="1"/>
  <c r="L1136" i="1" s="1"/>
  <c r="N1136" i="1" a="1"/>
  <c r="N1136" i="1" s="1"/>
  <c r="N1140" i="1" a="1"/>
  <c r="N1140" i="1" s="1"/>
  <c r="M1140" i="1" a="1"/>
  <c r="M1140" i="1" s="1"/>
  <c r="L1140" i="1" a="1"/>
  <c r="L1140" i="1" s="1"/>
  <c r="M1142" i="1" a="1"/>
  <c r="M1142" i="1" s="1"/>
  <c r="N1142" i="1" a="1"/>
  <c r="N1142" i="1" s="1"/>
  <c r="L1142" i="1" a="1"/>
  <c r="L1142" i="1" s="1"/>
  <c r="N1146" i="1" a="1"/>
  <c r="N1146" i="1" s="1"/>
  <c r="L1146" i="1" a="1"/>
  <c r="L1146" i="1" s="1"/>
  <c r="M1146" i="1" a="1"/>
  <c r="M1146" i="1" s="1"/>
  <c r="N1148" i="1" a="1"/>
  <c r="N1148" i="1" s="1"/>
  <c r="M1148" i="1" a="1"/>
  <c r="M1148" i="1" s="1"/>
  <c r="L1148" i="1" a="1"/>
  <c r="L1148" i="1" s="1"/>
  <c r="N1152" i="1" a="1"/>
  <c r="N1152" i="1" s="1"/>
  <c r="L1152" i="1" a="1"/>
  <c r="L1152" i="1" s="1"/>
  <c r="M1152" i="1" a="1"/>
  <c r="M1152" i="1" s="1"/>
  <c r="M1154" i="1" a="1"/>
  <c r="M1154" i="1" s="1"/>
  <c r="N1154" i="1" a="1"/>
  <c r="N1154" i="1" s="1"/>
  <c r="L1154" i="1" a="1"/>
  <c r="L1154" i="1" s="1"/>
  <c r="N1158" i="1" a="1"/>
  <c r="N1158" i="1" s="1"/>
  <c r="M1158" i="1" a="1"/>
  <c r="M1158" i="1" s="1"/>
  <c r="L1158" i="1" a="1"/>
  <c r="L1158" i="1" s="1"/>
  <c r="N1160" i="1" a="1"/>
  <c r="N1160" i="1" s="1"/>
  <c r="M1160" i="1" a="1"/>
  <c r="M1160" i="1" s="1"/>
  <c r="L1160" i="1" a="1"/>
  <c r="L1160" i="1" s="1"/>
  <c r="M1164" i="1" a="1"/>
  <c r="M1164" i="1" s="1"/>
  <c r="N1164" i="1" a="1"/>
  <c r="N1164" i="1" s="1"/>
  <c r="L1164" i="1" a="1"/>
  <c r="L1164" i="1" s="1"/>
  <c r="N1166" i="1" a="1"/>
  <c r="N1166" i="1" s="1"/>
  <c r="M1166" i="1" a="1"/>
  <c r="M1166" i="1" s="1"/>
  <c r="L1166" i="1" a="1"/>
  <c r="L1166" i="1" s="1"/>
  <c r="N1170" i="1" a="1"/>
  <c r="N1170" i="1" s="1"/>
  <c r="M1170" i="1" a="1"/>
  <c r="M1170" i="1" s="1"/>
  <c r="L1170" i="1" a="1"/>
  <c r="L1170" i="1" s="1"/>
  <c r="L1172" i="1" a="1"/>
  <c r="L1172" i="1" s="1"/>
  <c r="M1172" i="1" a="1"/>
  <c r="M1172" i="1" s="1"/>
  <c r="N1172" i="1" a="1"/>
  <c r="N1172" i="1" s="1"/>
  <c r="N1176" i="1" a="1"/>
  <c r="N1176" i="1" s="1"/>
  <c r="M1176" i="1" a="1"/>
  <c r="M1176" i="1" s="1"/>
  <c r="L1176" i="1" a="1"/>
  <c r="L1176" i="1" s="1"/>
  <c r="N1178" i="1" a="1"/>
  <c r="N1178" i="1" s="1"/>
  <c r="M1178" i="1" a="1"/>
  <c r="M1178" i="1" s="1"/>
  <c r="L1178" i="1" a="1"/>
  <c r="L1178" i="1" s="1"/>
  <c r="M1182" i="1" a="1"/>
  <c r="M1182" i="1" s="1"/>
  <c r="N1182" i="1" a="1"/>
  <c r="N1182" i="1" s="1"/>
  <c r="L1182" i="1" a="1"/>
  <c r="L1182" i="1" s="1"/>
  <c r="N1184" i="1" a="1"/>
  <c r="N1184" i="1" s="1"/>
  <c r="M1184" i="1" a="1"/>
  <c r="M1184" i="1" s="1"/>
  <c r="L1184" i="1" a="1"/>
  <c r="L1184" i="1" s="1"/>
  <c r="N1188" i="1" a="1"/>
  <c r="N1188" i="1" s="1"/>
  <c r="L1188" i="1" a="1"/>
  <c r="L1188" i="1" s="1"/>
  <c r="M1188" i="1" a="1"/>
  <c r="M1188" i="1" s="1"/>
  <c r="N1190" i="1" a="1"/>
  <c r="N1190" i="1" s="1"/>
  <c r="L1190" i="1" a="1"/>
  <c r="L1190" i="1" s="1"/>
  <c r="M1190" i="1" a="1"/>
  <c r="M1190" i="1" s="1"/>
  <c r="N1194" i="1" a="1"/>
  <c r="N1194" i="1" s="1"/>
  <c r="M1194" i="1" a="1"/>
  <c r="M1194" i="1" s="1"/>
  <c r="L1194" i="1" a="1"/>
  <c r="L1194" i="1" s="1"/>
  <c r="N1196" i="1" a="1"/>
  <c r="N1196" i="1" s="1"/>
  <c r="M1196" i="1" a="1"/>
  <c r="M1196" i="1" s="1"/>
  <c r="L1196" i="1" a="1"/>
  <c r="L1196" i="1" s="1"/>
  <c r="M1200" i="1" a="1"/>
  <c r="M1200" i="1" s="1"/>
  <c r="L1200" i="1" a="1"/>
  <c r="L1200" i="1" s="1"/>
  <c r="N1200" i="1" a="1"/>
  <c r="N1200" i="1" s="1"/>
  <c r="N1202" i="1" a="1"/>
  <c r="N1202" i="1" s="1"/>
  <c r="M1202" i="1" a="1"/>
  <c r="M1202" i="1" s="1"/>
  <c r="L1202" i="1" a="1"/>
  <c r="L1202" i="1" s="1"/>
  <c r="L1206" i="1" a="1"/>
  <c r="L1206" i="1" s="1"/>
  <c r="M1206" i="1" a="1"/>
  <c r="M1206" i="1" s="1"/>
  <c r="N1206" i="1" a="1"/>
  <c r="N1206" i="1" s="1"/>
  <c r="N1208" i="1" a="1"/>
  <c r="N1208" i="1" s="1"/>
  <c r="M1208" i="1" a="1"/>
  <c r="M1208" i="1" s="1"/>
  <c r="L1208" i="1" a="1"/>
  <c r="L1208" i="1" s="1"/>
  <c r="N1212" i="1" a="1"/>
  <c r="N1212" i="1" s="1"/>
  <c r="M1212" i="1" a="1"/>
  <c r="M1212" i="1" s="1"/>
  <c r="L1212" i="1" a="1"/>
  <c r="L1212" i="1" s="1"/>
  <c r="N1214" i="1" a="1"/>
  <c r="N1214" i="1" s="1"/>
  <c r="M1214" i="1" a="1"/>
  <c r="M1214" i="1" s="1"/>
  <c r="L1214" i="1" a="1"/>
  <c r="L1214" i="1" s="1"/>
  <c r="N1218" i="1" a="1"/>
  <c r="N1218" i="1" s="1"/>
  <c r="L1218" i="1" a="1"/>
  <c r="L1218" i="1" s="1"/>
  <c r="M1218" i="1" a="1"/>
  <c r="M1218" i="1" s="1"/>
  <c r="N1220" i="1" a="1"/>
  <c r="N1220" i="1" s="1"/>
  <c r="L1220" i="1" a="1"/>
  <c r="L1220" i="1" s="1"/>
  <c r="M1220" i="1" a="1"/>
  <c r="M1220" i="1" s="1"/>
  <c r="M1224" i="1" a="1"/>
  <c r="M1224" i="1" s="1"/>
  <c r="N1224" i="1" a="1"/>
  <c r="N1224" i="1" s="1"/>
  <c r="L1224" i="1" a="1"/>
  <c r="L1224" i="1" s="1"/>
  <c r="N1226" i="1" a="1"/>
  <c r="N1226" i="1" s="1"/>
  <c r="M1226" i="1" a="1"/>
  <c r="M1226" i="1" s="1"/>
  <c r="L1226" i="1" a="1"/>
  <c r="L1226" i="1" s="1"/>
  <c r="N1230" i="1" a="1"/>
  <c r="N1230" i="1" s="1"/>
  <c r="L1230" i="1" a="1"/>
  <c r="L1230" i="1" s="1"/>
  <c r="M1230" i="1" a="1"/>
  <c r="M1230" i="1" s="1"/>
  <c r="N1232" i="1" a="1"/>
  <c r="N1232" i="1" s="1"/>
  <c r="M1232" i="1" a="1"/>
  <c r="M1232" i="1" s="1"/>
  <c r="L1232" i="1" a="1"/>
  <c r="L1232" i="1" s="1"/>
  <c r="N1236" i="1" a="1"/>
  <c r="N1236" i="1" s="1"/>
  <c r="M1236" i="1" a="1"/>
  <c r="M1236" i="1" s="1"/>
  <c r="L1236" i="1" a="1"/>
  <c r="L1236" i="1" s="1"/>
  <c r="N1238" i="1" a="1"/>
  <c r="N1238" i="1" s="1"/>
  <c r="M1238" i="1" a="1"/>
  <c r="M1238" i="1" s="1"/>
  <c r="L1238" i="1" a="1"/>
  <c r="L1238" i="1" s="1"/>
  <c r="N1242" i="1" a="1"/>
  <c r="N1242" i="1" s="1"/>
  <c r="M1242" i="1" a="1"/>
  <c r="M1242" i="1" s="1"/>
  <c r="L1242" i="1" a="1"/>
  <c r="L1242" i="1" s="1"/>
  <c r="N1244" i="1" a="1"/>
  <c r="N1244" i="1" s="1"/>
  <c r="M1244" i="1" a="1"/>
  <c r="M1244" i="1" s="1"/>
  <c r="L1244" i="1" a="1"/>
  <c r="L1244" i="1" s="1"/>
  <c r="N1248" i="1" a="1"/>
  <c r="N1248" i="1" s="1"/>
  <c r="M1248" i="1" a="1"/>
  <c r="M1248" i="1" s="1"/>
  <c r="L1248" i="1" a="1"/>
  <c r="L1248" i="1" s="1"/>
  <c r="M1250" i="1" a="1"/>
  <c r="M1250" i="1" s="1"/>
  <c r="N1250" i="1" a="1"/>
  <c r="N1250" i="1" s="1"/>
  <c r="L1250" i="1" a="1"/>
  <c r="L1250" i="1" s="1"/>
  <c r="N1254" i="1" a="1"/>
  <c r="N1254" i="1" s="1"/>
  <c r="M1254" i="1" a="1"/>
  <c r="M1254" i="1" s="1"/>
  <c r="L1254" i="1" a="1"/>
  <c r="L1254" i="1" s="1"/>
  <c r="N1256" i="1" a="1"/>
  <c r="N1256" i="1" s="1"/>
  <c r="L1256" i="1" a="1"/>
  <c r="L1256" i="1" s="1"/>
  <c r="M1256" i="1" a="1"/>
  <c r="M1256" i="1" s="1"/>
  <c r="N1260" i="1" a="1"/>
  <c r="N1260" i="1" s="1"/>
  <c r="M1260" i="1" a="1"/>
  <c r="M1260" i="1" s="1"/>
  <c r="L1260" i="1" a="1"/>
  <c r="L1260" i="1" s="1"/>
  <c r="N1262" i="1" a="1"/>
  <c r="N1262" i="1" s="1"/>
  <c r="M1262" i="1" a="1"/>
  <c r="M1262" i="1" s="1"/>
  <c r="L1262" i="1" a="1"/>
  <c r="L1262" i="1" s="1"/>
  <c r="N1266" i="1" a="1"/>
  <c r="N1266" i="1" s="1"/>
  <c r="L1266" i="1" a="1"/>
  <c r="L1266" i="1" s="1"/>
  <c r="M1266" i="1" a="1"/>
  <c r="M1266" i="1" s="1"/>
  <c r="N1268" i="1" a="1"/>
  <c r="N1268" i="1" s="1"/>
  <c r="M1268" i="1" a="1"/>
  <c r="M1268" i="1" s="1"/>
  <c r="L1268" i="1" a="1"/>
  <c r="L1268" i="1" s="1"/>
  <c r="M1272" i="1" a="1"/>
  <c r="M1272" i="1" s="1"/>
  <c r="L1272" i="1" a="1"/>
  <c r="L1272" i="1" s="1"/>
  <c r="N1272" i="1" a="1"/>
  <c r="N1272" i="1" s="1"/>
  <c r="N1274" i="1" a="1"/>
  <c r="N1274" i="1" s="1"/>
  <c r="M1274" i="1" a="1"/>
  <c r="M1274" i="1" s="1"/>
  <c r="L1274" i="1" a="1"/>
  <c r="L1274" i="1" s="1"/>
  <c r="L1278" i="1" a="1"/>
  <c r="L1278" i="1" s="1"/>
  <c r="M1278" i="1" a="1"/>
  <c r="M1278" i="1" s="1"/>
  <c r="N1278" i="1" a="1"/>
  <c r="N1278" i="1" s="1"/>
  <c r="N1280" i="1" a="1"/>
  <c r="N1280" i="1" s="1"/>
  <c r="L1280" i="1" a="1"/>
  <c r="L1280" i="1" s="1"/>
  <c r="M1280" i="1" a="1"/>
  <c r="M1280" i="1" s="1"/>
  <c r="N1284" i="1" a="1"/>
  <c r="N1284" i="1" s="1"/>
  <c r="M1284" i="1" a="1"/>
  <c r="M1284" i="1" s="1"/>
  <c r="L1284" i="1" a="1"/>
  <c r="L1284" i="1" s="1"/>
  <c r="N1286" i="1" a="1"/>
  <c r="N1286" i="1" s="1"/>
  <c r="M1286" i="1" a="1"/>
  <c r="M1286" i="1" s="1"/>
  <c r="L1286" i="1" a="1"/>
  <c r="L1286" i="1" s="1"/>
  <c r="N1290" i="1" a="1"/>
  <c r="N1290" i="1" s="1"/>
  <c r="L1290" i="1" a="1"/>
  <c r="L1290" i="1" s="1"/>
  <c r="M1290" i="1" a="1"/>
  <c r="M1290" i="1" s="1"/>
  <c r="M1292" i="1" a="1"/>
  <c r="M1292" i="1" s="1"/>
  <c r="N1292" i="1" a="1"/>
  <c r="N1292" i="1" s="1"/>
  <c r="L1292" i="1" a="1"/>
  <c r="L1292" i="1" s="1"/>
  <c r="N1296" i="1" a="1"/>
  <c r="N1296" i="1" s="1"/>
  <c r="L1296" i="1" a="1"/>
  <c r="L1296" i="1" s="1"/>
  <c r="M1296" i="1" a="1"/>
  <c r="M1296" i="1" s="1"/>
  <c r="M1298" i="1" a="1"/>
  <c r="M1298" i="1" s="1"/>
  <c r="N1298" i="1" a="1"/>
  <c r="N1298" i="1" s="1"/>
  <c r="L1298" i="1" a="1"/>
  <c r="L1298" i="1" s="1"/>
  <c r="N1302" i="1" a="1"/>
  <c r="N1302" i="1" s="1"/>
  <c r="L1302" i="1" a="1"/>
  <c r="L1302" i="1" s="1"/>
  <c r="M1302" i="1" a="1"/>
  <c r="M1302" i="1" s="1"/>
  <c r="N1304" i="1" a="1"/>
  <c r="N1304" i="1" s="1"/>
  <c r="M1304" i="1" a="1"/>
  <c r="M1304" i="1" s="1"/>
  <c r="L1304" i="1" a="1"/>
  <c r="L1304" i="1" s="1"/>
  <c r="N1308" i="1" a="1"/>
  <c r="N1308" i="1" s="1"/>
  <c r="L1308" i="1" a="1"/>
  <c r="L1308" i="1" s="1"/>
  <c r="M1308" i="1" a="1"/>
  <c r="M1308" i="1" s="1"/>
  <c r="N1310" i="1" a="1"/>
  <c r="N1310" i="1" s="1"/>
  <c r="M1310" i="1" a="1"/>
  <c r="M1310" i="1" s="1"/>
  <c r="L1310" i="1" a="1"/>
  <c r="L1310" i="1" s="1"/>
  <c r="N1314" i="1" a="1"/>
  <c r="N1314" i="1" s="1"/>
  <c r="L1314" i="1" a="1"/>
  <c r="L1314" i="1" s="1"/>
  <c r="M1314" i="1" a="1"/>
  <c r="M1314" i="1" s="1"/>
  <c r="N1316" i="1" a="1"/>
  <c r="N1316" i="1" s="1"/>
  <c r="M1316" i="1" a="1"/>
  <c r="M1316" i="1" s="1"/>
  <c r="L1316" i="1" a="1"/>
  <c r="L1316" i="1" s="1"/>
  <c r="N1320" i="1" a="1"/>
  <c r="N1320" i="1" s="1"/>
  <c r="M1320" i="1" a="1"/>
  <c r="M1320" i="1" s="1"/>
  <c r="L1320" i="1" a="1"/>
  <c r="L1320" i="1" s="1"/>
  <c r="N1322" i="1" a="1"/>
  <c r="N1322" i="1" s="1"/>
  <c r="M1322" i="1" a="1"/>
  <c r="M1322" i="1" s="1"/>
  <c r="L1322" i="1" a="1"/>
  <c r="L1322" i="1" s="1"/>
  <c r="N1326" i="1" a="1"/>
  <c r="N1326" i="1" s="1"/>
  <c r="L1326" i="1" a="1"/>
  <c r="L1326" i="1" s="1"/>
  <c r="M1326" i="1" a="1"/>
  <c r="M1326" i="1" s="1"/>
  <c r="N1328" i="1" a="1"/>
  <c r="N1328" i="1" s="1"/>
  <c r="M1328" i="1" a="1"/>
  <c r="M1328" i="1" s="1"/>
  <c r="L1328" i="1" a="1"/>
  <c r="L1328" i="1" s="1"/>
  <c r="N1332" i="1" a="1"/>
  <c r="N1332" i="1" s="1"/>
  <c r="M1332" i="1" a="1"/>
  <c r="M1332" i="1" s="1"/>
  <c r="L1332" i="1" a="1"/>
  <c r="L1332" i="1" s="1"/>
  <c r="N1334" i="1" a="1"/>
  <c r="N1334" i="1" s="1"/>
  <c r="M1334" i="1" a="1"/>
  <c r="M1334" i="1" s="1"/>
  <c r="L1334" i="1" a="1"/>
  <c r="L1334" i="1" s="1"/>
  <c r="N1338" i="1" a="1"/>
  <c r="N1338" i="1" s="1"/>
  <c r="L1338" i="1" a="1"/>
  <c r="L1338" i="1" s="1"/>
  <c r="M1338" i="1" a="1"/>
  <c r="M1338" i="1" s="1"/>
  <c r="N1340" i="1" a="1"/>
  <c r="N1340" i="1" s="1"/>
  <c r="M1340" i="1" a="1"/>
  <c r="M1340" i="1" s="1"/>
  <c r="L1340" i="1" a="1"/>
  <c r="L1340" i="1" s="1"/>
  <c r="L1344" i="1" a="1"/>
  <c r="L1344" i="1" s="1"/>
  <c r="N1344" i="1" a="1"/>
  <c r="N1344" i="1" s="1"/>
  <c r="M1344" i="1" a="1"/>
  <c r="M1344" i="1" s="1"/>
  <c r="N1346" i="1" a="1"/>
  <c r="N1346" i="1" s="1"/>
  <c r="L1346" i="1" a="1"/>
  <c r="L1346" i="1" s="1"/>
  <c r="M1346" i="1" a="1"/>
  <c r="M1346" i="1" s="1"/>
  <c r="N1350" i="1" a="1"/>
  <c r="N1350" i="1" s="1"/>
  <c r="M1350" i="1" a="1"/>
  <c r="M1350" i="1" s="1"/>
  <c r="L1350" i="1" a="1"/>
  <c r="L1350" i="1" s="1"/>
  <c r="M1352" i="1" a="1"/>
  <c r="M1352" i="1" s="1"/>
  <c r="L1352" i="1" a="1"/>
  <c r="L1352" i="1" s="1"/>
  <c r="N1352" i="1" a="1"/>
  <c r="N1352" i="1" s="1"/>
  <c r="N1356" i="1" a="1"/>
  <c r="N1356" i="1" s="1"/>
  <c r="M1356" i="1" a="1"/>
  <c r="M1356" i="1" s="1"/>
  <c r="L1356" i="1" a="1"/>
  <c r="L1356" i="1" s="1"/>
  <c r="N1358" i="1" a="1"/>
  <c r="N1358" i="1" s="1"/>
  <c r="M1358" i="1" a="1"/>
  <c r="M1358" i="1" s="1"/>
  <c r="L1358" i="1" a="1"/>
  <c r="L1358" i="1" s="1"/>
  <c r="N1362" i="1" a="1"/>
  <c r="N1362" i="1" s="1"/>
  <c r="M1362" i="1" a="1"/>
  <c r="M1362" i="1" s="1"/>
  <c r="L1362" i="1" a="1"/>
  <c r="L1362" i="1" s="1"/>
  <c r="N1364" i="1" a="1"/>
  <c r="N1364" i="1" s="1"/>
  <c r="M1364" i="1" a="1"/>
  <c r="M1364" i="1" s="1"/>
  <c r="L1364" i="1" a="1"/>
  <c r="L1364" i="1" s="1"/>
  <c r="N1368" i="1" a="1"/>
  <c r="N1368" i="1" s="1"/>
  <c r="L1368" i="1" a="1"/>
  <c r="L1368" i="1" s="1"/>
  <c r="M1368" i="1" a="1"/>
  <c r="M1368" i="1" s="1"/>
  <c r="M1370" i="1" a="1"/>
  <c r="M1370" i="1" s="1"/>
  <c r="N1370" i="1" a="1"/>
  <c r="N1370" i="1" s="1"/>
  <c r="L1370" i="1" a="1"/>
  <c r="L1370" i="1" s="1"/>
  <c r="L1374" i="1" a="1"/>
  <c r="L1374" i="1" s="1"/>
  <c r="N1374" i="1" a="1"/>
  <c r="N1374" i="1" s="1"/>
  <c r="M1374" i="1" a="1"/>
  <c r="M1374" i="1" s="1"/>
  <c r="N1376" i="1" a="1"/>
  <c r="N1376" i="1" s="1"/>
  <c r="M1376" i="1" a="1"/>
  <c r="M1376" i="1" s="1"/>
  <c r="L1376" i="1" a="1"/>
  <c r="L1376" i="1" s="1"/>
  <c r="N1380" i="1" a="1"/>
  <c r="N1380" i="1" s="1"/>
  <c r="M1380" i="1" a="1"/>
  <c r="M1380" i="1" s="1"/>
  <c r="L1380" i="1" a="1"/>
  <c r="L1380" i="1" s="1"/>
  <c r="N1382" i="1" a="1"/>
  <c r="N1382" i="1" s="1"/>
  <c r="M1382" i="1" a="1"/>
  <c r="M1382" i="1" s="1"/>
  <c r="L1382" i="1" a="1"/>
  <c r="L1382" i="1" s="1"/>
  <c r="N1386" i="1" a="1"/>
  <c r="N1386" i="1" s="1"/>
  <c r="M1386" i="1" a="1"/>
  <c r="M1386" i="1" s="1"/>
  <c r="L1386" i="1" a="1"/>
  <c r="L1386" i="1" s="1"/>
  <c r="N1388" i="1" a="1"/>
  <c r="N1388" i="1" s="1"/>
  <c r="M1388" i="1" a="1"/>
  <c r="M1388" i="1" s="1"/>
  <c r="L1388" i="1" a="1"/>
  <c r="L1388" i="1" s="1"/>
  <c r="N1392" i="1" a="1"/>
  <c r="N1392" i="1" s="1"/>
  <c r="M1392" i="1" a="1"/>
  <c r="M1392" i="1" s="1"/>
  <c r="L1392" i="1" a="1"/>
  <c r="L1392" i="1" s="1"/>
  <c r="N1394" i="1" a="1"/>
  <c r="N1394" i="1" s="1"/>
  <c r="M1394" i="1" a="1"/>
  <c r="M1394" i="1" s="1"/>
  <c r="L1394" i="1" a="1"/>
  <c r="L1394" i="1" s="1"/>
  <c r="N1398" i="1" a="1"/>
  <c r="N1398" i="1" s="1"/>
  <c r="L1398" i="1" a="1"/>
  <c r="L1398" i="1" s="1"/>
  <c r="M1398" i="1" a="1"/>
  <c r="M1398" i="1" s="1"/>
  <c r="N1400" i="1" a="1"/>
  <c r="N1400" i="1" s="1"/>
  <c r="L1400" i="1" a="1"/>
  <c r="L1400" i="1" s="1"/>
  <c r="M1400" i="1" a="1"/>
  <c r="M1400" i="1" s="1"/>
  <c r="N1404" i="1" a="1"/>
  <c r="N1404" i="1" s="1"/>
  <c r="L1404" i="1" a="1"/>
  <c r="L1404" i="1" s="1"/>
  <c r="M1404" i="1" a="1"/>
  <c r="M1404" i="1" s="1"/>
  <c r="N1406" i="1" a="1"/>
  <c r="N1406" i="1" s="1"/>
  <c r="M1406" i="1" a="1"/>
  <c r="M1406" i="1" s="1"/>
  <c r="L1406" i="1" a="1"/>
  <c r="L1406" i="1" s="1"/>
  <c r="N1410" i="1" a="1"/>
  <c r="N1410" i="1" s="1"/>
  <c r="L1410" i="1" a="1"/>
  <c r="L1410" i="1" s="1"/>
  <c r="M1410" i="1" a="1"/>
  <c r="M1410" i="1" s="1"/>
  <c r="N1412" i="1" a="1"/>
  <c r="N1412" i="1" s="1"/>
  <c r="L1412" i="1" a="1"/>
  <c r="L1412" i="1" s="1"/>
  <c r="M1412" i="1" a="1"/>
  <c r="M1412" i="1" s="1"/>
  <c r="N1416" i="1" a="1"/>
  <c r="N1416" i="1" s="1"/>
  <c r="M1416" i="1" a="1"/>
  <c r="M1416" i="1" s="1"/>
  <c r="L1416" i="1" a="1"/>
  <c r="L1416" i="1" s="1"/>
  <c r="N1418" i="1" a="1"/>
  <c r="N1418" i="1" s="1"/>
  <c r="M1418" i="1" a="1"/>
  <c r="M1418" i="1" s="1"/>
  <c r="L1418" i="1" a="1"/>
  <c r="L1418" i="1" s="1"/>
  <c r="N1422" i="1" a="1"/>
  <c r="N1422" i="1" s="1"/>
  <c r="L1422" i="1" a="1"/>
  <c r="L1422" i="1" s="1"/>
  <c r="M1422" i="1" a="1"/>
  <c r="M1422" i="1" s="1"/>
  <c r="N1424" i="1" a="1"/>
  <c r="N1424" i="1" s="1"/>
  <c r="L1424" i="1" a="1"/>
  <c r="L1424" i="1" s="1"/>
  <c r="M1424" i="1" a="1"/>
  <c r="M1424" i="1" s="1"/>
  <c r="N1428" i="1" a="1"/>
  <c r="N1428" i="1" s="1"/>
  <c r="M1428" i="1" a="1"/>
  <c r="M1428" i="1" s="1"/>
  <c r="L1428" i="1" a="1"/>
  <c r="L1428" i="1" s="1"/>
  <c r="N1430" i="1" a="1"/>
  <c r="N1430" i="1" s="1"/>
  <c r="M1430" i="1" a="1"/>
  <c r="M1430" i="1" s="1"/>
  <c r="L1430" i="1" a="1"/>
  <c r="L1430" i="1" s="1"/>
  <c r="L1434" i="1" a="1"/>
  <c r="L1434" i="1" s="1"/>
  <c r="N1434" i="1" a="1"/>
  <c r="N1434" i="1" s="1"/>
  <c r="M1434" i="1" a="1"/>
  <c r="M1434" i="1" s="1"/>
  <c r="N1436" i="1" a="1"/>
  <c r="N1436" i="1" s="1"/>
  <c r="M1436" i="1" a="1"/>
  <c r="M1436" i="1" s="1"/>
  <c r="L1436" i="1" a="1"/>
  <c r="L1436" i="1" s="1"/>
  <c r="N1440" i="1" a="1"/>
  <c r="N1440" i="1" s="1"/>
  <c r="M1440" i="1" a="1"/>
  <c r="M1440" i="1" s="1"/>
  <c r="L1440" i="1" a="1"/>
  <c r="L1440" i="1" s="1"/>
  <c r="M31" i="1" a="1"/>
  <c r="M31" i="1" s="1"/>
  <c r="L31" i="1" a="1"/>
  <c r="L31" i="1" s="1"/>
  <c r="N31" i="1" a="1"/>
  <c r="N31" i="1" s="1"/>
  <c r="M37" i="1" a="1"/>
  <c r="M37" i="1" s="1"/>
  <c r="N37" i="1" a="1"/>
  <c r="N37" i="1" s="1"/>
  <c r="L37" i="1" a="1"/>
  <c r="L37" i="1" s="1"/>
  <c r="N43" i="1" a="1"/>
  <c r="N43" i="1" s="1"/>
  <c r="L43" i="1" a="1"/>
  <c r="L43" i="1" s="1"/>
  <c r="M43" i="1" a="1"/>
  <c r="M43" i="1" s="1"/>
  <c r="M49" i="1" a="1"/>
  <c r="M49" i="1" s="1"/>
  <c r="L49" i="1" a="1"/>
  <c r="L49" i="1" s="1"/>
  <c r="N49" i="1" a="1"/>
  <c r="N49" i="1" s="1"/>
  <c r="N55" i="1" a="1"/>
  <c r="N55" i="1" s="1"/>
  <c r="M55" i="1" a="1"/>
  <c r="M55" i="1" s="1"/>
  <c r="L55" i="1" a="1"/>
  <c r="L55" i="1" s="1"/>
  <c r="N61" i="1" a="1"/>
  <c r="N61" i="1" s="1"/>
  <c r="M61" i="1" a="1"/>
  <c r="M61" i="1" s="1"/>
  <c r="L61" i="1" a="1"/>
  <c r="L61" i="1" s="1"/>
  <c r="L67" i="1" a="1"/>
  <c r="L67" i="1" s="1"/>
  <c r="N67" i="1" a="1"/>
  <c r="N67" i="1" s="1"/>
  <c r="M67" i="1" a="1"/>
  <c r="M67" i="1" s="1"/>
  <c r="M73" i="1" a="1"/>
  <c r="M73" i="1" s="1"/>
  <c r="N73" i="1" a="1"/>
  <c r="N73" i="1" s="1"/>
  <c r="L73" i="1" a="1"/>
  <c r="L73" i="1" s="1"/>
  <c r="N79" i="1" a="1"/>
  <c r="N79" i="1" s="1"/>
  <c r="L79" i="1" a="1"/>
  <c r="L79" i="1" s="1"/>
  <c r="M79" i="1" a="1"/>
  <c r="M79" i="1" s="1"/>
  <c r="M85" i="1" a="1"/>
  <c r="M85" i="1" s="1"/>
  <c r="N85" i="1" a="1"/>
  <c r="N85" i="1" s="1"/>
  <c r="L85" i="1" a="1"/>
  <c r="L85" i="1" s="1"/>
  <c r="L91" i="1" a="1"/>
  <c r="L91" i="1" s="1"/>
  <c r="M91" i="1" a="1"/>
  <c r="M91" i="1" s="1"/>
  <c r="N91" i="1" a="1"/>
  <c r="N91" i="1" s="1"/>
  <c r="N97" i="1" a="1"/>
  <c r="N97" i="1" s="1"/>
  <c r="M97" i="1" a="1"/>
  <c r="M97" i="1" s="1"/>
  <c r="L97" i="1" a="1"/>
  <c r="L97" i="1" s="1"/>
  <c r="M103" i="1" a="1"/>
  <c r="M103" i="1" s="1"/>
  <c r="L103" i="1" a="1"/>
  <c r="L103" i="1" s="1"/>
  <c r="N103" i="1" a="1"/>
  <c r="N103" i="1" s="1"/>
  <c r="M109" i="1" a="1"/>
  <c r="M109" i="1" s="1"/>
  <c r="N109" i="1" a="1"/>
  <c r="N109" i="1" s="1"/>
  <c r="L109" i="1" a="1"/>
  <c r="L109" i="1" s="1"/>
  <c r="N115" i="1" a="1"/>
  <c r="N115" i="1" s="1"/>
  <c r="M115" i="1" a="1"/>
  <c r="M115" i="1" s="1"/>
  <c r="L115" i="1" a="1"/>
  <c r="L115" i="1" s="1"/>
  <c r="M121" i="1" a="1"/>
  <c r="M121" i="1" s="1"/>
  <c r="L121" i="1" a="1"/>
  <c r="L121" i="1" s="1"/>
  <c r="N121" i="1" a="1"/>
  <c r="N121" i="1" s="1"/>
  <c r="N127" i="1" a="1"/>
  <c r="N127" i="1" s="1"/>
  <c r="L127" i="1" a="1"/>
  <c r="L127" i="1" s="1"/>
  <c r="M127" i="1" a="1"/>
  <c r="M127" i="1" s="1"/>
  <c r="N133" i="1" a="1"/>
  <c r="N133" i="1" s="1"/>
  <c r="M133" i="1" a="1"/>
  <c r="M133" i="1" s="1"/>
  <c r="L133" i="1" a="1"/>
  <c r="L133" i="1" s="1"/>
  <c r="M139" i="1" a="1"/>
  <c r="M139" i="1" s="1"/>
  <c r="L139" i="1" a="1"/>
  <c r="L139" i="1" s="1"/>
  <c r="N139" i="1" a="1"/>
  <c r="N139" i="1" s="1"/>
  <c r="M145" i="1" a="1"/>
  <c r="M145" i="1" s="1"/>
  <c r="N145" i="1" a="1"/>
  <c r="N145" i="1" s="1"/>
  <c r="L145" i="1" a="1"/>
  <c r="L145" i="1" s="1"/>
  <c r="N151" i="1" a="1"/>
  <c r="N151" i="1" s="1"/>
  <c r="M151" i="1" a="1"/>
  <c r="M151" i="1" s="1"/>
  <c r="L151" i="1" a="1"/>
  <c r="L151" i="1" s="1"/>
  <c r="M157" i="1" a="1"/>
  <c r="M157" i="1" s="1"/>
  <c r="N157" i="1" a="1"/>
  <c r="N157" i="1" s="1"/>
  <c r="L157" i="1" a="1"/>
  <c r="L157" i="1" s="1"/>
  <c r="L163" i="1" a="1"/>
  <c r="L163" i="1" s="1"/>
  <c r="M163" i="1" a="1"/>
  <c r="M163" i="1" s="1"/>
  <c r="N163" i="1" a="1"/>
  <c r="N163" i="1" s="1"/>
  <c r="N169" i="1" a="1"/>
  <c r="N169" i="1" s="1"/>
  <c r="M169" i="1" a="1"/>
  <c r="M169" i="1" s="1"/>
  <c r="L169" i="1" a="1"/>
  <c r="L169" i="1" s="1"/>
  <c r="N175" i="1" a="1"/>
  <c r="N175" i="1" s="1"/>
  <c r="L175" i="1" a="1"/>
  <c r="L175" i="1" s="1"/>
  <c r="M175" i="1" a="1"/>
  <c r="M175" i="1" s="1"/>
  <c r="M181" i="1" a="1"/>
  <c r="M181" i="1" s="1"/>
  <c r="L181" i="1" a="1"/>
  <c r="L181" i="1" s="1"/>
  <c r="N181" i="1" a="1"/>
  <c r="N181" i="1" s="1"/>
  <c r="N187" i="1" a="1"/>
  <c r="N187" i="1" s="1"/>
  <c r="M187" i="1" a="1"/>
  <c r="M187" i="1" s="1"/>
  <c r="L187" i="1" a="1"/>
  <c r="L187" i="1" s="1"/>
  <c r="M193" i="1" a="1"/>
  <c r="M193" i="1" s="1"/>
  <c r="N193" i="1" a="1"/>
  <c r="N193" i="1" s="1"/>
  <c r="L193" i="1" a="1"/>
  <c r="L193" i="1" s="1"/>
  <c r="N199" i="1" a="1"/>
  <c r="N199" i="1" s="1"/>
  <c r="M199" i="1" a="1"/>
  <c r="M199" i="1" s="1"/>
  <c r="L199" i="1" a="1"/>
  <c r="L199" i="1" s="1"/>
  <c r="N205" i="1" a="1"/>
  <c r="N205" i="1" s="1"/>
  <c r="M205" i="1" a="1"/>
  <c r="M205" i="1" s="1"/>
  <c r="L205" i="1" a="1"/>
  <c r="L205" i="1" s="1"/>
  <c r="N211" i="1" a="1"/>
  <c r="N211" i="1" s="1"/>
  <c r="M211" i="1" a="1"/>
  <c r="M211" i="1" s="1"/>
  <c r="L211" i="1" a="1"/>
  <c r="L211" i="1" s="1"/>
  <c r="M217" i="1" a="1"/>
  <c r="M217" i="1" s="1"/>
  <c r="N217" i="1" a="1"/>
  <c r="N217" i="1" s="1"/>
  <c r="L217" i="1" a="1"/>
  <c r="L217" i="1" s="1"/>
  <c r="N223" i="1" a="1"/>
  <c r="N223" i="1" s="1"/>
  <c r="L223" i="1" a="1"/>
  <c r="L223" i="1" s="1"/>
  <c r="M223" i="1" a="1"/>
  <c r="M223" i="1" s="1"/>
  <c r="M229" i="1" a="1"/>
  <c r="M229" i="1" s="1"/>
  <c r="N229" i="1" a="1"/>
  <c r="N229" i="1" s="1"/>
  <c r="L229" i="1" a="1"/>
  <c r="L229" i="1" s="1"/>
  <c r="N235" i="1" a="1"/>
  <c r="N235" i="1" s="1"/>
  <c r="L235" i="1" a="1"/>
  <c r="L235" i="1" s="1"/>
  <c r="M235" i="1" a="1"/>
  <c r="M235" i="1" s="1"/>
  <c r="N241" i="1" a="1"/>
  <c r="N241" i="1" s="1"/>
  <c r="M241" i="1" a="1"/>
  <c r="M241" i="1" s="1"/>
  <c r="L241" i="1" a="1"/>
  <c r="L241" i="1" s="1"/>
  <c r="M247" i="1" a="1"/>
  <c r="M247" i="1" s="1"/>
  <c r="L247" i="1" a="1"/>
  <c r="L247" i="1" s="1"/>
  <c r="N247" i="1" a="1"/>
  <c r="N247" i="1" s="1"/>
  <c r="M253" i="1" a="1"/>
  <c r="M253" i="1" s="1"/>
  <c r="L253" i="1" a="1"/>
  <c r="L253" i="1" s="1"/>
  <c r="N253" i="1" a="1"/>
  <c r="N253" i="1" s="1"/>
  <c r="N259" i="1" a="1"/>
  <c r="N259" i="1" s="1"/>
  <c r="L259" i="1" a="1"/>
  <c r="L259" i="1" s="1"/>
  <c r="M259" i="1" a="1"/>
  <c r="M259" i="1" s="1"/>
  <c r="M265" i="1" a="1"/>
  <c r="M265" i="1" s="1"/>
  <c r="N265" i="1" a="1"/>
  <c r="N265" i="1" s="1"/>
  <c r="L265" i="1" a="1"/>
  <c r="L265" i="1" s="1"/>
  <c r="N271" i="1" a="1"/>
  <c r="N271" i="1" s="1"/>
  <c r="L271" i="1" a="1"/>
  <c r="L271" i="1" s="1"/>
  <c r="M271" i="1" a="1"/>
  <c r="M271" i="1" s="1"/>
  <c r="N277" i="1" a="1"/>
  <c r="N277" i="1" s="1"/>
  <c r="M277" i="1" a="1"/>
  <c r="M277" i="1" s="1"/>
  <c r="L277" i="1" a="1"/>
  <c r="L277" i="1" s="1"/>
  <c r="L283" i="1" a="1"/>
  <c r="L283" i="1" s="1"/>
  <c r="N283" i="1" a="1"/>
  <c r="N283" i="1" s="1"/>
  <c r="M283" i="1" a="1"/>
  <c r="M283" i="1" s="1"/>
  <c r="M289" i="1" a="1"/>
  <c r="M289" i="1" s="1"/>
  <c r="N289" i="1" a="1"/>
  <c r="N289" i="1" s="1"/>
  <c r="L289" i="1" a="1"/>
  <c r="L289" i="1" s="1"/>
  <c r="N295" i="1" a="1"/>
  <c r="N295" i="1" s="1"/>
  <c r="M295" i="1" a="1"/>
  <c r="M295" i="1" s="1"/>
  <c r="L295" i="1" a="1"/>
  <c r="L295" i="1" s="1"/>
  <c r="M301" i="1" a="1"/>
  <c r="M301" i="1" s="1"/>
  <c r="N301" i="1" a="1"/>
  <c r="N301" i="1" s="1"/>
  <c r="L301" i="1" a="1"/>
  <c r="L301" i="1" s="1"/>
  <c r="M307" i="1" a="1"/>
  <c r="M307" i="1" s="1"/>
  <c r="L307" i="1" a="1"/>
  <c r="L307" i="1" s="1"/>
  <c r="N307" i="1" a="1"/>
  <c r="N307" i="1" s="1"/>
  <c r="N313" i="1" a="1"/>
  <c r="N313" i="1" s="1"/>
  <c r="M313" i="1" a="1"/>
  <c r="M313" i="1" s="1"/>
  <c r="L313" i="1" a="1"/>
  <c r="L313" i="1" s="1"/>
  <c r="N319" i="1" a="1"/>
  <c r="N319" i="1" s="1"/>
  <c r="L319" i="1" a="1"/>
  <c r="L319" i="1" s="1"/>
  <c r="M319" i="1" a="1"/>
  <c r="M319" i="1" s="1"/>
  <c r="N325" i="1" a="1"/>
  <c r="N325" i="1" s="1"/>
  <c r="M325" i="1" a="1"/>
  <c r="M325" i="1" s="1"/>
  <c r="L325" i="1" a="1"/>
  <c r="L325" i="1" s="1"/>
  <c r="N331" i="1" a="1"/>
  <c r="N331" i="1" s="1"/>
  <c r="L331" i="1" a="1"/>
  <c r="L331" i="1" s="1"/>
  <c r="M331" i="1" a="1"/>
  <c r="M331" i="1" s="1"/>
  <c r="N337" i="1" a="1"/>
  <c r="N337" i="1" s="1"/>
  <c r="M337" i="1" a="1"/>
  <c r="M337" i="1" s="1"/>
  <c r="L337" i="1" a="1"/>
  <c r="L337" i="1" s="1"/>
  <c r="N343" i="1" a="1"/>
  <c r="N343" i="1" s="1"/>
  <c r="M343" i="1" a="1"/>
  <c r="M343" i="1" s="1"/>
  <c r="L343" i="1" a="1"/>
  <c r="L343" i="1" s="1"/>
  <c r="M349" i="1" a="1"/>
  <c r="M349" i="1" s="1"/>
  <c r="N349" i="1" a="1"/>
  <c r="N349" i="1" s="1"/>
  <c r="L349" i="1" a="1"/>
  <c r="L349" i="1" s="1"/>
  <c r="N355" i="1" a="1"/>
  <c r="N355" i="1" s="1"/>
  <c r="L355" i="1" a="1"/>
  <c r="L355" i="1" s="1"/>
  <c r="M355" i="1" a="1"/>
  <c r="M355" i="1" s="1"/>
  <c r="M361" i="1" a="1"/>
  <c r="M361" i="1" s="1"/>
  <c r="N361" i="1" a="1"/>
  <c r="N361" i="1" s="1"/>
  <c r="L361" i="1" a="1"/>
  <c r="L361" i="1" s="1"/>
  <c r="M367" i="1" a="1"/>
  <c r="M367" i="1" s="1"/>
  <c r="L367" i="1" a="1"/>
  <c r="L367" i="1" s="1"/>
  <c r="N367" i="1" a="1"/>
  <c r="N367" i="1" s="1"/>
  <c r="N373" i="1" a="1"/>
  <c r="N373" i="1" s="1"/>
  <c r="M373" i="1" a="1"/>
  <c r="M373" i="1" s="1"/>
  <c r="L373" i="1" a="1"/>
  <c r="L373" i="1" s="1"/>
  <c r="N379" i="1" a="1"/>
  <c r="N379" i="1" s="1"/>
  <c r="L379" i="1" a="1"/>
  <c r="L379" i="1" s="1"/>
  <c r="M379" i="1" a="1"/>
  <c r="M379" i="1" s="1"/>
  <c r="M385" i="1" a="1"/>
  <c r="M385" i="1" s="1"/>
  <c r="N385" i="1" a="1"/>
  <c r="N385" i="1" s="1"/>
  <c r="L385" i="1" a="1"/>
  <c r="L385" i="1" s="1"/>
  <c r="M391" i="1" a="1"/>
  <c r="M391" i="1" s="1"/>
  <c r="L391" i="1" a="1"/>
  <c r="L391" i="1" s="1"/>
  <c r="N391" i="1" a="1"/>
  <c r="N391" i="1" s="1"/>
  <c r="M397" i="1" a="1"/>
  <c r="M397" i="1" s="1"/>
  <c r="N397" i="1" a="1"/>
  <c r="N397" i="1" s="1"/>
  <c r="L397" i="1" a="1"/>
  <c r="L397" i="1" s="1"/>
  <c r="N403" i="1" a="1"/>
  <c r="N403" i="1" s="1"/>
  <c r="M403" i="1" a="1"/>
  <c r="M403" i="1" s="1"/>
  <c r="L403" i="1" a="1"/>
  <c r="L403" i="1" s="1"/>
  <c r="N409" i="1" a="1"/>
  <c r="N409" i="1" s="1"/>
  <c r="M409" i="1" a="1"/>
  <c r="M409" i="1" s="1"/>
  <c r="L409" i="1" a="1"/>
  <c r="L409" i="1" s="1"/>
  <c r="N415" i="1" a="1"/>
  <c r="N415" i="1" s="1"/>
  <c r="M415" i="1" a="1"/>
  <c r="M415" i="1" s="1"/>
  <c r="L415" i="1" a="1"/>
  <c r="L415" i="1" s="1"/>
  <c r="N421" i="1" a="1"/>
  <c r="N421" i="1" s="1"/>
  <c r="M421" i="1" a="1"/>
  <c r="M421" i="1" s="1"/>
  <c r="L421" i="1" a="1"/>
  <c r="L421" i="1" s="1"/>
  <c r="N427" i="1" a="1"/>
  <c r="N427" i="1" s="1"/>
  <c r="L427" i="1" a="1"/>
  <c r="L427" i="1" s="1"/>
  <c r="M427" i="1" a="1"/>
  <c r="M427" i="1" s="1"/>
  <c r="M433" i="1" a="1"/>
  <c r="M433" i="1" s="1"/>
  <c r="N433" i="1" a="1"/>
  <c r="N433" i="1" s="1"/>
  <c r="L433" i="1" a="1"/>
  <c r="L433" i="1" s="1"/>
  <c r="N439" i="1" a="1"/>
  <c r="N439" i="1" s="1"/>
  <c r="M439" i="1" a="1"/>
  <c r="M439" i="1" s="1"/>
  <c r="L439" i="1" a="1"/>
  <c r="L439" i="1" s="1"/>
  <c r="N445" i="1" a="1"/>
  <c r="N445" i="1" s="1"/>
  <c r="M445" i="1" a="1"/>
  <c r="M445" i="1" s="1"/>
  <c r="L445" i="1" a="1"/>
  <c r="L445" i="1" s="1"/>
  <c r="N451" i="1" a="1"/>
  <c r="N451" i="1" s="1"/>
  <c r="M451" i="1" a="1"/>
  <c r="M451" i="1" s="1"/>
  <c r="L451" i="1" a="1"/>
  <c r="L451" i="1" s="1"/>
  <c r="N457" i="1" a="1"/>
  <c r="N457" i="1" s="1"/>
  <c r="M457" i="1" a="1"/>
  <c r="M457" i="1" s="1"/>
  <c r="L457" i="1" a="1"/>
  <c r="L457" i="1" s="1"/>
  <c r="N463" i="1" a="1"/>
  <c r="N463" i="1" s="1"/>
  <c r="L463" i="1" a="1"/>
  <c r="L463" i="1" s="1"/>
  <c r="M463" i="1" a="1"/>
  <c r="M463" i="1" s="1"/>
  <c r="N469" i="1" a="1"/>
  <c r="N469" i="1" s="1"/>
  <c r="M469" i="1" a="1"/>
  <c r="M469" i="1" s="1"/>
  <c r="L469" i="1" a="1"/>
  <c r="L469" i="1" s="1"/>
  <c r="M475" i="1" a="1"/>
  <c r="M475" i="1" s="1"/>
  <c r="L475" i="1" a="1"/>
  <c r="L475" i="1" s="1"/>
  <c r="N475" i="1" a="1"/>
  <c r="N475" i="1" s="1"/>
  <c r="M481" i="1" a="1"/>
  <c r="M481" i="1" s="1"/>
  <c r="N481" i="1" a="1"/>
  <c r="N481" i="1" s="1"/>
  <c r="L481" i="1" a="1"/>
  <c r="L481" i="1" s="1"/>
  <c r="N487" i="1" a="1"/>
  <c r="N487" i="1" s="1"/>
  <c r="M487" i="1" a="1"/>
  <c r="M487" i="1" s="1"/>
  <c r="L487" i="1" a="1"/>
  <c r="L487" i="1" s="1"/>
  <c r="M493" i="1" a="1"/>
  <c r="M493" i="1" s="1"/>
  <c r="N493" i="1" a="1"/>
  <c r="N493" i="1" s="1"/>
  <c r="L493" i="1" a="1"/>
  <c r="L493" i="1" s="1"/>
  <c r="M499" i="1" a="1"/>
  <c r="M499" i="1" s="1"/>
  <c r="N499" i="1" a="1"/>
  <c r="N499" i="1" s="1"/>
  <c r="L499" i="1" a="1"/>
  <c r="L499" i="1" s="1"/>
  <c r="M505" i="1" a="1"/>
  <c r="M505" i="1" s="1"/>
  <c r="N505" i="1" a="1"/>
  <c r="N505" i="1" s="1"/>
  <c r="L505" i="1" a="1"/>
  <c r="L505" i="1" s="1"/>
  <c r="L511" i="1" a="1"/>
  <c r="L511" i="1" s="1"/>
  <c r="N511" i="1" a="1"/>
  <c r="N511" i="1" s="1"/>
  <c r="M511" i="1" a="1"/>
  <c r="M511" i="1" s="1"/>
  <c r="N517" i="1" a="1"/>
  <c r="N517" i="1" s="1"/>
  <c r="M517" i="1" a="1"/>
  <c r="M517" i="1" s="1"/>
  <c r="L517" i="1" a="1"/>
  <c r="L517" i="1" s="1"/>
  <c r="M523" i="1" a="1"/>
  <c r="M523" i="1" s="1"/>
  <c r="N523" i="1" a="1"/>
  <c r="N523" i="1" s="1"/>
  <c r="L523" i="1" a="1"/>
  <c r="L523" i="1" s="1"/>
  <c r="N529" i="1" a="1"/>
  <c r="N529" i="1" s="1"/>
  <c r="M529" i="1" a="1"/>
  <c r="M529" i="1" s="1"/>
  <c r="L529" i="1" a="1"/>
  <c r="L529" i="1" s="1"/>
  <c r="N535" i="1" a="1"/>
  <c r="N535" i="1" s="1"/>
  <c r="M535" i="1" a="1"/>
  <c r="M535" i="1" s="1"/>
  <c r="L535" i="1" a="1"/>
  <c r="L535" i="1" s="1"/>
  <c r="N541" i="1" a="1"/>
  <c r="N541" i="1" s="1"/>
  <c r="M541" i="1" a="1"/>
  <c r="M541" i="1" s="1"/>
  <c r="L541" i="1" a="1"/>
  <c r="L541" i="1" s="1"/>
  <c r="N547" i="1" a="1"/>
  <c r="N547" i="1" s="1"/>
  <c r="L547" i="1" a="1"/>
  <c r="L547" i="1" s="1"/>
  <c r="M547" i="1" a="1"/>
  <c r="M547" i="1" s="1"/>
  <c r="N553" i="1" a="1"/>
  <c r="N553" i="1" s="1"/>
  <c r="M553" i="1" a="1"/>
  <c r="M553" i="1" s="1"/>
  <c r="L553" i="1" a="1"/>
  <c r="L553" i="1" s="1"/>
  <c r="N559" i="1" a="1"/>
  <c r="N559" i="1" s="1"/>
  <c r="L559" i="1" a="1"/>
  <c r="L559" i="1" s="1"/>
  <c r="M559" i="1" a="1"/>
  <c r="M559" i="1" s="1"/>
  <c r="N565" i="1" a="1"/>
  <c r="N565" i="1" s="1"/>
  <c r="M565" i="1" a="1"/>
  <c r="M565" i="1" s="1"/>
  <c r="L565" i="1" a="1"/>
  <c r="L565" i="1" s="1"/>
  <c r="M571" i="1" a="1"/>
  <c r="M571" i="1" s="1"/>
  <c r="L571" i="1" a="1"/>
  <c r="L571" i="1" s="1"/>
  <c r="N571" i="1" a="1"/>
  <c r="N571" i="1" s="1"/>
  <c r="N577" i="1" a="1"/>
  <c r="N577" i="1" s="1"/>
  <c r="L577" i="1" a="1"/>
  <c r="L577" i="1" s="1"/>
  <c r="M577" i="1" a="1"/>
  <c r="M577" i="1" s="1"/>
  <c r="N583" i="1" a="1"/>
  <c r="N583" i="1" s="1"/>
  <c r="M583" i="1" a="1"/>
  <c r="M583" i="1" s="1"/>
  <c r="L583" i="1" a="1"/>
  <c r="L583" i="1" s="1"/>
  <c r="N589" i="1" a="1"/>
  <c r="N589" i="1" s="1"/>
  <c r="M589" i="1" a="1"/>
  <c r="M589" i="1" s="1"/>
  <c r="L589" i="1" a="1"/>
  <c r="L589" i="1" s="1"/>
  <c r="N595" i="1" a="1"/>
  <c r="N595" i="1" s="1"/>
  <c r="L595" i="1" a="1"/>
  <c r="L595" i="1" s="1"/>
  <c r="M595" i="1" a="1"/>
  <c r="M595" i="1" s="1"/>
  <c r="N601" i="1" a="1"/>
  <c r="N601" i="1" s="1"/>
  <c r="M601" i="1" a="1"/>
  <c r="M601" i="1" s="1"/>
  <c r="L601" i="1" a="1"/>
  <c r="L601" i="1" s="1"/>
  <c r="N607" i="1" a="1"/>
  <c r="N607" i="1" s="1"/>
  <c r="L607" i="1" a="1"/>
  <c r="L607" i="1" s="1"/>
  <c r="M607" i="1" a="1"/>
  <c r="M607" i="1" s="1"/>
  <c r="N613" i="1" a="1"/>
  <c r="N613" i="1" s="1"/>
  <c r="M613" i="1" a="1"/>
  <c r="M613" i="1" s="1"/>
  <c r="L613" i="1" a="1"/>
  <c r="L613" i="1" s="1"/>
  <c r="N619" i="1" a="1"/>
  <c r="N619" i="1" s="1"/>
  <c r="M619" i="1" a="1"/>
  <c r="M619" i="1" s="1"/>
  <c r="L619" i="1" a="1"/>
  <c r="L619" i="1" s="1"/>
  <c r="N625" i="1" a="1"/>
  <c r="N625" i="1" s="1"/>
  <c r="M625" i="1" a="1"/>
  <c r="M625" i="1" s="1"/>
  <c r="L625" i="1" a="1"/>
  <c r="L625" i="1" s="1"/>
  <c r="N631" i="1" a="1"/>
  <c r="N631" i="1" s="1"/>
  <c r="L631" i="1" a="1"/>
  <c r="L631" i="1" s="1"/>
  <c r="M631" i="1" a="1"/>
  <c r="M631" i="1" s="1"/>
  <c r="N637" i="1" a="1"/>
  <c r="N637" i="1" s="1"/>
  <c r="M637" i="1" a="1"/>
  <c r="M637" i="1" s="1"/>
  <c r="L637" i="1" a="1"/>
  <c r="L637" i="1" s="1"/>
  <c r="N643" i="1" a="1"/>
  <c r="N643" i="1" s="1"/>
  <c r="L643" i="1" a="1"/>
  <c r="L643" i="1" s="1"/>
  <c r="M643" i="1" a="1"/>
  <c r="M643" i="1" s="1"/>
  <c r="N649" i="1" a="1"/>
  <c r="N649" i="1" s="1"/>
  <c r="M649" i="1" a="1"/>
  <c r="M649" i="1" s="1"/>
  <c r="L649" i="1" a="1"/>
  <c r="L649" i="1" s="1"/>
  <c r="N655" i="1" a="1"/>
  <c r="N655" i="1" s="1"/>
  <c r="L655" i="1" a="1"/>
  <c r="L655" i="1" s="1"/>
  <c r="M655" i="1" a="1"/>
  <c r="M655" i="1" s="1"/>
  <c r="M661" i="1" a="1"/>
  <c r="M661" i="1" s="1"/>
  <c r="L661" i="1" a="1"/>
  <c r="L661" i="1" s="1"/>
  <c r="N661" i="1" a="1"/>
  <c r="N661" i="1" s="1"/>
  <c r="N667" i="1" a="1"/>
  <c r="N667" i="1" s="1"/>
  <c r="M667" i="1" a="1"/>
  <c r="M667" i="1" s="1"/>
  <c r="L667" i="1" a="1"/>
  <c r="L667" i="1" s="1"/>
  <c r="N673" i="1" a="1"/>
  <c r="N673" i="1" s="1"/>
  <c r="M673" i="1" a="1"/>
  <c r="M673" i="1" s="1"/>
  <c r="L673" i="1" a="1"/>
  <c r="L673" i="1" s="1"/>
  <c r="N679" i="1" a="1"/>
  <c r="N679" i="1" s="1"/>
  <c r="M679" i="1" a="1"/>
  <c r="M679" i="1" s="1"/>
  <c r="L679" i="1" a="1"/>
  <c r="L679" i="1" s="1"/>
  <c r="N685" i="1" a="1"/>
  <c r="N685" i="1" s="1"/>
  <c r="L685" i="1" a="1"/>
  <c r="L685" i="1" s="1"/>
  <c r="M685" i="1" a="1"/>
  <c r="M685" i="1" s="1"/>
  <c r="M691" i="1" a="1"/>
  <c r="M691" i="1" s="1"/>
  <c r="N691" i="1" a="1"/>
  <c r="N691" i="1" s="1"/>
  <c r="L691" i="1" a="1"/>
  <c r="L691" i="1" s="1"/>
  <c r="N697" i="1" a="1"/>
  <c r="N697" i="1" s="1"/>
  <c r="L697" i="1" a="1"/>
  <c r="L697" i="1" s="1"/>
  <c r="M697" i="1" a="1"/>
  <c r="M697" i="1" s="1"/>
  <c r="N703" i="1" a="1"/>
  <c r="N703" i="1" s="1"/>
  <c r="M703" i="1" a="1"/>
  <c r="M703" i="1" s="1"/>
  <c r="L703" i="1" a="1"/>
  <c r="L703" i="1" s="1"/>
  <c r="N709" i="1" a="1"/>
  <c r="N709" i="1" s="1"/>
  <c r="M709" i="1" a="1"/>
  <c r="M709" i="1" s="1"/>
  <c r="L709" i="1" a="1"/>
  <c r="L709" i="1" s="1"/>
  <c r="N715" i="1" a="1"/>
  <c r="N715" i="1" s="1"/>
  <c r="M715" i="1" a="1"/>
  <c r="M715" i="1" s="1"/>
  <c r="L715" i="1" a="1"/>
  <c r="L715" i="1" s="1"/>
  <c r="N721" i="1" a="1"/>
  <c r="N721" i="1" s="1"/>
  <c r="M721" i="1" a="1"/>
  <c r="M721" i="1" s="1"/>
  <c r="L721" i="1" a="1"/>
  <c r="L721" i="1" s="1"/>
  <c r="N727" i="1" a="1"/>
  <c r="N727" i="1" s="1"/>
  <c r="M727" i="1" a="1"/>
  <c r="M727" i="1" s="1"/>
  <c r="L727" i="1" a="1"/>
  <c r="L727" i="1" s="1"/>
  <c r="N733" i="1" a="1"/>
  <c r="N733" i="1" s="1"/>
  <c r="M733" i="1" a="1"/>
  <c r="M733" i="1" s="1"/>
  <c r="L733" i="1" a="1"/>
  <c r="L733" i="1" s="1"/>
  <c r="N739" i="1" a="1"/>
  <c r="N739" i="1" s="1"/>
  <c r="M739" i="1" a="1"/>
  <c r="M739" i="1" s="1"/>
  <c r="L739" i="1" a="1"/>
  <c r="L739" i="1" s="1"/>
  <c r="N745" i="1" a="1"/>
  <c r="N745" i="1" s="1"/>
  <c r="M745" i="1" a="1"/>
  <c r="M745" i="1" s="1"/>
  <c r="L745" i="1" a="1"/>
  <c r="L745" i="1" s="1"/>
  <c r="M751" i="1" a="1"/>
  <c r="M751" i="1" s="1"/>
  <c r="L751" i="1" a="1"/>
  <c r="L751" i="1" s="1"/>
  <c r="N751" i="1" a="1"/>
  <c r="N751" i="1" s="1"/>
  <c r="N757" i="1" a="1"/>
  <c r="N757" i="1" s="1"/>
  <c r="M757" i="1" a="1"/>
  <c r="M757" i="1" s="1"/>
  <c r="L757" i="1" a="1"/>
  <c r="L757" i="1" s="1"/>
  <c r="N763" i="1" a="1"/>
  <c r="N763" i="1" s="1"/>
  <c r="M763" i="1" a="1"/>
  <c r="M763" i="1" s="1"/>
  <c r="L763" i="1" a="1"/>
  <c r="L763" i="1" s="1"/>
  <c r="N769" i="1" a="1"/>
  <c r="N769" i="1" s="1"/>
  <c r="M769" i="1" a="1"/>
  <c r="M769" i="1" s="1"/>
  <c r="L769" i="1" a="1"/>
  <c r="L769" i="1" s="1"/>
  <c r="M775" i="1" a="1"/>
  <c r="M775" i="1" s="1"/>
  <c r="L775" i="1" a="1"/>
  <c r="L775" i="1" s="1"/>
  <c r="N775" i="1" a="1"/>
  <c r="N775" i="1" s="1"/>
  <c r="N781" i="1" a="1"/>
  <c r="N781" i="1" s="1"/>
  <c r="M781" i="1" a="1"/>
  <c r="M781" i="1" s="1"/>
  <c r="L781" i="1" a="1"/>
  <c r="L781" i="1" s="1"/>
  <c r="N787" i="1" a="1"/>
  <c r="N787" i="1" s="1"/>
  <c r="L787" i="1" a="1"/>
  <c r="L787" i="1" s="1"/>
  <c r="M787" i="1" a="1"/>
  <c r="M787" i="1" s="1"/>
  <c r="N793" i="1" a="1"/>
  <c r="N793" i="1" s="1"/>
  <c r="L793" i="1" a="1"/>
  <c r="L793" i="1" s="1"/>
  <c r="M793" i="1" a="1"/>
  <c r="M793" i="1" s="1"/>
  <c r="N799" i="1" a="1"/>
  <c r="N799" i="1" s="1"/>
  <c r="M799" i="1" a="1"/>
  <c r="M799" i="1" s="1"/>
  <c r="L799" i="1" a="1"/>
  <c r="L799" i="1" s="1"/>
  <c r="N805" i="1" a="1"/>
  <c r="N805" i="1" s="1"/>
  <c r="M805" i="1" a="1"/>
  <c r="M805" i="1" s="1"/>
  <c r="L805" i="1" a="1"/>
  <c r="L805" i="1" s="1"/>
  <c r="N811" i="1" a="1"/>
  <c r="N811" i="1" s="1"/>
  <c r="L811" i="1" a="1"/>
  <c r="L811" i="1" s="1"/>
  <c r="M811" i="1" a="1"/>
  <c r="M811" i="1" s="1"/>
  <c r="N817" i="1" a="1"/>
  <c r="N817" i="1" s="1"/>
  <c r="M817" i="1" a="1"/>
  <c r="M817" i="1" s="1"/>
  <c r="L817" i="1" a="1"/>
  <c r="L817" i="1" s="1"/>
  <c r="N823" i="1" a="1"/>
  <c r="N823" i="1" s="1"/>
  <c r="L823" i="1" a="1"/>
  <c r="L823" i="1" s="1"/>
  <c r="M823" i="1" a="1"/>
  <c r="M823" i="1" s="1"/>
  <c r="N829" i="1" a="1"/>
  <c r="N829" i="1" s="1"/>
  <c r="M829" i="1" a="1"/>
  <c r="M829" i="1" s="1"/>
  <c r="L829" i="1" a="1"/>
  <c r="L829" i="1" s="1"/>
  <c r="N835" i="1" a="1"/>
  <c r="N835" i="1" s="1"/>
  <c r="L835" i="1" a="1"/>
  <c r="L835" i="1" s="1"/>
  <c r="M835" i="1" a="1"/>
  <c r="M835" i="1" s="1"/>
  <c r="N841" i="1" a="1"/>
  <c r="N841" i="1" s="1"/>
  <c r="M841" i="1" a="1"/>
  <c r="M841" i="1" s="1"/>
  <c r="L841" i="1" a="1"/>
  <c r="L841" i="1" s="1"/>
  <c r="N847" i="1" a="1"/>
  <c r="N847" i="1" s="1"/>
  <c r="L847" i="1" a="1"/>
  <c r="L847" i="1" s="1"/>
  <c r="M847" i="1" a="1"/>
  <c r="M847" i="1" s="1"/>
  <c r="N853" i="1" a="1"/>
  <c r="N853" i="1" s="1"/>
  <c r="M853" i="1" a="1"/>
  <c r="M853" i="1" s="1"/>
  <c r="L853" i="1" a="1"/>
  <c r="L853" i="1" s="1"/>
  <c r="N859" i="1" a="1"/>
  <c r="N859" i="1" s="1"/>
  <c r="L859" i="1" a="1"/>
  <c r="L859" i="1" s="1"/>
  <c r="M859" i="1" a="1"/>
  <c r="M859" i="1" s="1"/>
  <c r="N865" i="1" a="1"/>
  <c r="N865" i="1" s="1"/>
  <c r="M865" i="1" a="1"/>
  <c r="M865" i="1" s="1"/>
  <c r="L865" i="1" a="1"/>
  <c r="L865" i="1" s="1"/>
  <c r="N871" i="1" a="1"/>
  <c r="N871" i="1" s="1"/>
  <c r="L871" i="1" a="1"/>
  <c r="L871" i="1" s="1"/>
  <c r="M871" i="1" a="1"/>
  <c r="M871" i="1" s="1"/>
  <c r="N877" i="1" a="1"/>
  <c r="N877" i="1" s="1"/>
  <c r="M877" i="1" a="1"/>
  <c r="M877" i="1" s="1"/>
  <c r="L877" i="1" a="1"/>
  <c r="L877" i="1" s="1"/>
  <c r="N883" i="1" a="1"/>
  <c r="N883" i="1" s="1"/>
  <c r="L883" i="1" a="1"/>
  <c r="L883" i="1" s="1"/>
  <c r="M883" i="1" a="1"/>
  <c r="M883" i="1" s="1"/>
  <c r="M889" i="1" a="1"/>
  <c r="M889" i="1" s="1"/>
  <c r="N889" i="1" a="1"/>
  <c r="N889" i="1" s="1"/>
  <c r="L889" i="1" a="1"/>
  <c r="L889" i="1" s="1"/>
  <c r="N895" i="1" a="1"/>
  <c r="N895" i="1" s="1"/>
  <c r="M895" i="1" a="1"/>
  <c r="M895" i="1" s="1"/>
  <c r="L895" i="1" a="1"/>
  <c r="L895" i="1" s="1"/>
  <c r="N901" i="1" a="1"/>
  <c r="N901" i="1" s="1"/>
  <c r="M901" i="1" a="1"/>
  <c r="M901" i="1" s="1"/>
  <c r="L901" i="1" a="1"/>
  <c r="L901" i="1" s="1"/>
  <c r="N907" i="1" a="1"/>
  <c r="N907" i="1" s="1"/>
  <c r="L907" i="1" a="1"/>
  <c r="L907" i="1" s="1"/>
  <c r="M907" i="1" a="1"/>
  <c r="M907" i="1" s="1"/>
  <c r="N913" i="1" a="1"/>
  <c r="N913" i="1" s="1"/>
  <c r="M913" i="1" a="1"/>
  <c r="M913" i="1" s="1"/>
  <c r="L913" i="1" a="1"/>
  <c r="L913" i="1" s="1"/>
  <c r="N919" i="1" a="1"/>
  <c r="N919" i="1" s="1"/>
  <c r="L919" i="1" a="1"/>
  <c r="L919" i="1" s="1"/>
  <c r="M919" i="1" a="1"/>
  <c r="M919" i="1" s="1"/>
  <c r="N925" i="1" a="1"/>
  <c r="N925" i="1" s="1"/>
  <c r="M925" i="1" a="1"/>
  <c r="M925" i="1" s="1"/>
  <c r="L925" i="1" a="1"/>
  <c r="L925" i="1" s="1"/>
  <c r="M931" i="1" a="1"/>
  <c r="M931" i="1" s="1"/>
  <c r="N931" i="1" a="1"/>
  <c r="N931" i="1" s="1"/>
  <c r="L931" i="1" a="1"/>
  <c r="L931" i="1" s="1"/>
  <c r="N937" i="1" a="1"/>
  <c r="N937" i="1" s="1"/>
  <c r="M937" i="1" a="1"/>
  <c r="M937" i="1" s="1"/>
  <c r="L937" i="1" a="1"/>
  <c r="L937" i="1" s="1"/>
  <c r="M943" i="1" a="1"/>
  <c r="M943" i="1" s="1"/>
  <c r="N943" i="1" a="1"/>
  <c r="N943" i="1" s="1"/>
  <c r="L943" i="1" a="1"/>
  <c r="L943" i="1" s="1"/>
  <c r="N949" i="1" a="1"/>
  <c r="N949" i="1" s="1"/>
  <c r="M949" i="1" a="1"/>
  <c r="M949" i="1" s="1"/>
  <c r="L949" i="1" a="1"/>
  <c r="L949" i="1" s="1"/>
  <c r="M955" i="1" a="1"/>
  <c r="M955" i="1" s="1"/>
  <c r="L955" i="1" a="1"/>
  <c r="L955" i="1" s="1"/>
  <c r="N955" i="1" a="1"/>
  <c r="N955" i="1" s="1"/>
  <c r="N961" i="1" a="1"/>
  <c r="N961" i="1" s="1"/>
  <c r="M961" i="1" a="1"/>
  <c r="M961" i="1" s="1"/>
  <c r="L961" i="1" a="1"/>
  <c r="L961" i="1" s="1"/>
  <c r="M967" i="1" a="1"/>
  <c r="M967" i="1" s="1"/>
  <c r="N967" i="1" a="1"/>
  <c r="N967" i="1" s="1"/>
  <c r="L967" i="1" a="1"/>
  <c r="L967" i="1" s="1"/>
  <c r="N973" i="1" a="1"/>
  <c r="N973" i="1" s="1"/>
  <c r="M973" i="1" a="1"/>
  <c r="M973" i="1" s="1"/>
  <c r="L973" i="1" a="1"/>
  <c r="L973" i="1" s="1"/>
  <c r="M979" i="1" a="1"/>
  <c r="M979" i="1" s="1"/>
  <c r="N979" i="1" a="1"/>
  <c r="N979" i="1" s="1"/>
  <c r="L979" i="1" a="1"/>
  <c r="L979" i="1" s="1"/>
  <c r="N985" i="1" a="1"/>
  <c r="N985" i="1" s="1"/>
  <c r="M985" i="1" a="1"/>
  <c r="M985" i="1" s="1"/>
  <c r="L985" i="1" a="1"/>
  <c r="L985" i="1" s="1"/>
  <c r="N991" i="1" a="1"/>
  <c r="N991" i="1" s="1"/>
  <c r="M991" i="1" a="1"/>
  <c r="M991" i="1" s="1"/>
  <c r="L991" i="1" a="1"/>
  <c r="L991" i="1" s="1"/>
  <c r="N997" i="1" a="1"/>
  <c r="N997" i="1" s="1"/>
  <c r="M997" i="1" a="1"/>
  <c r="M997" i="1" s="1"/>
  <c r="L997" i="1" a="1"/>
  <c r="L997" i="1" s="1"/>
  <c r="N1003" i="1" a="1"/>
  <c r="N1003" i="1" s="1"/>
  <c r="M1003" i="1" a="1"/>
  <c r="M1003" i="1" s="1"/>
  <c r="L1003" i="1" a="1"/>
  <c r="L1003" i="1" s="1"/>
  <c r="N1009" i="1" a="1"/>
  <c r="N1009" i="1" s="1"/>
  <c r="M1009" i="1" a="1"/>
  <c r="M1009" i="1" s="1"/>
  <c r="L1009" i="1" a="1"/>
  <c r="L1009" i="1" s="1"/>
  <c r="N1015" i="1" a="1"/>
  <c r="N1015" i="1" s="1"/>
  <c r="M1015" i="1" a="1"/>
  <c r="M1015" i="1" s="1"/>
  <c r="L1015" i="1" a="1"/>
  <c r="L1015" i="1" s="1"/>
  <c r="N1021" i="1" a="1"/>
  <c r="N1021" i="1" s="1"/>
  <c r="L1021" i="1" a="1"/>
  <c r="L1021" i="1" s="1"/>
  <c r="M1021" i="1" a="1"/>
  <c r="M1021" i="1" s="1"/>
  <c r="N1027" i="1" a="1"/>
  <c r="N1027" i="1" s="1"/>
  <c r="M1027" i="1" a="1"/>
  <c r="M1027" i="1" s="1"/>
  <c r="L1027" i="1" a="1"/>
  <c r="L1027" i="1" s="1"/>
  <c r="N1033" i="1" a="1"/>
  <c r="N1033" i="1" s="1"/>
  <c r="M1033" i="1" a="1"/>
  <c r="M1033" i="1" s="1"/>
  <c r="L1033" i="1" a="1"/>
  <c r="L1033" i="1" s="1"/>
  <c r="N1039" i="1" a="1"/>
  <c r="N1039" i="1" s="1"/>
  <c r="M1039" i="1" a="1"/>
  <c r="M1039" i="1" s="1"/>
  <c r="L1039" i="1" a="1"/>
  <c r="L1039" i="1" s="1"/>
  <c r="N1045" i="1" a="1"/>
  <c r="N1045" i="1" s="1"/>
  <c r="M1045" i="1" a="1"/>
  <c r="M1045" i="1" s="1"/>
  <c r="L1045" i="1" a="1"/>
  <c r="L1045" i="1" s="1"/>
  <c r="N1051" i="1" a="1"/>
  <c r="N1051" i="1" s="1"/>
  <c r="M1051" i="1" a="1"/>
  <c r="M1051" i="1" s="1"/>
  <c r="L1051" i="1" a="1"/>
  <c r="L1051" i="1" s="1"/>
  <c r="M1057" i="1" a="1"/>
  <c r="M1057" i="1" s="1"/>
  <c r="L1057" i="1" a="1"/>
  <c r="L1057" i="1" s="1"/>
  <c r="N1057" i="1" a="1"/>
  <c r="N1057" i="1" s="1"/>
  <c r="N1063" i="1" a="1"/>
  <c r="N1063" i="1" s="1"/>
  <c r="M1063" i="1" a="1"/>
  <c r="M1063" i="1" s="1"/>
  <c r="L1063" i="1" a="1"/>
  <c r="L1063" i="1" s="1"/>
  <c r="N1069" i="1" a="1"/>
  <c r="N1069" i="1" s="1"/>
  <c r="M1069" i="1" a="1"/>
  <c r="M1069" i="1" s="1"/>
  <c r="L1069" i="1" a="1"/>
  <c r="L1069" i="1" s="1"/>
  <c r="M1075" i="1" a="1"/>
  <c r="M1075" i="1" s="1"/>
  <c r="L1075" i="1" a="1"/>
  <c r="L1075" i="1" s="1"/>
  <c r="N1075" i="1" a="1"/>
  <c r="N1075" i="1" s="1"/>
  <c r="M1081" i="1" a="1"/>
  <c r="M1081" i="1" s="1"/>
  <c r="L1081" i="1" a="1"/>
  <c r="L1081" i="1" s="1"/>
  <c r="N1081" i="1" a="1"/>
  <c r="N1081" i="1" s="1"/>
  <c r="N1087" i="1" a="1"/>
  <c r="N1087" i="1" s="1"/>
  <c r="M1087" i="1" a="1"/>
  <c r="M1087" i="1" s="1"/>
  <c r="L1087" i="1" a="1"/>
  <c r="L1087" i="1" s="1"/>
  <c r="N1093" i="1" a="1"/>
  <c r="N1093" i="1" s="1"/>
  <c r="M1093" i="1" a="1"/>
  <c r="M1093" i="1" s="1"/>
  <c r="L1093" i="1" a="1"/>
  <c r="L1093" i="1" s="1"/>
  <c r="M1099" i="1" a="1"/>
  <c r="M1099" i="1" s="1"/>
  <c r="N1099" i="1" a="1"/>
  <c r="N1099" i="1" s="1"/>
  <c r="L1099" i="1" a="1"/>
  <c r="L1099" i="1" s="1"/>
  <c r="N1105" i="1" a="1"/>
  <c r="N1105" i="1" s="1"/>
  <c r="M1105" i="1" a="1"/>
  <c r="M1105" i="1" s="1"/>
  <c r="L1105" i="1" a="1"/>
  <c r="L1105" i="1" s="1"/>
  <c r="M1111" i="1" a="1"/>
  <c r="M1111" i="1" s="1"/>
  <c r="L1111" i="1" a="1"/>
  <c r="L1111" i="1" s="1"/>
  <c r="N1111" i="1" a="1"/>
  <c r="N1111" i="1" s="1"/>
  <c r="L1117" i="1" a="1"/>
  <c r="L1117" i="1" s="1"/>
  <c r="N1117" i="1" a="1"/>
  <c r="N1117" i="1" s="1"/>
  <c r="M1117" i="1" a="1"/>
  <c r="M1117" i="1" s="1"/>
  <c r="M1123" i="1" a="1"/>
  <c r="M1123" i="1" s="1"/>
  <c r="N1123" i="1" a="1"/>
  <c r="N1123" i="1" s="1"/>
  <c r="L1123" i="1" a="1"/>
  <c r="L1123" i="1" s="1"/>
  <c r="N1129" i="1" a="1"/>
  <c r="N1129" i="1" s="1"/>
  <c r="M1129" i="1" a="1"/>
  <c r="M1129" i="1" s="1"/>
  <c r="L1129" i="1" a="1"/>
  <c r="L1129" i="1" s="1"/>
  <c r="M1135" i="1" a="1"/>
  <c r="M1135" i="1" s="1"/>
  <c r="L1135" i="1" a="1"/>
  <c r="L1135" i="1" s="1"/>
  <c r="N1135" i="1" a="1"/>
  <c r="N1135" i="1" s="1"/>
  <c r="N1141" i="1" a="1"/>
  <c r="N1141" i="1" s="1"/>
  <c r="M1141" i="1" a="1"/>
  <c r="M1141" i="1" s="1"/>
  <c r="L1141" i="1" a="1"/>
  <c r="L1141" i="1" s="1"/>
  <c r="M1147" i="1" a="1"/>
  <c r="M1147" i="1" s="1"/>
  <c r="N1147" i="1" a="1"/>
  <c r="N1147" i="1" s="1"/>
  <c r="L1147" i="1" a="1"/>
  <c r="L1147" i="1" s="1"/>
  <c r="N1153" i="1" a="1"/>
  <c r="N1153" i="1" s="1"/>
  <c r="L1153" i="1" a="1"/>
  <c r="L1153" i="1" s="1"/>
  <c r="M1153" i="1" a="1"/>
  <c r="M1153" i="1" s="1"/>
  <c r="M1159" i="1" a="1"/>
  <c r="M1159" i="1" s="1"/>
  <c r="L1159" i="1" a="1"/>
  <c r="L1159" i="1" s="1"/>
  <c r="N1159" i="1" a="1"/>
  <c r="N1159" i="1" s="1"/>
  <c r="N1165" i="1" a="1"/>
  <c r="N1165" i="1" s="1"/>
  <c r="M1165" i="1" a="1"/>
  <c r="M1165" i="1" s="1"/>
  <c r="L1165" i="1" a="1"/>
  <c r="L1165" i="1" s="1"/>
  <c r="M1171" i="1" a="1"/>
  <c r="M1171" i="1" s="1"/>
  <c r="L1171" i="1" a="1"/>
  <c r="L1171" i="1" s="1"/>
  <c r="N1171" i="1" a="1"/>
  <c r="N1171" i="1" s="1"/>
  <c r="N1177" i="1" a="1"/>
  <c r="N1177" i="1" s="1"/>
  <c r="M1177" i="1" a="1"/>
  <c r="M1177" i="1" s="1"/>
  <c r="L1177" i="1" a="1"/>
  <c r="L1177" i="1" s="1"/>
  <c r="N1183" i="1" a="1"/>
  <c r="N1183" i="1" s="1"/>
  <c r="L1183" i="1" a="1"/>
  <c r="L1183" i="1" s="1"/>
  <c r="M1183" i="1" a="1"/>
  <c r="M1183" i="1" s="1"/>
  <c r="N1189" i="1" a="1"/>
  <c r="N1189" i="1" s="1"/>
  <c r="L1189" i="1" a="1"/>
  <c r="L1189" i="1" s="1"/>
  <c r="M1189" i="1" a="1"/>
  <c r="M1189" i="1" s="1"/>
  <c r="N1195" i="1" a="1"/>
  <c r="N1195" i="1" s="1"/>
  <c r="M1195" i="1" a="1"/>
  <c r="M1195" i="1" s="1"/>
  <c r="L1195" i="1" a="1"/>
  <c r="L1195" i="1" s="1"/>
  <c r="N1201" i="1" a="1"/>
  <c r="N1201" i="1" s="1"/>
  <c r="M1201" i="1" a="1"/>
  <c r="M1201" i="1" s="1"/>
  <c r="L1201" i="1" a="1"/>
  <c r="L1201" i="1" s="1"/>
  <c r="M1207" i="1" a="1"/>
  <c r="M1207" i="1" s="1"/>
  <c r="L1207" i="1" a="1"/>
  <c r="L1207" i="1" s="1"/>
  <c r="N1207" i="1" a="1"/>
  <c r="N1207" i="1" s="1"/>
  <c r="N1213" i="1" a="1"/>
  <c r="N1213" i="1" s="1"/>
  <c r="M1213" i="1" a="1"/>
  <c r="M1213" i="1" s="1"/>
  <c r="L1213" i="1" a="1"/>
  <c r="L1213" i="1" s="1"/>
  <c r="M1219" i="1" a="1"/>
  <c r="M1219" i="1" s="1"/>
  <c r="N1219" i="1" a="1"/>
  <c r="N1219" i="1" s="1"/>
  <c r="L1219" i="1" a="1"/>
  <c r="L1219" i="1" s="1"/>
  <c r="N1225" i="1" a="1"/>
  <c r="N1225" i="1" s="1"/>
  <c r="M1225" i="1" a="1"/>
  <c r="M1225" i="1" s="1"/>
  <c r="L1225" i="1" a="1"/>
  <c r="L1225" i="1" s="1"/>
  <c r="L1231" i="1" a="1"/>
  <c r="L1231" i="1" s="1"/>
  <c r="N1231" i="1" a="1"/>
  <c r="N1231" i="1" s="1"/>
  <c r="M1231" i="1" a="1"/>
  <c r="M1231" i="1" s="1"/>
  <c r="N1237" i="1" a="1"/>
  <c r="N1237" i="1" s="1"/>
  <c r="M1237" i="1" a="1"/>
  <c r="M1237" i="1" s="1"/>
  <c r="L1237" i="1" a="1"/>
  <c r="L1237" i="1" s="1"/>
  <c r="N1243" i="1" a="1"/>
  <c r="N1243" i="1" s="1"/>
  <c r="L1243" i="1" a="1"/>
  <c r="L1243" i="1" s="1"/>
  <c r="M1243" i="1" a="1"/>
  <c r="M1243" i="1" s="1"/>
  <c r="M1249" i="1" a="1"/>
  <c r="M1249" i="1" s="1"/>
  <c r="N1249" i="1" a="1"/>
  <c r="N1249" i="1" s="1"/>
  <c r="L1249" i="1" a="1"/>
  <c r="L1249" i="1" s="1"/>
  <c r="N1255" i="1" a="1"/>
  <c r="N1255" i="1" s="1"/>
  <c r="L1255" i="1" a="1"/>
  <c r="L1255" i="1" s="1"/>
  <c r="M1255" i="1" a="1"/>
  <c r="M1255" i="1" s="1"/>
  <c r="M1261" i="1" a="1"/>
  <c r="M1261" i="1" s="1"/>
  <c r="N1261" i="1" a="1"/>
  <c r="N1261" i="1" s="1"/>
  <c r="L1261" i="1" a="1"/>
  <c r="L1261" i="1" s="1"/>
  <c r="N1267" i="1" a="1"/>
  <c r="N1267" i="1" s="1"/>
  <c r="L1267" i="1" a="1"/>
  <c r="L1267" i="1" s="1"/>
  <c r="M1267" i="1" a="1"/>
  <c r="M1267" i="1" s="1"/>
  <c r="N1273" i="1" a="1"/>
  <c r="N1273" i="1" s="1"/>
  <c r="M1273" i="1" a="1"/>
  <c r="M1273" i="1" s="1"/>
  <c r="L1273" i="1" a="1"/>
  <c r="L1273" i="1" s="1"/>
  <c r="L1279" i="1" a="1"/>
  <c r="L1279" i="1" s="1"/>
  <c r="M1279" i="1" a="1"/>
  <c r="M1279" i="1" s="1"/>
  <c r="N1279" i="1" a="1"/>
  <c r="N1279" i="1" s="1"/>
  <c r="N1285" i="1" a="1"/>
  <c r="N1285" i="1" s="1"/>
  <c r="M1285" i="1" a="1"/>
  <c r="M1285" i="1" s="1"/>
  <c r="L1285" i="1" a="1"/>
  <c r="L1285" i="1" s="1"/>
  <c r="M1291" i="1" a="1"/>
  <c r="M1291" i="1" s="1"/>
  <c r="N1291" i="1" a="1"/>
  <c r="N1291" i="1" s="1"/>
  <c r="L1291" i="1" a="1"/>
  <c r="L1291" i="1" s="1"/>
  <c r="M1297" i="1" a="1"/>
  <c r="M1297" i="1" s="1"/>
  <c r="N1297" i="1" a="1"/>
  <c r="N1297" i="1" s="1"/>
  <c r="L1297" i="1" a="1"/>
  <c r="L1297" i="1" s="1"/>
  <c r="M1303" i="1" a="1"/>
  <c r="M1303" i="1" s="1"/>
  <c r="L1303" i="1" a="1"/>
  <c r="L1303" i="1" s="1"/>
  <c r="N1303" i="1" a="1"/>
  <c r="N1303" i="1" s="1"/>
  <c r="N1309" i="1" a="1"/>
  <c r="N1309" i="1" s="1"/>
  <c r="L1309" i="1" a="1"/>
  <c r="L1309" i="1" s="1"/>
  <c r="M1309" i="1" a="1"/>
  <c r="M1309" i="1" s="1"/>
  <c r="N1315" i="1" a="1"/>
  <c r="N1315" i="1" s="1"/>
  <c r="L1315" i="1" a="1"/>
  <c r="L1315" i="1" s="1"/>
  <c r="M1315" i="1" a="1"/>
  <c r="M1315" i="1" s="1"/>
  <c r="N1321" i="1" a="1"/>
  <c r="N1321" i="1" s="1"/>
  <c r="M1321" i="1" a="1"/>
  <c r="M1321" i="1" s="1"/>
  <c r="L1321" i="1" a="1"/>
  <c r="L1321" i="1" s="1"/>
  <c r="N1327" i="1" a="1"/>
  <c r="N1327" i="1" s="1"/>
  <c r="L1327" i="1" a="1"/>
  <c r="L1327" i="1" s="1"/>
  <c r="M1327" i="1" a="1"/>
  <c r="M1327" i="1" s="1"/>
  <c r="N1333" i="1" a="1"/>
  <c r="N1333" i="1" s="1"/>
  <c r="L1333" i="1" a="1"/>
  <c r="L1333" i="1" s="1"/>
  <c r="M1333" i="1" a="1"/>
  <c r="M1333" i="1" s="1"/>
  <c r="N1339" i="1" a="1"/>
  <c r="N1339" i="1" s="1"/>
  <c r="L1339" i="1" a="1"/>
  <c r="L1339" i="1" s="1"/>
  <c r="M1339" i="1" a="1"/>
  <c r="M1339" i="1" s="1"/>
  <c r="N1345" i="1" a="1"/>
  <c r="N1345" i="1" s="1"/>
  <c r="L1345" i="1" a="1"/>
  <c r="L1345" i="1" s="1"/>
  <c r="M1345" i="1" a="1"/>
  <c r="M1345" i="1" s="1"/>
  <c r="M1351" i="1" a="1"/>
  <c r="M1351" i="1" s="1"/>
  <c r="L1351" i="1" a="1"/>
  <c r="L1351" i="1" s="1"/>
  <c r="N1351" i="1" a="1"/>
  <c r="N1351" i="1" s="1"/>
  <c r="N1357" i="1" a="1"/>
  <c r="N1357" i="1" s="1"/>
  <c r="M1357" i="1" a="1"/>
  <c r="M1357" i="1" s="1"/>
  <c r="L1357" i="1" a="1"/>
  <c r="L1357" i="1" s="1"/>
  <c r="N1363" i="1" a="1"/>
  <c r="N1363" i="1" s="1"/>
  <c r="L1363" i="1" a="1"/>
  <c r="L1363" i="1" s="1"/>
  <c r="M1363" i="1" a="1"/>
  <c r="M1363" i="1" s="1"/>
  <c r="M1369" i="1" a="1"/>
  <c r="M1369" i="1" s="1"/>
  <c r="N1369" i="1" a="1"/>
  <c r="N1369" i="1" s="1"/>
  <c r="L1369" i="1" a="1"/>
  <c r="L1369" i="1" s="1"/>
  <c r="N1375" i="1" a="1"/>
  <c r="N1375" i="1" s="1"/>
  <c r="M1375" i="1" a="1"/>
  <c r="M1375" i="1" s="1"/>
  <c r="L1375" i="1" a="1"/>
  <c r="L1375" i="1" s="1"/>
  <c r="N1381" i="1" a="1"/>
  <c r="N1381" i="1" s="1"/>
  <c r="L1381" i="1" a="1"/>
  <c r="L1381" i="1" s="1"/>
  <c r="M1381" i="1" a="1"/>
  <c r="M1381" i="1" s="1"/>
  <c r="N1387" i="1" a="1"/>
  <c r="N1387" i="1" s="1"/>
  <c r="M1387" i="1" a="1"/>
  <c r="M1387" i="1" s="1"/>
  <c r="L1387" i="1" a="1"/>
  <c r="L1387" i="1" s="1"/>
  <c r="M1393" i="1" a="1"/>
  <c r="M1393" i="1" s="1"/>
  <c r="N1393" i="1" a="1"/>
  <c r="N1393" i="1" s="1"/>
  <c r="L1393" i="1" a="1"/>
  <c r="L1393" i="1" s="1"/>
  <c r="M1399" i="1" a="1"/>
  <c r="M1399" i="1" s="1"/>
  <c r="L1399" i="1" a="1"/>
  <c r="L1399" i="1" s="1"/>
  <c r="N1399" i="1" a="1"/>
  <c r="N1399" i="1" s="1"/>
  <c r="N1405" i="1" a="1"/>
  <c r="N1405" i="1" s="1"/>
  <c r="M1405" i="1" a="1"/>
  <c r="M1405" i="1" s="1"/>
  <c r="L1405" i="1" a="1"/>
  <c r="L1405" i="1" s="1"/>
  <c r="L1411" i="1" a="1"/>
  <c r="L1411" i="1" s="1"/>
  <c r="N1411" i="1" a="1"/>
  <c r="N1411" i="1" s="1"/>
  <c r="M1411" i="1" a="1"/>
  <c r="M1411" i="1" s="1"/>
  <c r="N1417" i="1" a="1"/>
  <c r="N1417" i="1" s="1"/>
  <c r="M1417" i="1" a="1"/>
  <c r="M1417" i="1" s="1"/>
  <c r="L1417" i="1" a="1"/>
  <c r="L1417" i="1" s="1"/>
  <c r="N1423" i="1" a="1"/>
  <c r="N1423" i="1" s="1"/>
  <c r="L1423" i="1" a="1"/>
  <c r="L1423" i="1" s="1"/>
  <c r="M1423" i="1" a="1"/>
  <c r="M1423" i="1" s="1"/>
  <c r="N1429" i="1" a="1"/>
  <c r="N1429" i="1" s="1"/>
  <c r="M1429" i="1" a="1"/>
  <c r="M1429" i="1" s="1"/>
  <c r="L1429" i="1" a="1"/>
  <c r="L1429" i="1" s="1"/>
  <c r="L1435" i="1" a="1"/>
  <c r="L1435" i="1" s="1"/>
  <c r="N1435" i="1" a="1"/>
  <c r="N1435" i="1" s="1"/>
  <c r="M1435" i="1" a="1"/>
  <c r="M1435" i="1" s="1"/>
  <c r="N1441" i="1" a="1"/>
  <c r="N1441" i="1" s="1"/>
  <c r="M1441" i="1" a="1"/>
  <c r="M1441" i="1" s="1"/>
  <c r="L1441" i="1" a="1"/>
  <c r="L1441" i="1" s="1"/>
  <c r="N3" i="1" a="1"/>
  <c r="N3" i="1" s="1"/>
  <c r="L3" i="1" a="1"/>
  <c r="L3" i="1" s="1"/>
  <c r="M3" i="1" a="1"/>
  <c r="M3" i="1" s="1"/>
  <c r="N9" i="1" a="1"/>
  <c r="N9" i="1" s="1"/>
  <c r="M9" i="1" a="1"/>
  <c r="M9" i="1" s="1"/>
  <c r="L9" i="1" a="1"/>
  <c r="L9" i="1" s="1"/>
  <c r="N15" i="1" a="1"/>
  <c r="N15" i="1" s="1"/>
  <c r="M15" i="1" a="1"/>
  <c r="M15" i="1" s="1"/>
  <c r="L15" i="1" a="1"/>
  <c r="L15" i="1" s="1"/>
  <c r="N21" i="1" a="1"/>
  <c r="N21" i="1" s="1"/>
  <c r="L21" i="1" a="1"/>
  <c r="L21" i="1" s="1"/>
  <c r="M21" i="1" a="1"/>
  <c r="M21" i="1" s="1"/>
  <c r="N27" i="1" a="1"/>
  <c r="N27" i="1" s="1"/>
  <c r="M27" i="1" a="1"/>
  <c r="M27" i="1" s="1"/>
  <c r="L27" i="1" a="1"/>
  <c r="L27" i="1" s="1"/>
  <c r="N33" i="1" a="1"/>
  <c r="N33" i="1" s="1"/>
  <c r="M33" i="1" a="1"/>
  <c r="M33" i="1" s="1"/>
  <c r="L33" i="1" a="1"/>
  <c r="L33" i="1" s="1"/>
  <c r="N39" i="1" a="1"/>
  <c r="N39" i="1" s="1"/>
  <c r="M39" i="1" a="1"/>
  <c r="M39" i="1" s="1"/>
  <c r="L39" i="1" a="1"/>
  <c r="L39" i="1" s="1"/>
  <c r="N45" i="1" a="1"/>
  <c r="N45" i="1" s="1"/>
  <c r="M45" i="1" a="1"/>
  <c r="M45" i="1" s="1"/>
  <c r="L45" i="1" a="1"/>
  <c r="L45" i="1" s="1"/>
  <c r="N51" i="1" a="1"/>
  <c r="N51" i="1" s="1"/>
  <c r="L51" i="1" a="1"/>
  <c r="L51" i="1" s="1"/>
  <c r="M51" i="1" a="1"/>
  <c r="M51" i="1" s="1"/>
  <c r="M57" i="1" a="1"/>
  <c r="M57" i="1" s="1"/>
  <c r="N57" i="1" a="1"/>
  <c r="N57" i="1" s="1"/>
  <c r="L57" i="1" a="1"/>
  <c r="L57" i="1" s="1"/>
  <c r="N63" i="1" a="1"/>
  <c r="N63" i="1" s="1"/>
  <c r="M63" i="1" a="1"/>
  <c r="M63" i="1" s="1"/>
  <c r="L63" i="1" a="1"/>
  <c r="L63" i="1" s="1"/>
  <c r="N69" i="1" a="1"/>
  <c r="N69" i="1" s="1"/>
  <c r="M69" i="1" a="1"/>
  <c r="M69" i="1" s="1"/>
  <c r="L69" i="1" a="1"/>
  <c r="L69" i="1" s="1"/>
  <c r="N75" i="1" a="1"/>
  <c r="N75" i="1" s="1"/>
  <c r="M75" i="1" a="1"/>
  <c r="M75" i="1" s="1"/>
  <c r="L75" i="1" a="1"/>
  <c r="L75" i="1" s="1"/>
  <c r="N81" i="1" a="1"/>
  <c r="N81" i="1" s="1"/>
  <c r="L81" i="1" a="1"/>
  <c r="L81" i="1" s="1"/>
  <c r="M81" i="1" a="1"/>
  <c r="M81" i="1" s="1"/>
  <c r="N87" i="1" a="1"/>
  <c r="N87" i="1" s="1"/>
  <c r="M87" i="1" a="1"/>
  <c r="M87" i="1" s="1"/>
  <c r="L87" i="1" a="1"/>
  <c r="L87" i="1" s="1"/>
  <c r="M93" i="1" a="1"/>
  <c r="M93" i="1" s="1"/>
  <c r="N93" i="1" a="1"/>
  <c r="N93" i="1" s="1"/>
  <c r="L93" i="1" a="1"/>
  <c r="L93" i="1" s="1"/>
  <c r="N99" i="1" a="1"/>
  <c r="N99" i="1" s="1"/>
  <c r="L99" i="1" a="1"/>
  <c r="L99" i="1" s="1"/>
  <c r="M99" i="1" a="1"/>
  <c r="M99" i="1" s="1"/>
  <c r="N105" i="1" a="1"/>
  <c r="N105" i="1" s="1"/>
  <c r="M105" i="1" a="1"/>
  <c r="M105" i="1" s="1"/>
  <c r="L105" i="1" a="1"/>
  <c r="L105" i="1" s="1"/>
  <c r="N111" i="1" a="1"/>
  <c r="N111" i="1" s="1"/>
  <c r="M111" i="1" a="1"/>
  <c r="M111" i="1" s="1"/>
  <c r="L111" i="1" a="1"/>
  <c r="L111" i="1" s="1"/>
  <c r="N117" i="1" a="1"/>
  <c r="N117" i="1" s="1"/>
  <c r="M117" i="1" a="1"/>
  <c r="M117" i="1" s="1"/>
  <c r="L117" i="1" a="1"/>
  <c r="L117" i="1" s="1"/>
  <c r="N123" i="1" a="1"/>
  <c r="N123" i="1" s="1"/>
  <c r="M123" i="1" a="1"/>
  <c r="M123" i="1" s="1"/>
  <c r="L123" i="1" a="1"/>
  <c r="L123" i="1" s="1"/>
  <c r="L129" i="1" a="1"/>
  <c r="L129" i="1" s="1"/>
  <c r="N129" i="1" a="1"/>
  <c r="N129" i="1" s="1"/>
  <c r="M129" i="1" a="1"/>
  <c r="M129" i="1" s="1"/>
  <c r="N135" i="1" a="1"/>
  <c r="N135" i="1" s="1"/>
  <c r="M135" i="1" a="1"/>
  <c r="M135" i="1" s="1"/>
  <c r="L135" i="1" a="1"/>
  <c r="L135" i="1" s="1"/>
  <c r="N141" i="1" a="1"/>
  <c r="N141" i="1" s="1"/>
  <c r="M141" i="1" a="1"/>
  <c r="M141" i="1" s="1"/>
  <c r="L141" i="1" a="1"/>
  <c r="L141" i="1" s="1"/>
  <c r="N147" i="1" a="1"/>
  <c r="N147" i="1" s="1"/>
  <c r="M147" i="1" a="1"/>
  <c r="M147" i="1" s="1"/>
  <c r="L147" i="1" a="1"/>
  <c r="L147" i="1" s="1"/>
  <c r="N153" i="1" a="1"/>
  <c r="N153" i="1" s="1"/>
  <c r="M153" i="1" a="1"/>
  <c r="M153" i="1" s="1"/>
  <c r="L153" i="1" a="1"/>
  <c r="L153" i="1" s="1"/>
  <c r="N159" i="1" a="1"/>
  <c r="N159" i="1" s="1"/>
  <c r="L159" i="1" a="1"/>
  <c r="L159" i="1" s="1"/>
  <c r="M159" i="1" a="1"/>
  <c r="M159" i="1" s="1"/>
  <c r="M165" i="1" a="1"/>
  <c r="M165" i="1" s="1"/>
  <c r="N165" i="1" a="1"/>
  <c r="N165" i="1" s="1"/>
  <c r="L165" i="1" a="1"/>
  <c r="L165" i="1" s="1"/>
  <c r="N171" i="1" a="1"/>
  <c r="N171" i="1" s="1"/>
  <c r="L171" i="1" a="1"/>
  <c r="L171" i="1" s="1"/>
  <c r="M171" i="1" a="1"/>
  <c r="M171" i="1" s="1"/>
  <c r="N177" i="1" a="1"/>
  <c r="N177" i="1" s="1"/>
  <c r="M177" i="1" a="1"/>
  <c r="M177" i="1" s="1"/>
  <c r="L177" i="1" a="1"/>
  <c r="L177" i="1" s="1"/>
  <c r="N183" i="1" a="1"/>
  <c r="N183" i="1" s="1"/>
  <c r="M183" i="1" a="1"/>
  <c r="M183" i="1" s="1"/>
  <c r="L183" i="1" a="1"/>
  <c r="L183" i="1" s="1"/>
  <c r="N189" i="1" a="1"/>
  <c r="N189" i="1" s="1"/>
  <c r="M189" i="1" a="1"/>
  <c r="M189" i="1" s="1"/>
  <c r="L189" i="1" a="1"/>
  <c r="L189" i="1" s="1"/>
  <c r="N195" i="1" a="1"/>
  <c r="N195" i="1" s="1"/>
  <c r="M195" i="1" a="1"/>
  <c r="M195" i="1" s="1"/>
  <c r="L195" i="1" a="1"/>
  <c r="L195" i="1" s="1"/>
  <c r="N201" i="1" a="1"/>
  <c r="N201" i="1" s="1"/>
  <c r="L201" i="1" a="1"/>
  <c r="L201" i="1" s="1"/>
  <c r="M201" i="1" a="1"/>
  <c r="M201" i="1" s="1"/>
  <c r="N207" i="1" a="1"/>
  <c r="N207" i="1" s="1"/>
  <c r="L207" i="1" a="1"/>
  <c r="L207" i="1" s="1"/>
  <c r="M207" i="1" a="1"/>
  <c r="M207" i="1" s="1"/>
  <c r="M213" i="1" a="1"/>
  <c r="M213" i="1" s="1"/>
  <c r="N213" i="1" a="1"/>
  <c r="N213" i="1" s="1"/>
  <c r="L213" i="1" a="1"/>
  <c r="L213" i="1" s="1"/>
  <c r="N219" i="1" a="1"/>
  <c r="N219" i="1" s="1"/>
  <c r="M219" i="1" a="1"/>
  <c r="M219" i="1" s="1"/>
  <c r="L219" i="1" a="1"/>
  <c r="L219" i="1" s="1"/>
  <c r="N225" i="1" a="1"/>
  <c r="N225" i="1" s="1"/>
  <c r="M225" i="1" a="1"/>
  <c r="M225" i="1" s="1"/>
  <c r="L225" i="1" a="1"/>
  <c r="L225" i="1" s="1"/>
  <c r="N231" i="1" a="1"/>
  <c r="N231" i="1" s="1"/>
  <c r="M231" i="1" a="1"/>
  <c r="M231" i="1" s="1"/>
  <c r="L231" i="1" a="1"/>
  <c r="L231" i="1" s="1"/>
  <c r="N237" i="1" a="1"/>
  <c r="N237" i="1" s="1"/>
  <c r="M237" i="1" a="1"/>
  <c r="M237" i="1" s="1"/>
  <c r="L237" i="1" a="1"/>
  <c r="L237" i="1" s="1"/>
  <c r="N243" i="1" a="1"/>
  <c r="N243" i="1" s="1"/>
  <c r="M243" i="1" a="1"/>
  <c r="M243" i="1" s="1"/>
  <c r="L243" i="1" a="1"/>
  <c r="L243" i="1" s="1"/>
  <c r="N249" i="1" a="1"/>
  <c r="N249" i="1" s="1"/>
  <c r="M249" i="1" a="1"/>
  <c r="M249" i="1" s="1"/>
  <c r="L249" i="1" a="1"/>
  <c r="L249" i="1" s="1"/>
  <c r="N255" i="1" a="1"/>
  <c r="N255" i="1" s="1"/>
  <c r="M255" i="1" a="1"/>
  <c r="M255" i="1" s="1"/>
  <c r="L255" i="1" a="1"/>
  <c r="L255" i="1" s="1"/>
  <c r="N261" i="1" a="1"/>
  <c r="N261" i="1" s="1"/>
  <c r="M261" i="1" a="1"/>
  <c r="M261" i="1" s="1"/>
  <c r="L261" i="1" a="1"/>
  <c r="L261" i="1" s="1"/>
  <c r="N267" i="1" a="1"/>
  <c r="N267" i="1" s="1"/>
  <c r="M267" i="1" a="1"/>
  <c r="M267" i="1" s="1"/>
  <c r="L267" i="1" a="1"/>
  <c r="L267" i="1" s="1"/>
  <c r="N273" i="1" a="1"/>
  <c r="N273" i="1" s="1"/>
  <c r="M273" i="1" a="1"/>
  <c r="M273" i="1" s="1"/>
  <c r="L273" i="1" a="1"/>
  <c r="L273" i="1" s="1"/>
  <c r="N279" i="1" a="1"/>
  <c r="N279" i="1" s="1"/>
  <c r="L279" i="1" a="1"/>
  <c r="L279" i="1" s="1"/>
  <c r="M279" i="1" a="1"/>
  <c r="M279" i="1" s="1"/>
  <c r="M285" i="1" a="1"/>
  <c r="M285" i="1" s="1"/>
  <c r="N285" i="1" a="1"/>
  <c r="N285" i="1" s="1"/>
  <c r="L285" i="1" a="1"/>
  <c r="L285" i="1" s="1"/>
  <c r="N291" i="1" a="1"/>
  <c r="N291" i="1" s="1"/>
  <c r="M291" i="1" a="1"/>
  <c r="M291" i="1" s="1"/>
  <c r="L291" i="1" a="1"/>
  <c r="L291" i="1" s="1"/>
  <c r="N297" i="1" a="1"/>
  <c r="N297" i="1" s="1"/>
  <c r="M297" i="1" a="1"/>
  <c r="M297" i="1" s="1"/>
  <c r="L297" i="1" a="1"/>
  <c r="L297" i="1" s="1"/>
  <c r="N303" i="1" a="1"/>
  <c r="N303" i="1" s="1"/>
  <c r="M303" i="1" a="1"/>
  <c r="M303" i="1" s="1"/>
  <c r="L303" i="1" a="1"/>
  <c r="L303" i="1" s="1"/>
  <c r="N309" i="1" a="1"/>
  <c r="N309" i="1" s="1"/>
  <c r="L309" i="1" a="1"/>
  <c r="L309" i="1" s="1"/>
  <c r="M309" i="1" a="1"/>
  <c r="M309" i="1" s="1"/>
  <c r="N315" i="1" a="1"/>
  <c r="N315" i="1" s="1"/>
  <c r="M315" i="1" a="1"/>
  <c r="M315" i="1" s="1"/>
  <c r="L315" i="1" a="1"/>
  <c r="L315" i="1" s="1"/>
  <c r="N321" i="1" a="1"/>
  <c r="N321" i="1" s="1"/>
  <c r="L321" i="1" a="1"/>
  <c r="L321" i="1" s="1"/>
  <c r="M321" i="1" a="1"/>
  <c r="M321" i="1" s="1"/>
  <c r="N327" i="1" a="1"/>
  <c r="N327" i="1" s="1"/>
  <c r="M327" i="1" a="1"/>
  <c r="M327" i="1" s="1"/>
  <c r="L327" i="1" a="1"/>
  <c r="L327" i="1" s="1"/>
  <c r="M333" i="1" a="1"/>
  <c r="M333" i="1" s="1"/>
  <c r="N333" i="1" a="1"/>
  <c r="N333" i="1" s="1"/>
  <c r="L333" i="1" a="1"/>
  <c r="L333" i="1" s="1"/>
  <c r="N339" i="1" a="1"/>
  <c r="N339" i="1" s="1"/>
  <c r="M339" i="1" a="1"/>
  <c r="M339" i="1" s="1"/>
  <c r="L339" i="1" a="1"/>
  <c r="L339" i="1" s="1"/>
  <c r="N345" i="1" a="1"/>
  <c r="N345" i="1" s="1"/>
  <c r="M345" i="1" a="1"/>
  <c r="M345" i="1" s="1"/>
  <c r="L345" i="1" a="1"/>
  <c r="L345" i="1" s="1"/>
  <c r="N351" i="1" a="1"/>
  <c r="N351" i="1" s="1"/>
  <c r="M351" i="1" a="1"/>
  <c r="M351" i="1" s="1"/>
  <c r="L351" i="1" a="1"/>
  <c r="L351" i="1" s="1"/>
  <c r="N357" i="1" a="1"/>
  <c r="N357" i="1" s="1"/>
  <c r="M357" i="1" a="1"/>
  <c r="M357" i="1" s="1"/>
  <c r="L357" i="1" a="1"/>
  <c r="L357" i="1" s="1"/>
  <c r="N363" i="1" a="1"/>
  <c r="N363" i="1" s="1"/>
  <c r="L363" i="1" a="1"/>
  <c r="L363" i="1" s="1"/>
  <c r="M363" i="1" a="1"/>
  <c r="M363" i="1" s="1"/>
  <c r="M369" i="1" a="1"/>
  <c r="M369" i="1" s="1"/>
  <c r="L369" i="1" a="1"/>
  <c r="L369" i="1" s="1"/>
  <c r="N369" i="1" a="1"/>
  <c r="N369" i="1" s="1"/>
  <c r="N375" i="1" a="1"/>
  <c r="N375" i="1" s="1"/>
  <c r="M375" i="1" a="1"/>
  <c r="M375" i="1" s="1"/>
  <c r="L375" i="1" a="1"/>
  <c r="L375" i="1" s="1"/>
  <c r="N381" i="1" a="1"/>
  <c r="N381" i="1" s="1"/>
  <c r="M381" i="1" a="1"/>
  <c r="M381" i="1" s="1"/>
  <c r="L381" i="1" a="1"/>
  <c r="L381" i="1" s="1"/>
  <c r="N387" i="1" a="1"/>
  <c r="N387" i="1" s="1"/>
  <c r="M387" i="1" a="1"/>
  <c r="M387" i="1" s="1"/>
  <c r="L387" i="1" a="1"/>
  <c r="L387" i="1" s="1"/>
  <c r="N393" i="1" a="1"/>
  <c r="N393" i="1" s="1"/>
  <c r="M393" i="1" a="1"/>
  <c r="M393" i="1" s="1"/>
  <c r="L393" i="1" a="1"/>
  <c r="L393" i="1" s="1"/>
  <c r="N399" i="1" a="1"/>
  <c r="N399" i="1" s="1"/>
  <c r="M399" i="1" a="1"/>
  <c r="M399" i="1" s="1"/>
  <c r="L399" i="1" a="1"/>
  <c r="L399" i="1" s="1"/>
  <c r="N405" i="1" a="1"/>
  <c r="N405" i="1" s="1"/>
  <c r="L405" i="1" a="1"/>
  <c r="L405" i="1" s="1"/>
  <c r="M405" i="1" a="1"/>
  <c r="M405" i="1" s="1"/>
  <c r="N411" i="1" a="1"/>
  <c r="N411" i="1" s="1"/>
  <c r="M411" i="1" a="1"/>
  <c r="M411" i="1" s="1"/>
  <c r="L411" i="1" a="1"/>
  <c r="L411" i="1" s="1"/>
  <c r="N417" i="1" a="1"/>
  <c r="N417" i="1" s="1"/>
  <c r="M417" i="1" a="1"/>
  <c r="M417" i="1" s="1"/>
  <c r="L417" i="1" a="1"/>
  <c r="L417" i="1" s="1"/>
  <c r="M423" i="1" a="1"/>
  <c r="M423" i="1" s="1"/>
  <c r="L423" i="1" a="1"/>
  <c r="L423" i="1" s="1"/>
  <c r="N423" i="1" a="1"/>
  <c r="N423" i="1" s="1"/>
  <c r="N429" i="1" a="1"/>
  <c r="N429" i="1" s="1"/>
  <c r="L429" i="1" a="1"/>
  <c r="L429" i="1" s="1"/>
  <c r="M429" i="1" a="1"/>
  <c r="M429" i="1" s="1"/>
  <c r="L435" i="1" a="1"/>
  <c r="L435" i="1" s="1"/>
  <c r="N435" i="1" a="1"/>
  <c r="N435" i="1" s="1"/>
  <c r="M435" i="1" a="1"/>
  <c r="M435" i="1" s="1"/>
  <c r="N441" i="1" a="1"/>
  <c r="N441" i="1" s="1"/>
  <c r="M441" i="1" a="1"/>
  <c r="M441" i="1" s="1"/>
  <c r="L441" i="1" a="1"/>
  <c r="L441" i="1" s="1"/>
  <c r="N447" i="1" a="1"/>
  <c r="N447" i="1" s="1"/>
  <c r="M447" i="1" a="1"/>
  <c r="M447" i="1" s="1"/>
  <c r="L447" i="1" a="1"/>
  <c r="L447" i="1" s="1"/>
  <c r="N453" i="1" a="1"/>
  <c r="N453" i="1" s="1"/>
  <c r="M453" i="1" a="1"/>
  <c r="M453" i="1" s="1"/>
  <c r="L453" i="1" a="1"/>
  <c r="L453" i="1" s="1"/>
  <c r="N459" i="1" a="1"/>
  <c r="N459" i="1" s="1"/>
  <c r="M459" i="1" a="1"/>
  <c r="M459" i="1" s="1"/>
  <c r="L459" i="1" a="1"/>
  <c r="L459" i="1" s="1"/>
  <c r="L465" i="1" a="1"/>
  <c r="L465" i="1" s="1"/>
  <c r="M465" i="1" a="1"/>
  <c r="M465" i="1" s="1"/>
  <c r="N465" i="1" a="1"/>
  <c r="N465" i="1" s="1"/>
  <c r="N471" i="1" a="1"/>
  <c r="N471" i="1" s="1"/>
  <c r="M471" i="1" a="1"/>
  <c r="M471" i="1" s="1"/>
  <c r="L471" i="1" a="1"/>
  <c r="L471" i="1" s="1"/>
  <c r="N477" i="1" a="1"/>
  <c r="N477" i="1" s="1"/>
  <c r="M477" i="1" a="1"/>
  <c r="M477" i="1" s="1"/>
  <c r="L477" i="1" a="1"/>
  <c r="L477" i="1" s="1"/>
  <c r="N483" i="1" a="1"/>
  <c r="N483" i="1" s="1"/>
  <c r="L483" i="1" a="1"/>
  <c r="L483" i="1" s="1"/>
  <c r="M483" i="1" a="1"/>
  <c r="M483" i="1" s="1"/>
  <c r="N489" i="1" a="1"/>
  <c r="N489" i="1" s="1"/>
  <c r="M489" i="1" a="1"/>
  <c r="M489" i="1" s="1"/>
  <c r="L489" i="1" a="1"/>
  <c r="L489" i="1" s="1"/>
  <c r="M495" i="1" a="1"/>
  <c r="M495" i="1" s="1"/>
  <c r="N495" i="1" a="1"/>
  <c r="N495" i="1" s="1"/>
  <c r="L495" i="1" a="1"/>
  <c r="L495" i="1" s="1"/>
  <c r="N501" i="1" a="1"/>
  <c r="N501" i="1" s="1"/>
  <c r="M501" i="1" a="1"/>
  <c r="M501" i="1" s="1"/>
  <c r="L501" i="1" a="1"/>
  <c r="L501" i="1" s="1"/>
  <c r="N507" i="1" a="1"/>
  <c r="N507" i="1" s="1"/>
  <c r="M507" i="1" a="1"/>
  <c r="M507" i="1" s="1"/>
  <c r="L507" i="1" a="1"/>
  <c r="L507" i="1" s="1"/>
  <c r="N513" i="1" a="1"/>
  <c r="N513" i="1" s="1"/>
  <c r="M513" i="1" a="1"/>
  <c r="M513" i="1" s="1"/>
  <c r="L513" i="1" a="1"/>
  <c r="L513" i="1" s="1"/>
  <c r="M519" i="1" a="1"/>
  <c r="M519" i="1" s="1"/>
  <c r="N519" i="1" a="1"/>
  <c r="N519" i="1" s="1"/>
  <c r="L519" i="1" a="1"/>
  <c r="L519" i="1" s="1"/>
  <c r="N525" i="1" a="1"/>
  <c r="N525" i="1" s="1"/>
  <c r="M525" i="1" a="1"/>
  <c r="M525" i="1" s="1"/>
  <c r="L525" i="1" a="1"/>
  <c r="L525" i="1" s="1"/>
  <c r="M531" i="1" a="1"/>
  <c r="M531" i="1" s="1"/>
  <c r="N531" i="1" a="1"/>
  <c r="N531" i="1" s="1"/>
  <c r="L531" i="1" a="1"/>
  <c r="L531" i="1" s="1"/>
  <c r="M537" i="1" a="1"/>
  <c r="M537" i="1" s="1"/>
  <c r="L537" i="1" a="1"/>
  <c r="L537" i="1" s="1"/>
  <c r="N537" i="1" a="1"/>
  <c r="N537" i="1" s="1"/>
  <c r="N543" i="1" a="1"/>
  <c r="N543" i="1" s="1"/>
  <c r="M543" i="1" a="1"/>
  <c r="M543" i="1" s="1"/>
  <c r="L543" i="1" a="1"/>
  <c r="L543" i="1" s="1"/>
  <c r="N549" i="1" a="1"/>
  <c r="N549" i="1" s="1"/>
  <c r="L549" i="1" a="1"/>
  <c r="L549" i="1" s="1"/>
  <c r="M549" i="1" a="1"/>
  <c r="M549" i="1" s="1"/>
  <c r="N555" i="1" a="1"/>
  <c r="N555" i="1" s="1"/>
  <c r="M555" i="1" a="1"/>
  <c r="M555" i="1" s="1"/>
  <c r="L555" i="1" a="1"/>
  <c r="L555" i="1" s="1"/>
  <c r="N561" i="1" a="1"/>
  <c r="N561" i="1" s="1"/>
  <c r="M561" i="1" a="1"/>
  <c r="M561" i="1" s="1"/>
  <c r="L561" i="1" a="1"/>
  <c r="L561" i="1" s="1"/>
  <c r="N567" i="1" a="1"/>
  <c r="N567" i="1" s="1"/>
  <c r="M567" i="1" a="1"/>
  <c r="M567" i="1" s="1"/>
  <c r="L567" i="1" a="1"/>
  <c r="L567" i="1" s="1"/>
  <c r="N573" i="1" a="1"/>
  <c r="N573" i="1" s="1"/>
  <c r="M573" i="1" a="1"/>
  <c r="M573" i="1" s="1"/>
  <c r="L573" i="1" a="1"/>
  <c r="L573" i="1" s="1"/>
  <c r="N579" i="1" a="1"/>
  <c r="N579" i="1" s="1"/>
  <c r="M579" i="1" a="1"/>
  <c r="M579" i="1" s="1"/>
  <c r="L579" i="1" a="1"/>
  <c r="L579" i="1" s="1"/>
  <c r="N585" i="1" a="1"/>
  <c r="N585" i="1" s="1"/>
  <c r="M585" i="1" a="1"/>
  <c r="M585" i="1" s="1"/>
  <c r="L585" i="1" a="1"/>
  <c r="L585" i="1" s="1"/>
  <c r="N591" i="1" a="1"/>
  <c r="N591" i="1" s="1"/>
  <c r="L591" i="1" a="1"/>
  <c r="L591" i="1" s="1"/>
  <c r="M591" i="1" a="1"/>
  <c r="M591" i="1" s="1"/>
  <c r="N597" i="1" a="1"/>
  <c r="N597" i="1" s="1"/>
  <c r="M597" i="1" a="1"/>
  <c r="M597" i="1" s="1"/>
  <c r="L597" i="1" a="1"/>
  <c r="L597" i="1" s="1"/>
  <c r="N603" i="1" a="1"/>
  <c r="N603" i="1" s="1"/>
  <c r="M603" i="1" a="1"/>
  <c r="M603" i="1" s="1"/>
  <c r="L603" i="1" a="1"/>
  <c r="L603" i="1" s="1"/>
  <c r="N609" i="1" a="1"/>
  <c r="N609" i="1" s="1"/>
  <c r="M609" i="1" a="1"/>
  <c r="M609" i="1" s="1"/>
  <c r="L609" i="1" a="1"/>
  <c r="L609" i="1" s="1"/>
  <c r="N615" i="1" a="1"/>
  <c r="N615" i="1" s="1"/>
  <c r="M615" i="1" a="1"/>
  <c r="M615" i="1" s="1"/>
  <c r="L615" i="1" a="1"/>
  <c r="L615" i="1" s="1"/>
  <c r="N621" i="1" a="1"/>
  <c r="N621" i="1" s="1"/>
  <c r="L621" i="1" a="1"/>
  <c r="L621" i="1" s="1"/>
  <c r="M621" i="1" a="1"/>
  <c r="M621" i="1" s="1"/>
  <c r="L627" i="1" a="1"/>
  <c r="L627" i="1" s="1"/>
  <c r="M627" i="1" a="1"/>
  <c r="M627" i="1" s="1"/>
  <c r="N627" i="1" a="1"/>
  <c r="N627" i="1" s="1"/>
  <c r="N633" i="1" a="1"/>
  <c r="N633" i="1" s="1"/>
  <c r="L633" i="1" a="1"/>
  <c r="L633" i="1" s="1"/>
  <c r="M633" i="1" a="1"/>
  <c r="M633" i="1" s="1"/>
  <c r="M639" i="1" a="1"/>
  <c r="M639" i="1" s="1"/>
  <c r="N639" i="1" a="1"/>
  <c r="N639" i="1" s="1"/>
  <c r="L639" i="1" a="1"/>
  <c r="L639" i="1" s="1"/>
  <c r="N645" i="1" a="1"/>
  <c r="N645" i="1" s="1"/>
  <c r="M645" i="1" a="1"/>
  <c r="M645" i="1" s="1"/>
  <c r="L645" i="1" a="1"/>
  <c r="L645" i="1" s="1"/>
  <c r="N651" i="1" a="1"/>
  <c r="N651" i="1" s="1"/>
  <c r="L651" i="1" a="1"/>
  <c r="L651" i="1" s="1"/>
  <c r="M651" i="1" a="1"/>
  <c r="M651" i="1" s="1"/>
  <c r="M657" i="1" a="1"/>
  <c r="M657" i="1" s="1"/>
  <c r="L657" i="1" a="1"/>
  <c r="L657" i="1" s="1"/>
  <c r="N657" i="1" a="1"/>
  <c r="N657" i="1" s="1"/>
  <c r="N663" i="1" a="1"/>
  <c r="N663" i="1" s="1"/>
  <c r="M663" i="1" a="1"/>
  <c r="M663" i="1" s="1"/>
  <c r="L663" i="1" a="1"/>
  <c r="L663" i="1" s="1"/>
  <c r="N669" i="1" a="1"/>
  <c r="N669" i="1" s="1"/>
  <c r="M669" i="1" a="1"/>
  <c r="M669" i="1" s="1"/>
  <c r="L669" i="1" a="1"/>
  <c r="L669" i="1" s="1"/>
  <c r="N675" i="1" a="1"/>
  <c r="N675" i="1" s="1"/>
  <c r="L675" i="1" a="1"/>
  <c r="L675" i="1" s="1"/>
  <c r="M675" i="1" a="1"/>
  <c r="M675" i="1" s="1"/>
  <c r="N681" i="1" a="1"/>
  <c r="N681" i="1" s="1"/>
  <c r="M681" i="1" a="1"/>
  <c r="M681" i="1" s="1"/>
  <c r="L681" i="1" a="1"/>
  <c r="L681" i="1" s="1"/>
  <c r="N687" i="1" a="1"/>
  <c r="N687" i="1" s="1"/>
  <c r="M687" i="1" a="1"/>
  <c r="M687" i="1" s="1"/>
  <c r="L687" i="1" a="1"/>
  <c r="L687" i="1" s="1"/>
  <c r="N693" i="1" a="1"/>
  <c r="N693" i="1" s="1"/>
  <c r="M693" i="1" a="1"/>
  <c r="M693" i="1" s="1"/>
  <c r="L693" i="1" a="1"/>
  <c r="L693" i="1" s="1"/>
  <c r="N699" i="1" a="1"/>
  <c r="N699" i="1" s="1"/>
  <c r="L699" i="1" a="1"/>
  <c r="L699" i="1" s="1"/>
  <c r="M699" i="1" a="1"/>
  <c r="M699" i="1" s="1"/>
  <c r="N705" i="1" a="1"/>
  <c r="N705" i="1" s="1"/>
  <c r="M705" i="1" a="1"/>
  <c r="M705" i="1" s="1"/>
  <c r="L705" i="1" a="1"/>
  <c r="L705" i="1" s="1"/>
  <c r="N711" i="1" a="1"/>
  <c r="N711" i="1" s="1"/>
  <c r="M711" i="1" a="1"/>
  <c r="M711" i="1" s="1"/>
  <c r="L711" i="1" a="1"/>
  <c r="L711" i="1" s="1"/>
  <c r="M717" i="1" a="1"/>
  <c r="M717" i="1" s="1"/>
  <c r="L717" i="1" a="1"/>
  <c r="L717" i="1" s="1"/>
  <c r="N717" i="1" a="1"/>
  <c r="N717" i="1" s="1"/>
  <c r="N723" i="1" a="1"/>
  <c r="N723" i="1" s="1"/>
  <c r="L723" i="1" a="1"/>
  <c r="L723" i="1" s="1"/>
  <c r="M723" i="1" a="1"/>
  <c r="M723" i="1" s="1"/>
  <c r="N729" i="1" a="1"/>
  <c r="N729" i="1" s="1"/>
  <c r="M729" i="1" a="1"/>
  <c r="M729" i="1" s="1"/>
  <c r="L729" i="1" a="1"/>
  <c r="L729" i="1" s="1"/>
  <c r="N735" i="1" a="1"/>
  <c r="N735" i="1" s="1"/>
  <c r="M735" i="1" a="1"/>
  <c r="M735" i="1" s="1"/>
  <c r="L735" i="1" a="1"/>
  <c r="L735" i="1" s="1"/>
  <c r="M741" i="1" a="1"/>
  <c r="M741" i="1" s="1"/>
  <c r="L741" i="1" a="1"/>
  <c r="L741" i="1" s="1"/>
  <c r="N741" i="1" a="1"/>
  <c r="N741" i="1" s="1"/>
  <c r="N747" i="1" a="1"/>
  <c r="N747" i="1" s="1"/>
  <c r="M747" i="1" a="1"/>
  <c r="M747" i="1" s="1"/>
  <c r="L747" i="1" a="1"/>
  <c r="L747" i="1" s="1"/>
  <c r="M753" i="1" a="1"/>
  <c r="M753" i="1" s="1"/>
  <c r="L753" i="1" a="1"/>
  <c r="L753" i="1" s="1"/>
  <c r="N753" i="1" a="1"/>
  <c r="N753" i="1" s="1"/>
  <c r="N759" i="1" a="1"/>
  <c r="N759" i="1" s="1"/>
  <c r="L759" i="1" a="1"/>
  <c r="L759" i="1" s="1"/>
  <c r="M759" i="1" a="1"/>
  <c r="M759" i="1" s="1"/>
  <c r="M765" i="1" a="1"/>
  <c r="M765" i="1" s="1"/>
  <c r="N765" i="1" a="1"/>
  <c r="N765" i="1" s="1"/>
  <c r="L765" i="1" a="1"/>
  <c r="L765" i="1" s="1"/>
  <c r="N771" i="1" a="1"/>
  <c r="N771" i="1" s="1"/>
  <c r="M771" i="1" a="1"/>
  <c r="M771" i="1" s="1"/>
  <c r="L771" i="1" a="1"/>
  <c r="L771" i="1" s="1"/>
  <c r="M777" i="1" a="1"/>
  <c r="M777" i="1" s="1"/>
  <c r="N777" i="1" a="1"/>
  <c r="N777" i="1" s="1"/>
  <c r="L777" i="1" a="1"/>
  <c r="L777" i="1" s="1"/>
  <c r="N783" i="1" a="1"/>
  <c r="N783" i="1" s="1"/>
  <c r="M783" i="1" a="1"/>
  <c r="M783" i="1" s="1"/>
  <c r="L783" i="1" a="1"/>
  <c r="L783" i="1" s="1"/>
  <c r="N789" i="1" a="1"/>
  <c r="N789" i="1" s="1"/>
  <c r="M789" i="1" a="1"/>
  <c r="M789" i="1" s="1"/>
  <c r="L789" i="1" a="1"/>
  <c r="L789" i="1" s="1"/>
  <c r="N795" i="1" a="1"/>
  <c r="N795" i="1" s="1"/>
  <c r="M795" i="1" a="1"/>
  <c r="M795" i="1" s="1"/>
  <c r="L795" i="1" a="1"/>
  <c r="L795" i="1" s="1"/>
  <c r="N801" i="1" a="1"/>
  <c r="N801" i="1" s="1"/>
  <c r="M801" i="1" a="1"/>
  <c r="M801" i="1" s="1"/>
  <c r="L801" i="1" a="1"/>
  <c r="L801" i="1" s="1"/>
  <c r="N807" i="1" a="1"/>
  <c r="N807" i="1" s="1"/>
  <c r="L807" i="1" a="1"/>
  <c r="L807" i="1" s="1"/>
  <c r="M807" i="1" a="1"/>
  <c r="M807" i="1" s="1"/>
  <c r="N813" i="1" a="1"/>
  <c r="N813" i="1" s="1"/>
  <c r="M813" i="1" a="1"/>
  <c r="M813" i="1" s="1"/>
  <c r="L813" i="1" a="1"/>
  <c r="L813" i="1" s="1"/>
  <c r="N819" i="1" a="1"/>
  <c r="N819" i="1" s="1"/>
  <c r="M819" i="1" a="1"/>
  <c r="M819" i="1" s="1"/>
  <c r="L819" i="1" a="1"/>
  <c r="L819" i="1" s="1"/>
  <c r="N825" i="1" a="1"/>
  <c r="N825" i="1" s="1"/>
  <c r="M825" i="1" a="1"/>
  <c r="M825" i="1" s="1"/>
  <c r="L825" i="1" a="1"/>
  <c r="L825" i="1" s="1"/>
  <c r="N831" i="1" a="1"/>
  <c r="N831" i="1" s="1"/>
  <c r="M831" i="1" a="1"/>
  <c r="M831" i="1" s="1"/>
  <c r="L831" i="1" a="1"/>
  <c r="L831" i="1" s="1"/>
  <c r="M837" i="1" a="1"/>
  <c r="M837" i="1" s="1"/>
  <c r="L837" i="1" a="1"/>
  <c r="L837" i="1" s="1"/>
  <c r="N837" i="1" a="1"/>
  <c r="N837" i="1" s="1"/>
  <c r="N843" i="1" a="1"/>
  <c r="N843" i="1" s="1"/>
  <c r="L843" i="1" a="1"/>
  <c r="L843" i="1" s="1"/>
  <c r="M843" i="1" a="1"/>
  <c r="M843" i="1" s="1"/>
  <c r="N849" i="1" a="1"/>
  <c r="N849" i="1" s="1"/>
  <c r="M849" i="1" a="1"/>
  <c r="M849" i="1" s="1"/>
  <c r="L849" i="1" a="1"/>
  <c r="L849" i="1" s="1"/>
  <c r="N855" i="1" a="1"/>
  <c r="N855" i="1" s="1"/>
  <c r="M855" i="1" a="1"/>
  <c r="M855" i="1" s="1"/>
  <c r="L855" i="1" a="1"/>
  <c r="L855" i="1" s="1"/>
  <c r="N861" i="1" a="1"/>
  <c r="N861" i="1" s="1"/>
  <c r="M861" i="1" a="1"/>
  <c r="M861" i="1" s="1"/>
  <c r="L861" i="1" a="1"/>
  <c r="L861" i="1" s="1"/>
  <c r="N867" i="1" a="1"/>
  <c r="N867" i="1" s="1"/>
  <c r="M867" i="1" a="1"/>
  <c r="M867" i="1" s="1"/>
  <c r="L867" i="1" a="1"/>
  <c r="L867" i="1" s="1"/>
  <c r="N873" i="1" a="1"/>
  <c r="N873" i="1" s="1"/>
  <c r="L873" i="1" a="1"/>
  <c r="L873" i="1" s="1"/>
  <c r="M873" i="1" a="1"/>
  <c r="M873" i="1" s="1"/>
  <c r="N879" i="1" a="1"/>
  <c r="N879" i="1" s="1"/>
  <c r="M879" i="1" a="1"/>
  <c r="M879" i="1" s="1"/>
  <c r="L879" i="1" a="1"/>
  <c r="L879" i="1" s="1"/>
  <c r="N885" i="1" a="1"/>
  <c r="N885" i="1" s="1"/>
  <c r="L885" i="1" a="1"/>
  <c r="L885" i="1" s="1"/>
  <c r="M885" i="1" a="1"/>
  <c r="M885" i="1" s="1"/>
  <c r="N891" i="1" a="1"/>
  <c r="N891" i="1" s="1"/>
  <c r="M891" i="1" a="1"/>
  <c r="M891" i="1" s="1"/>
  <c r="L891" i="1" a="1"/>
  <c r="L891" i="1" s="1"/>
  <c r="M897" i="1" a="1"/>
  <c r="M897" i="1" s="1"/>
  <c r="L897" i="1" a="1"/>
  <c r="L897" i="1" s="1"/>
  <c r="N897" i="1" a="1"/>
  <c r="N897" i="1" s="1"/>
  <c r="N903" i="1" a="1"/>
  <c r="N903" i="1" s="1"/>
  <c r="M903" i="1" a="1"/>
  <c r="M903" i="1" s="1"/>
  <c r="L903" i="1" a="1"/>
  <c r="L903" i="1" s="1"/>
  <c r="M909" i="1" a="1"/>
  <c r="M909" i="1" s="1"/>
  <c r="N909" i="1" a="1"/>
  <c r="N909" i="1" s="1"/>
  <c r="L909" i="1" a="1"/>
  <c r="L909" i="1" s="1"/>
  <c r="N915" i="1" a="1"/>
  <c r="N915" i="1" s="1"/>
  <c r="M915" i="1" a="1"/>
  <c r="M915" i="1" s="1"/>
  <c r="L915" i="1" a="1"/>
  <c r="L915" i="1" s="1"/>
  <c r="N921" i="1" a="1"/>
  <c r="N921" i="1" s="1"/>
  <c r="M921" i="1" a="1"/>
  <c r="M921" i="1" s="1"/>
  <c r="L921" i="1" a="1"/>
  <c r="L921" i="1" s="1"/>
  <c r="N927" i="1" a="1"/>
  <c r="N927" i="1" s="1"/>
  <c r="M927" i="1" a="1"/>
  <c r="M927" i="1" s="1"/>
  <c r="L927" i="1" a="1"/>
  <c r="L927" i="1" s="1"/>
  <c r="N933" i="1" a="1"/>
  <c r="N933" i="1" s="1"/>
  <c r="M933" i="1" a="1"/>
  <c r="M933" i="1" s="1"/>
  <c r="L933" i="1" a="1"/>
  <c r="L933" i="1" s="1"/>
  <c r="N939" i="1" a="1"/>
  <c r="N939" i="1" s="1"/>
  <c r="M939" i="1" a="1"/>
  <c r="M939" i="1" s="1"/>
  <c r="L939" i="1" a="1"/>
  <c r="L939" i="1" s="1"/>
  <c r="M945" i="1" a="1"/>
  <c r="M945" i="1" s="1"/>
  <c r="N945" i="1" a="1"/>
  <c r="N945" i="1" s="1"/>
  <c r="L945" i="1" a="1"/>
  <c r="L945" i="1" s="1"/>
  <c r="M951" i="1" a="1"/>
  <c r="M951" i="1" s="1"/>
  <c r="N951" i="1" a="1"/>
  <c r="N951" i="1" s="1"/>
  <c r="L951" i="1" a="1"/>
  <c r="L951" i="1" s="1"/>
  <c r="N957" i="1" a="1"/>
  <c r="N957" i="1" s="1"/>
  <c r="M957" i="1" a="1"/>
  <c r="M957" i="1" s="1"/>
  <c r="L957" i="1" a="1"/>
  <c r="L957" i="1" s="1"/>
  <c r="M963" i="1" a="1"/>
  <c r="M963" i="1" s="1"/>
  <c r="N963" i="1" a="1"/>
  <c r="N963" i="1" s="1"/>
  <c r="L963" i="1" a="1"/>
  <c r="L963" i="1" s="1"/>
  <c r="N969" i="1" a="1"/>
  <c r="N969" i="1" s="1"/>
  <c r="M969" i="1" a="1"/>
  <c r="M969" i="1" s="1"/>
  <c r="L969" i="1" a="1"/>
  <c r="L969" i="1" s="1"/>
  <c r="N975" i="1" a="1"/>
  <c r="N975" i="1" s="1"/>
  <c r="M975" i="1" a="1"/>
  <c r="M975" i="1" s="1"/>
  <c r="L975" i="1" a="1"/>
  <c r="L975" i="1" s="1"/>
  <c r="N981" i="1" a="1"/>
  <c r="N981" i="1" s="1"/>
  <c r="M981" i="1" a="1"/>
  <c r="M981" i="1" s="1"/>
  <c r="L981" i="1" a="1"/>
  <c r="L981" i="1" s="1"/>
  <c r="N987" i="1" a="1"/>
  <c r="N987" i="1" s="1"/>
  <c r="M987" i="1" a="1"/>
  <c r="M987" i="1" s="1"/>
  <c r="L987" i="1" a="1"/>
  <c r="L987" i="1" s="1"/>
  <c r="N993" i="1" a="1"/>
  <c r="N993" i="1" s="1"/>
  <c r="M993" i="1" a="1"/>
  <c r="M993" i="1" s="1"/>
  <c r="L993" i="1" a="1"/>
  <c r="L993" i="1" s="1"/>
  <c r="M999" i="1" a="1"/>
  <c r="M999" i="1" s="1"/>
  <c r="N999" i="1" a="1"/>
  <c r="N999" i="1" s="1"/>
  <c r="L999" i="1" a="1"/>
  <c r="L999" i="1" s="1"/>
  <c r="M1005" i="1" a="1"/>
  <c r="M1005" i="1" s="1"/>
  <c r="N1005" i="1" a="1"/>
  <c r="N1005" i="1" s="1"/>
  <c r="L1005" i="1" a="1"/>
  <c r="L1005" i="1" s="1"/>
  <c r="N1011" i="1" a="1"/>
  <c r="N1011" i="1" s="1"/>
  <c r="M1011" i="1" a="1"/>
  <c r="M1011" i="1" s="1"/>
  <c r="L1011" i="1" a="1"/>
  <c r="L1011" i="1" s="1"/>
  <c r="M1017" i="1" a="1"/>
  <c r="M1017" i="1" s="1"/>
  <c r="L1017" i="1" a="1"/>
  <c r="L1017" i="1" s="1"/>
  <c r="N1017" i="1" a="1"/>
  <c r="N1017" i="1" s="1"/>
  <c r="N1023" i="1" a="1"/>
  <c r="N1023" i="1" s="1"/>
  <c r="M1023" i="1" a="1"/>
  <c r="M1023" i="1" s="1"/>
  <c r="L1023" i="1" a="1"/>
  <c r="L1023" i="1" s="1"/>
  <c r="N1029" i="1" a="1"/>
  <c r="N1029" i="1" s="1"/>
  <c r="M1029" i="1" a="1"/>
  <c r="M1029" i="1" s="1"/>
  <c r="L1029" i="1" a="1"/>
  <c r="L1029" i="1" s="1"/>
  <c r="N1035" i="1" a="1"/>
  <c r="N1035" i="1" s="1"/>
  <c r="M1035" i="1" a="1"/>
  <c r="M1035" i="1" s="1"/>
  <c r="L1035" i="1" a="1"/>
  <c r="L1035" i="1" s="1"/>
  <c r="N1041" i="1" a="1"/>
  <c r="N1041" i="1" s="1"/>
  <c r="M1041" i="1" a="1"/>
  <c r="M1041" i="1" s="1"/>
  <c r="L1041" i="1" a="1"/>
  <c r="L1041" i="1" s="1"/>
  <c r="N1047" i="1" a="1"/>
  <c r="N1047" i="1" s="1"/>
  <c r="M1047" i="1" a="1"/>
  <c r="M1047" i="1" s="1"/>
  <c r="L1047" i="1" a="1"/>
  <c r="L1047" i="1" s="1"/>
  <c r="N1053" i="1" a="1"/>
  <c r="N1053" i="1" s="1"/>
  <c r="M1053" i="1" a="1"/>
  <c r="M1053" i="1" s="1"/>
  <c r="L1053" i="1" a="1"/>
  <c r="L1053" i="1" s="1"/>
  <c r="N1059" i="1" a="1"/>
  <c r="N1059" i="1" s="1"/>
  <c r="L1059" i="1" a="1"/>
  <c r="L1059" i="1" s="1"/>
  <c r="M1059" i="1" a="1"/>
  <c r="M1059" i="1" s="1"/>
  <c r="M1065" i="1" a="1"/>
  <c r="M1065" i="1" s="1"/>
  <c r="N1065" i="1" a="1"/>
  <c r="N1065" i="1" s="1"/>
  <c r="L1065" i="1" a="1"/>
  <c r="L1065" i="1" s="1"/>
  <c r="N1071" i="1" a="1"/>
  <c r="N1071" i="1" s="1"/>
  <c r="M1071" i="1" a="1"/>
  <c r="M1071" i="1" s="1"/>
  <c r="L1071" i="1" a="1"/>
  <c r="L1071" i="1" s="1"/>
  <c r="M1077" i="1" a="1"/>
  <c r="M1077" i="1" s="1"/>
  <c r="L1077" i="1" a="1"/>
  <c r="L1077" i="1" s="1"/>
  <c r="N1077" i="1" a="1"/>
  <c r="N1077" i="1" s="1"/>
  <c r="N1083" i="1" a="1"/>
  <c r="N1083" i="1" s="1"/>
  <c r="M1083" i="1" a="1"/>
  <c r="M1083" i="1" s="1"/>
  <c r="L1083" i="1" a="1"/>
  <c r="L1083" i="1" s="1"/>
  <c r="M1089" i="1" a="1"/>
  <c r="M1089" i="1" s="1"/>
  <c r="N1089" i="1" a="1"/>
  <c r="N1089" i="1" s="1"/>
  <c r="L1089" i="1" a="1"/>
  <c r="L1089" i="1" s="1"/>
  <c r="N1095" i="1" a="1"/>
  <c r="N1095" i="1" s="1"/>
  <c r="L1095" i="1" a="1"/>
  <c r="L1095" i="1" s="1"/>
  <c r="M1095" i="1" a="1"/>
  <c r="M1095" i="1" s="1"/>
  <c r="M1101" i="1" a="1"/>
  <c r="M1101" i="1" s="1"/>
  <c r="L1101" i="1" a="1"/>
  <c r="L1101" i="1" s="1"/>
  <c r="N1101" i="1" a="1"/>
  <c r="N1101" i="1" s="1"/>
  <c r="N1107" i="1" a="1"/>
  <c r="N1107" i="1" s="1"/>
  <c r="M1107" i="1" a="1"/>
  <c r="M1107" i="1" s="1"/>
  <c r="L1107" i="1" a="1"/>
  <c r="L1107" i="1" s="1"/>
  <c r="N1113" i="1" a="1"/>
  <c r="N1113" i="1" s="1"/>
  <c r="M1113" i="1" a="1"/>
  <c r="M1113" i="1" s="1"/>
  <c r="L1113" i="1" a="1"/>
  <c r="L1113" i="1" s="1"/>
  <c r="N1119" i="1" a="1"/>
  <c r="N1119" i="1" s="1"/>
  <c r="L1119" i="1" a="1"/>
  <c r="L1119" i="1" s="1"/>
  <c r="M1119" i="1" a="1"/>
  <c r="M1119" i="1" s="1"/>
  <c r="M1125" i="1" a="1"/>
  <c r="M1125" i="1" s="1"/>
  <c r="N1125" i="1" a="1"/>
  <c r="N1125" i="1" s="1"/>
  <c r="L1125" i="1" a="1"/>
  <c r="L1125" i="1" s="1"/>
  <c r="N1131" i="1" a="1"/>
  <c r="N1131" i="1" s="1"/>
  <c r="M1131" i="1" a="1"/>
  <c r="M1131" i="1" s="1"/>
  <c r="L1131" i="1" a="1"/>
  <c r="L1131" i="1" s="1"/>
  <c r="M1137" i="1" a="1"/>
  <c r="M1137" i="1" s="1"/>
  <c r="L1137" i="1" a="1"/>
  <c r="L1137" i="1" s="1"/>
  <c r="N1137" i="1" a="1"/>
  <c r="N1137" i="1" s="1"/>
  <c r="N1143" i="1" a="1"/>
  <c r="N1143" i="1" s="1"/>
  <c r="M1143" i="1" a="1"/>
  <c r="M1143" i="1" s="1"/>
  <c r="L1143" i="1" a="1"/>
  <c r="L1143" i="1" s="1"/>
  <c r="N1149" i="1" a="1"/>
  <c r="N1149" i="1" s="1"/>
  <c r="M1149" i="1" a="1"/>
  <c r="M1149" i="1" s="1"/>
  <c r="L1149" i="1" a="1"/>
  <c r="L1149" i="1" s="1"/>
  <c r="M1155" i="1" a="1"/>
  <c r="M1155" i="1" s="1"/>
  <c r="N1155" i="1" a="1"/>
  <c r="N1155" i="1" s="1"/>
  <c r="L1155" i="1" a="1"/>
  <c r="L1155" i="1" s="1"/>
  <c r="N1161" i="1" a="1"/>
  <c r="N1161" i="1" s="1"/>
  <c r="M1161" i="1" a="1"/>
  <c r="M1161" i="1" s="1"/>
  <c r="L1161" i="1" a="1"/>
  <c r="L1161" i="1" s="1"/>
  <c r="M1167" i="1" a="1"/>
  <c r="M1167" i="1" s="1"/>
  <c r="N1167" i="1" a="1"/>
  <c r="N1167" i="1" s="1"/>
  <c r="L1167" i="1" a="1"/>
  <c r="L1167" i="1" s="1"/>
  <c r="N1173" i="1" a="1"/>
  <c r="N1173" i="1" s="1"/>
  <c r="L1173" i="1" a="1"/>
  <c r="L1173" i="1" s="1"/>
  <c r="M1173" i="1" a="1"/>
  <c r="M1173" i="1" s="1"/>
  <c r="M1179" i="1" a="1"/>
  <c r="M1179" i="1" s="1"/>
  <c r="N1179" i="1" a="1"/>
  <c r="N1179" i="1" s="1"/>
  <c r="L1179" i="1" a="1"/>
  <c r="L1179" i="1" s="1"/>
  <c r="N1185" i="1" a="1"/>
  <c r="N1185" i="1" s="1"/>
  <c r="L1185" i="1" a="1"/>
  <c r="L1185" i="1" s="1"/>
  <c r="M1185" i="1" a="1"/>
  <c r="M1185" i="1" s="1"/>
  <c r="N1191" i="1" a="1"/>
  <c r="N1191" i="1" s="1"/>
  <c r="M1191" i="1" a="1"/>
  <c r="M1191" i="1" s="1"/>
  <c r="L1191" i="1" a="1"/>
  <c r="L1191" i="1" s="1"/>
  <c r="N1197" i="1" a="1"/>
  <c r="N1197" i="1" s="1"/>
  <c r="M1197" i="1" a="1"/>
  <c r="M1197" i="1" s="1"/>
  <c r="L1197" i="1" a="1"/>
  <c r="L1197" i="1" s="1"/>
  <c r="N1203" i="1" a="1"/>
  <c r="N1203" i="1" s="1"/>
  <c r="L1203" i="1" a="1"/>
  <c r="L1203" i="1" s="1"/>
  <c r="M1203" i="1" a="1"/>
  <c r="M1203" i="1" s="1"/>
  <c r="N1209" i="1" a="1"/>
  <c r="N1209" i="1" s="1"/>
  <c r="M1209" i="1" a="1"/>
  <c r="M1209" i="1" s="1"/>
  <c r="L1209" i="1" a="1"/>
  <c r="L1209" i="1" s="1"/>
  <c r="N1215" i="1" a="1"/>
  <c r="N1215" i="1" s="1"/>
  <c r="M1215" i="1" a="1"/>
  <c r="M1215" i="1" s="1"/>
  <c r="L1215" i="1" a="1"/>
  <c r="L1215" i="1" s="1"/>
  <c r="N1221" i="1" a="1"/>
  <c r="N1221" i="1" s="1"/>
  <c r="M1221" i="1" a="1"/>
  <c r="M1221" i="1" s="1"/>
  <c r="L1221" i="1" a="1"/>
  <c r="L1221" i="1" s="1"/>
  <c r="N1227" i="1" a="1"/>
  <c r="N1227" i="1" s="1"/>
  <c r="M1227" i="1" a="1"/>
  <c r="M1227" i="1" s="1"/>
  <c r="L1227" i="1" a="1"/>
  <c r="L1227" i="1" s="1"/>
  <c r="N1233" i="1" a="1"/>
  <c r="N1233" i="1" s="1"/>
  <c r="M1233" i="1" a="1"/>
  <c r="M1233" i="1" s="1"/>
  <c r="L1233" i="1" a="1"/>
  <c r="L1233" i="1" s="1"/>
  <c r="N1239" i="1" a="1"/>
  <c r="N1239" i="1" s="1"/>
  <c r="L1239" i="1" a="1"/>
  <c r="L1239" i="1" s="1"/>
  <c r="M1239" i="1" a="1"/>
  <c r="M1239" i="1" s="1"/>
  <c r="L1245" i="1" a="1"/>
  <c r="L1245" i="1" s="1"/>
  <c r="N1245" i="1" a="1"/>
  <c r="N1245" i="1" s="1"/>
  <c r="M1245" i="1" a="1"/>
  <c r="M1245" i="1" s="1"/>
  <c r="N1251" i="1" a="1"/>
  <c r="N1251" i="1" s="1"/>
  <c r="M1251" i="1" a="1"/>
  <c r="M1251" i="1" s="1"/>
  <c r="L1251" i="1" a="1"/>
  <c r="L1251" i="1" s="1"/>
  <c r="N1257" i="1" a="1"/>
  <c r="N1257" i="1" s="1"/>
  <c r="L1257" i="1" a="1"/>
  <c r="L1257" i="1" s="1"/>
  <c r="M1257" i="1" a="1"/>
  <c r="M1257" i="1" s="1"/>
  <c r="N1263" i="1" a="1"/>
  <c r="N1263" i="1" s="1"/>
  <c r="M1263" i="1" a="1"/>
  <c r="M1263" i="1" s="1"/>
  <c r="L1263" i="1" a="1"/>
  <c r="L1263" i="1" s="1"/>
  <c r="N1269" i="1" a="1"/>
  <c r="N1269" i="1" s="1"/>
  <c r="L1269" i="1" a="1"/>
  <c r="L1269" i="1" s="1"/>
  <c r="M1269" i="1" a="1"/>
  <c r="M1269" i="1" s="1"/>
  <c r="M1275" i="1" a="1"/>
  <c r="M1275" i="1" s="1"/>
  <c r="L1275" i="1" a="1"/>
  <c r="L1275" i="1" s="1"/>
  <c r="N1275" i="1" a="1"/>
  <c r="N1275" i="1" s="1"/>
  <c r="N1281" i="1" a="1"/>
  <c r="N1281" i="1" s="1"/>
  <c r="M1281" i="1" a="1"/>
  <c r="M1281" i="1" s="1"/>
  <c r="L1281" i="1" a="1"/>
  <c r="L1281" i="1" s="1"/>
  <c r="N1287" i="1" a="1"/>
  <c r="N1287" i="1" s="1"/>
  <c r="M1287" i="1" a="1"/>
  <c r="M1287" i="1" s="1"/>
  <c r="L1287" i="1" a="1"/>
  <c r="L1287" i="1" s="1"/>
  <c r="N1293" i="1" a="1"/>
  <c r="N1293" i="1" s="1"/>
  <c r="M1293" i="1" a="1"/>
  <c r="M1293" i="1" s="1"/>
  <c r="L1293" i="1" a="1"/>
  <c r="L1293" i="1" s="1"/>
  <c r="M1299" i="1" a="1"/>
  <c r="M1299" i="1" s="1"/>
  <c r="N1299" i="1" a="1"/>
  <c r="N1299" i="1" s="1"/>
  <c r="L1299" i="1" a="1"/>
  <c r="L1299" i="1" s="1"/>
  <c r="N1305" i="1" a="1"/>
  <c r="N1305" i="1" s="1"/>
  <c r="L1305" i="1" a="1"/>
  <c r="L1305" i="1" s="1"/>
  <c r="M1305" i="1" a="1"/>
  <c r="M1305" i="1" s="1"/>
  <c r="N1311" i="1" a="1"/>
  <c r="N1311" i="1" s="1"/>
  <c r="M1311" i="1" a="1"/>
  <c r="M1311" i="1" s="1"/>
  <c r="L1311" i="1" a="1"/>
  <c r="L1311" i="1" s="1"/>
  <c r="L1317" i="1" a="1"/>
  <c r="L1317" i="1" s="1"/>
  <c r="N1317" i="1" a="1"/>
  <c r="N1317" i="1" s="1"/>
  <c r="M1317" i="1" a="1"/>
  <c r="M1317" i="1" s="1"/>
  <c r="M1323" i="1" a="1"/>
  <c r="M1323" i="1" s="1"/>
  <c r="N1323" i="1" a="1"/>
  <c r="N1323" i="1" s="1"/>
  <c r="L1323" i="1" a="1"/>
  <c r="L1323" i="1" s="1"/>
  <c r="N1329" i="1" a="1"/>
  <c r="N1329" i="1" s="1"/>
  <c r="L1329" i="1" a="1"/>
  <c r="L1329" i="1" s="1"/>
  <c r="M1329" i="1" a="1"/>
  <c r="M1329" i="1" s="1"/>
  <c r="N1335" i="1" a="1"/>
  <c r="N1335" i="1" s="1"/>
  <c r="L1335" i="1" a="1"/>
  <c r="L1335" i="1" s="1"/>
  <c r="M1335" i="1" a="1"/>
  <c r="M1335" i="1" s="1"/>
  <c r="M1341" i="1" a="1"/>
  <c r="M1341" i="1" s="1"/>
  <c r="N1341" i="1" a="1"/>
  <c r="N1341" i="1" s="1"/>
  <c r="L1341" i="1" a="1"/>
  <c r="L1341" i="1" s="1"/>
  <c r="M1347" i="1" a="1"/>
  <c r="M1347" i="1" s="1"/>
  <c r="L1347" i="1" a="1"/>
  <c r="L1347" i="1" s="1"/>
  <c r="N1347" i="1" a="1"/>
  <c r="N1347" i="1" s="1"/>
  <c r="N1353" i="1" a="1"/>
  <c r="N1353" i="1" s="1"/>
  <c r="M1353" i="1" a="1"/>
  <c r="M1353" i="1" s="1"/>
  <c r="L1353" i="1" a="1"/>
  <c r="L1353" i="1" s="1"/>
  <c r="N1359" i="1" a="1"/>
  <c r="N1359" i="1" s="1"/>
  <c r="M1359" i="1" a="1"/>
  <c r="M1359" i="1" s="1"/>
  <c r="L1359" i="1" a="1"/>
  <c r="L1359" i="1" s="1"/>
  <c r="N1365" i="1" a="1"/>
  <c r="N1365" i="1" s="1"/>
  <c r="M1365" i="1" a="1"/>
  <c r="M1365" i="1" s="1"/>
  <c r="L1365" i="1" a="1"/>
  <c r="L1365" i="1" s="1"/>
  <c r="N1371" i="1" a="1"/>
  <c r="N1371" i="1" s="1"/>
  <c r="M1371" i="1" a="1"/>
  <c r="M1371" i="1" s="1"/>
  <c r="L1371" i="1" a="1"/>
  <c r="L1371" i="1" s="1"/>
  <c r="N1377" i="1" a="1"/>
  <c r="N1377" i="1" s="1"/>
  <c r="M1377" i="1" a="1"/>
  <c r="M1377" i="1" s="1"/>
  <c r="L1377" i="1" a="1"/>
  <c r="L1377" i="1" s="1"/>
  <c r="N1383" i="1" a="1"/>
  <c r="N1383" i="1" s="1"/>
  <c r="L1383" i="1" a="1"/>
  <c r="L1383" i="1" s="1"/>
  <c r="M1383" i="1" a="1"/>
  <c r="M1383" i="1" s="1"/>
  <c r="N1389" i="1" a="1"/>
  <c r="N1389" i="1" s="1"/>
  <c r="M1389" i="1" a="1"/>
  <c r="M1389" i="1" s="1"/>
  <c r="L1389" i="1" a="1"/>
  <c r="L1389" i="1" s="1"/>
  <c r="N1395" i="1" a="1"/>
  <c r="N1395" i="1" s="1"/>
  <c r="M1395" i="1" a="1"/>
  <c r="M1395" i="1" s="1"/>
  <c r="L1395" i="1" a="1"/>
  <c r="L1395" i="1" s="1"/>
  <c r="N1401" i="1" a="1"/>
  <c r="N1401" i="1" s="1"/>
  <c r="M1401" i="1" a="1"/>
  <c r="M1401" i="1" s="1"/>
  <c r="L1401" i="1" a="1"/>
  <c r="L1401" i="1" s="1"/>
  <c r="N1407" i="1" a="1"/>
  <c r="N1407" i="1" s="1"/>
  <c r="M1407" i="1" a="1"/>
  <c r="M1407" i="1" s="1"/>
  <c r="L1407" i="1" a="1"/>
  <c r="L1407" i="1" s="1"/>
  <c r="L1413" i="1" a="1"/>
  <c r="L1413" i="1" s="1"/>
  <c r="M1413" i="1" a="1"/>
  <c r="M1413" i="1" s="1"/>
  <c r="N1413" i="1" a="1"/>
  <c r="N1413" i="1" s="1"/>
  <c r="N1419" i="1" a="1"/>
  <c r="N1419" i="1" s="1"/>
  <c r="M1419" i="1" a="1"/>
  <c r="M1419" i="1" s="1"/>
  <c r="L1419" i="1" a="1"/>
  <c r="L1419" i="1" s="1"/>
  <c r="N1425" i="1" a="1"/>
  <c r="N1425" i="1" s="1"/>
  <c r="L1425" i="1" a="1"/>
  <c r="L1425" i="1" s="1"/>
  <c r="M1425" i="1" a="1"/>
  <c r="M1425" i="1" s="1"/>
  <c r="N1431" i="1" a="1"/>
  <c r="N1431" i="1" s="1"/>
  <c r="M1431" i="1" a="1"/>
  <c r="M1431" i="1" s="1"/>
  <c r="L1431" i="1" a="1"/>
  <c r="L1431" i="1" s="1"/>
  <c r="N1437" i="1" a="1"/>
  <c r="N1437" i="1" s="1"/>
  <c r="M1437" i="1" a="1"/>
  <c r="M1437" i="1" s="1"/>
  <c r="L1437" i="1" a="1"/>
  <c r="L1437" i="1" s="1"/>
  <c r="N4" i="1" a="1"/>
  <c r="N4" i="1" s="1"/>
  <c r="L4" i="1" a="1"/>
  <c r="L4" i="1" s="1"/>
  <c r="M4" i="1" a="1"/>
  <c r="M4" i="1" s="1"/>
  <c r="N10" i="1" a="1"/>
  <c r="N10" i="1" s="1"/>
  <c r="M10" i="1" a="1"/>
  <c r="M10" i="1" s="1"/>
  <c r="L10" i="1" a="1"/>
  <c r="L10" i="1" s="1"/>
  <c r="N16" i="1" a="1"/>
  <c r="N16" i="1" s="1"/>
  <c r="L16" i="1" a="1"/>
  <c r="L16" i="1" s="1"/>
  <c r="M16" i="1" a="1"/>
  <c r="M16" i="1" s="1"/>
  <c r="M22" i="1" a="1"/>
  <c r="M22" i="1" s="1"/>
  <c r="L22" i="1" a="1"/>
  <c r="L22" i="1" s="1"/>
  <c r="N22" i="1" a="1"/>
  <c r="N22" i="1" s="1"/>
  <c r="N28" i="1" a="1"/>
  <c r="N28" i="1" s="1"/>
  <c r="M28" i="1" a="1"/>
  <c r="M28" i="1" s="1"/>
  <c r="L28" i="1" a="1"/>
  <c r="L28" i="1" s="1"/>
  <c r="M34" i="1" a="1"/>
  <c r="M34" i="1" s="1"/>
  <c r="L34" i="1" a="1"/>
  <c r="L34" i="1" s="1"/>
  <c r="N34" i="1" a="1"/>
  <c r="N34" i="1" s="1"/>
  <c r="N40" i="1" a="1"/>
  <c r="N40" i="1" s="1"/>
  <c r="M40" i="1" a="1"/>
  <c r="M40" i="1" s="1"/>
  <c r="L40" i="1" a="1"/>
  <c r="L40" i="1" s="1"/>
  <c r="N46" i="1" a="1"/>
  <c r="N46" i="1" s="1"/>
  <c r="L46" i="1" a="1"/>
  <c r="L46" i="1" s="1"/>
  <c r="M46" i="1" a="1"/>
  <c r="M46" i="1" s="1"/>
  <c r="N52" i="1" a="1"/>
  <c r="N52" i="1" s="1"/>
  <c r="L52" i="1" a="1"/>
  <c r="L52" i="1" s="1"/>
  <c r="M52" i="1" a="1"/>
  <c r="M52" i="1" s="1"/>
  <c r="M58" i="1" a="1"/>
  <c r="M58" i="1" s="1"/>
  <c r="N58" i="1" a="1"/>
  <c r="N58" i="1" s="1"/>
  <c r="L58" i="1" a="1"/>
  <c r="L58" i="1" s="1"/>
  <c r="N64" i="1" a="1"/>
  <c r="N64" i="1" s="1"/>
  <c r="M64" i="1" a="1"/>
  <c r="M64" i="1" s="1"/>
  <c r="L64" i="1" a="1"/>
  <c r="L64" i="1" s="1"/>
  <c r="M70" i="1" a="1"/>
  <c r="M70" i="1" s="1"/>
  <c r="L70" i="1" a="1"/>
  <c r="L70" i="1" s="1"/>
  <c r="N70" i="1" a="1"/>
  <c r="N70" i="1" s="1"/>
  <c r="N76" i="1" a="1"/>
  <c r="N76" i="1" s="1"/>
  <c r="M76" i="1" a="1"/>
  <c r="M76" i="1" s="1"/>
  <c r="L76" i="1" a="1"/>
  <c r="L76" i="1" s="1"/>
  <c r="N82" i="1" a="1"/>
  <c r="N82" i="1" s="1"/>
  <c r="M82" i="1" a="1"/>
  <c r="M82" i="1" s="1"/>
  <c r="L82" i="1" a="1"/>
  <c r="L82" i="1" s="1"/>
  <c r="N88" i="1" a="1"/>
  <c r="N88" i="1" s="1"/>
  <c r="M88" i="1" a="1"/>
  <c r="M88" i="1" s="1"/>
  <c r="L88" i="1" a="1"/>
  <c r="L88" i="1" s="1"/>
  <c r="M94" i="1" a="1"/>
  <c r="M94" i="1" s="1"/>
  <c r="N94" i="1" a="1"/>
  <c r="N94" i="1" s="1"/>
  <c r="L94" i="1" a="1"/>
  <c r="L94" i="1" s="1"/>
  <c r="N100" i="1" a="1"/>
  <c r="N100" i="1" s="1"/>
  <c r="L100" i="1" a="1"/>
  <c r="L100" i="1" s="1"/>
  <c r="M100" i="1" a="1"/>
  <c r="M100" i="1" s="1"/>
  <c r="N106" i="1" a="1"/>
  <c r="N106" i="1" s="1"/>
  <c r="L106" i="1" a="1"/>
  <c r="L106" i="1" s="1"/>
  <c r="M106" i="1" a="1"/>
  <c r="M106" i="1" s="1"/>
  <c r="N112" i="1" a="1"/>
  <c r="N112" i="1" s="1"/>
  <c r="M112" i="1" a="1"/>
  <c r="M112" i="1" s="1"/>
  <c r="L112" i="1" a="1"/>
  <c r="L112" i="1" s="1"/>
  <c r="M118" i="1" a="1"/>
  <c r="M118" i="1" s="1"/>
  <c r="N118" i="1" a="1"/>
  <c r="N118" i="1" s="1"/>
  <c r="L118" i="1" a="1"/>
  <c r="L118" i="1" s="1"/>
  <c r="N124" i="1" a="1"/>
  <c r="N124" i="1" s="1"/>
  <c r="M124" i="1" a="1"/>
  <c r="M124" i="1" s="1"/>
  <c r="L124" i="1" a="1"/>
  <c r="L124" i="1" s="1"/>
  <c r="M130" i="1" a="1"/>
  <c r="M130" i="1" s="1"/>
  <c r="L130" i="1" a="1"/>
  <c r="L130" i="1" s="1"/>
  <c r="N130" i="1" a="1"/>
  <c r="N130" i="1" s="1"/>
  <c r="N136" i="1" a="1"/>
  <c r="N136" i="1" s="1"/>
  <c r="M136" i="1" a="1"/>
  <c r="M136" i="1" s="1"/>
  <c r="L136" i="1" a="1"/>
  <c r="L136" i="1" s="1"/>
  <c r="N142" i="1" a="1"/>
  <c r="N142" i="1" s="1"/>
  <c r="M142" i="1" a="1"/>
  <c r="M142" i="1" s="1"/>
  <c r="L142" i="1" a="1"/>
  <c r="L142" i="1" s="1"/>
  <c r="N148" i="1" a="1"/>
  <c r="N148" i="1" s="1"/>
  <c r="M148" i="1" a="1"/>
  <c r="M148" i="1" s="1"/>
  <c r="L148" i="1" a="1"/>
  <c r="L148" i="1" s="1"/>
  <c r="N154" i="1" a="1"/>
  <c r="N154" i="1" s="1"/>
  <c r="M154" i="1" a="1"/>
  <c r="M154" i="1" s="1"/>
  <c r="L154" i="1" a="1"/>
  <c r="L154" i="1" s="1"/>
  <c r="N160" i="1" a="1"/>
  <c r="N160" i="1" s="1"/>
  <c r="L160" i="1" a="1"/>
  <c r="L160" i="1" s="1"/>
  <c r="M160" i="1" a="1"/>
  <c r="M160" i="1" s="1"/>
  <c r="M166" i="1" a="1"/>
  <c r="M166" i="1" s="1"/>
  <c r="N166" i="1" a="1"/>
  <c r="N166" i="1" s="1"/>
  <c r="L166" i="1" a="1"/>
  <c r="L166" i="1" s="1"/>
  <c r="N172" i="1" a="1"/>
  <c r="N172" i="1" s="1"/>
  <c r="M172" i="1" a="1"/>
  <c r="M172" i="1" s="1"/>
  <c r="L172" i="1" a="1"/>
  <c r="L172" i="1" s="1"/>
  <c r="L178" i="1" a="1"/>
  <c r="L178" i="1" s="1"/>
  <c r="M178" i="1" a="1"/>
  <c r="M178" i="1" s="1"/>
  <c r="N178" i="1" a="1"/>
  <c r="N178" i="1" s="1"/>
  <c r="N184" i="1" a="1"/>
  <c r="N184" i="1" s="1"/>
  <c r="M184" i="1" a="1"/>
  <c r="M184" i="1" s="1"/>
  <c r="L184" i="1" a="1"/>
  <c r="L184" i="1" s="1"/>
  <c r="M190" i="1" a="1"/>
  <c r="M190" i="1" s="1"/>
  <c r="N190" i="1" a="1"/>
  <c r="N190" i="1" s="1"/>
  <c r="L190" i="1" a="1"/>
  <c r="L190" i="1" s="1"/>
  <c r="N196" i="1" a="1"/>
  <c r="N196" i="1" s="1"/>
  <c r="M196" i="1" a="1"/>
  <c r="M196" i="1" s="1"/>
  <c r="L196" i="1" a="1"/>
  <c r="L196" i="1" s="1"/>
  <c r="N202" i="1" a="1"/>
  <c r="N202" i="1" s="1"/>
  <c r="L202" i="1" a="1"/>
  <c r="L202" i="1" s="1"/>
  <c r="M202" i="1" a="1"/>
  <c r="M202" i="1" s="1"/>
  <c r="N208" i="1" a="1"/>
  <c r="N208" i="1" s="1"/>
  <c r="L208" i="1" a="1"/>
  <c r="L208" i="1" s="1"/>
  <c r="M208" i="1" a="1"/>
  <c r="M208" i="1" s="1"/>
  <c r="M214" i="1" a="1"/>
  <c r="M214" i="1" s="1"/>
  <c r="N214" i="1" a="1"/>
  <c r="N214" i="1" s="1"/>
  <c r="L214" i="1" a="1"/>
  <c r="L214" i="1" s="1"/>
  <c r="N220" i="1" a="1"/>
  <c r="N220" i="1" s="1"/>
  <c r="M220" i="1" a="1"/>
  <c r="M220" i="1" s="1"/>
  <c r="L220" i="1" a="1"/>
  <c r="L220" i="1" s="1"/>
  <c r="N226" i="1" a="1"/>
  <c r="N226" i="1" s="1"/>
  <c r="M226" i="1" a="1"/>
  <c r="M226" i="1" s="1"/>
  <c r="L226" i="1" a="1"/>
  <c r="L226" i="1" s="1"/>
  <c r="N232" i="1" a="1"/>
  <c r="N232" i="1" s="1"/>
  <c r="M232" i="1" a="1"/>
  <c r="M232" i="1" s="1"/>
  <c r="L232" i="1" a="1"/>
  <c r="L232" i="1" s="1"/>
  <c r="M238" i="1" a="1"/>
  <c r="M238" i="1" s="1"/>
  <c r="L238" i="1" a="1"/>
  <c r="L238" i="1" s="1"/>
  <c r="N238" i="1" a="1"/>
  <c r="N238" i="1" s="1"/>
  <c r="N244" i="1" a="1"/>
  <c r="N244" i="1" s="1"/>
  <c r="M244" i="1" a="1"/>
  <c r="M244" i="1" s="1"/>
  <c r="L244" i="1" a="1"/>
  <c r="L244" i="1" s="1"/>
  <c r="M250" i="1" a="1"/>
  <c r="M250" i="1" s="1"/>
  <c r="L250" i="1" a="1"/>
  <c r="L250" i="1" s="1"/>
  <c r="N250" i="1" a="1"/>
  <c r="N250" i="1" s="1"/>
  <c r="N256" i="1" a="1"/>
  <c r="N256" i="1" s="1"/>
  <c r="M256" i="1" a="1"/>
  <c r="M256" i="1" s="1"/>
  <c r="L256" i="1" a="1"/>
  <c r="L256" i="1" s="1"/>
  <c r="M262" i="1" a="1"/>
  <c r="M262" i="1" s="1"/>
  <c r="L262" i="1" a="1"/>
  <c r="L262" i="1" s="1"/>
  <c r="N262" i="1" a="1"/>
  <c r="N262" i="1" s="1"/>
  <c r="N268" i="1" a="1"/>
  <c r="N268" i="1" s="1"/>
  <c r="M268" i="1" a="1"/>
  <c r="M268" i="1" s="1"/>
  <c r="L268" i="1" a="1"/>
  <c r="L268" i="1" s="1"/>
  <c r="N274" i="1" a="1"/>
  <c r="N274" i="1" s="1"/>
  <c r="M274" i="1" a="1"/>
  <c r="M274" i="1" s="1"/>
  <c r="L274" i="1" a="1"/>
  <c r="L274" i="1" s="1"/>
  <c r="N280" i="1" a="1"/>
  <c r="N280" i="1" s="1"/>
  <c r="M280" i="1" a="1"/>
  <c r="M280" i="1" s="1"/>
  <c r="L280" i="1" a="1"/>
  <c r="L280" i="1" s="1"/>
  <c r="M286" i="1" a="1"/>
  <c r="M286" i="1" s="1"/>
  <c r="N286" i="1" a="1"/>
  <c r="N286" i="1" s="1"/>
  <c r="L286" i="1" a="1"/>
  <c r="L286" i="1" s="1"/>
  <c r="N292" i="1" a="1"/>
  <c r="N292" i="1" s="1"/>
  <c r="M292" i="1" a="1"/>
  <c r="M292" i="1" s="1"/>
  <c r="L292" i="1" a="1"/>
  <c r="L292" i="1" s="1"/>
  <c r="N298" i="1" a="1"/>
  <c r="N298" i="1" s="1"/>
  <c r="M298" i="1" a="1"/>
  <c r="M298" i="1" s="1"/>
  <c r="L298" i="1" a="1"/>
  <c r="L298" i="1" s="1"/>
  <c r="N304" i="1" a="1"/>
  <c r="N304" i="1" s="1"/>
  <c r="M304" i="1" a="1"/>
  <c r="M304" i="1" s="1"/>
  <c r="L304" i="1" a="1"/>
  <c r="L304" i="1" s="1"/>
  <c r="N310" i="1" a="1"/>
  <c r="N310" i="1" s="1"/>
  <c r="M310" i="1" a="1"/>
  <c r="M310" i="1" s="1"/>
  <c r="L310" i="1" a="1"/>
  <c r="L310" i="1" s="1"/>
  <c r="N316" i="1" a="1"/>
  <c r="N316" i="1" s="1"/>
  <c r="M316" i="1" a="1"/>
  <c r="M316" i="1" s="1"/>
  <c r="L316" i="1" a="1"/>
  <c r="L316" i="1" s="1"/>
  <c r="N322" i="1" a="1"/>
  <c r="N322" i="1" s="1"/>
  <c r="M322" i="1" a="1"/>
  <c r="M322" i="1" s="1"/>
  <c r="L322" i="1" a="1"/>
  <c r="L322" i="1" s="1"/>
  <c r="N328" i="1" a="1"/>
  <c r="N328" i="1" s="1"/>
  <c r="M328" i="1" a="1"/>
  <c r="M328" i="1" s="1"/>
  <c r="L328" i="1" a="1"/>
  <c r="L328" i="1" s="1"/>
  <c r="M334" i="1" a="1"/>
  <c r="M334" i="1" s="1"/>
  <c r="L334" i="1" a="1"/>
  <c r="L334" i="1" s="1"/>
  <c r="N334" i="1" a="1"/>
  <c r="N334" i="1" s="1"/>
  <c r="N340" i="1" a="1"/>
  <c r="N340" i="1" s="1"/>
  <c r="M340" i="1" a="1"/>
  <c r="M340" i="1" s="1"/>
  <c r="L340" i="1" a="1"/>
  <c r="L340" i="1" s="1"/>
  <c r="N346" i="1" a="1"/>
  <c r="N346" i="1" s="1"/>
  <c r="M346" i="1" a="1"/>
  <c r="M346" i="1" s="1"/>
  <c r="L346" i="1" a="1"/>
  <c r="L346" i="1" s="1"/>
  <c r="N352" i="1" a="1"/>
  <c r="N352" i="1" s="1"/>
  <c r="M352" i="1" a="1"/>
  <c r="M352" i="1" s="1"/>
  <c r="L352" i="1" a="1"/>
  <c r="L352" i="1" s="1"/>
  <c r="N358" i="1" a="1"/>
  <c r="N358" i="1" s="1"/>
  <c r="M358" i="1" a="1"/>
  <c r="M358" i="1" s="1"/>
  <c r="L358" i="1" a="1"/>
  <c r="L358" i="1" s="1"/>
  <c r="N364" i="1" a="1"/>
  <c r="N364" i="1" s="1"/>
  <c r="M364" i="1" a="1"/>
  <c r="M364" i="1" s="1"/>
  <c r="L364" i="1" a="1"/>
  <c r="L364" i="1" s="1"/>
  <c r="M370" i="1" a="1"/>
  <c r="M370" i="1" s="1"/>
  <c r="L370" i="1" a="1"/>
  <c r="L370" i="1" s="1"/>
  <c r="N370" i="1" a="1"/>
  <c r="N370" i="1" s="1"/>
  <c r="M376" i="1" a="1"/>
  <c r="M376" i="1" s="1"/>
  <c r="L376" i="1" a="1"/>
  <c r="L376" i="1" s="1"/>
  <c r="N376" i="1" a="1"/>
  <c r="N376" i="1" s="1"/>
  <c r="M382" i="1" a="1"/>
  <c r="M382" i="1" s="1"/>
  <c r="N382" i="1" a="1"/>
  <c r="N382" i="1" s="1"/>
  <c r="L382" i="1" a="1"/>
  <c r="L382" i="1" s="1"/>
  <c r="N388" i="1" a="1"/>
  <c r="N388" i="1" s="1"/>
  <c r="M388" i="1" a="1"/>
  <c r="M388" i="1" s="1"/>
  <c r="L388" i="1" a="1"/>
  <c r="L388" i="1" s="1"/>
  <c r="N394" i="1" a="1"/>
  <c r="N394" i="1" s="1"/>
  <c r="M394" i="1" a="1"/>
  <c r="M394" i="1" s="1"/>
  <c r="L394" i="1" a="1"/>
  <c r="L394" i="1" s="1"/>
  <c r="N400" i="1" a="1"/>
  <c r="N400" i="1" s="1"/>
  <c r="L400" i="1" a="1"/>
  <c r="L400" i="1" s="1"/>
  <c r="M400" i="1" a="1"/>
  <c r="M400" i="1" s="1"/>
  <c r="M406" i="1" a="1"/>
  <c r="M406" i="1" s="1"/>
  <c r="N406" i="1" a="1"/>
  <c r="N406" i="1" s="1"/>
  <c r="L406" i="1" a="1"/>
  <c r="L406" i="1" s="1"/>
  <c r="N412" i="1" a="1"/>
  <c r="N412" i="1" s="1"/>
  <c r="M412" i="1" a="1"/>
  <c r="M412" i="1" s="1"/>
  <c r="L412" i="1" a="1"/>
  <c r="L412" i="1" s="1"/>
  <c r="M418" i="1" a="1"/>
  <c r="M418" i="1" s="1"/>
  <c r="N418" i="1" a="1"/>
  <c r="N418" i="1" s="1"/>
  <c r="L418" i="1" a="1"/>
  <c r="L418" i="1" s="1"/>
  <c r="M424" i="1" a="1"/>
  <c r="M424" i="1" s="1"/>
  <c r="N424" i="1" a="1"/>
  <c r="N424" i="1" s="1"/>
  <c r="L424" i="1" a="1"/>
  <c r="L424" i="1" s="1"/>
  <c r="N430" i="1" a="1"/>
  <c r="N430" i="1" s="1"/>
  <c r="L430" i="1" a="1"/>
  <c r="L430" i="1" s="1"/>
  <c r="M430" i="1" a="1"/>
  <c r="M430" i="1" s="1"/>
  <c r="L436" i="1" a="1"/>
  <c r="L436" i="1" s="1"/>
  <c r="N436" i="1" a="1"/>
  <c r="N436" i="1" s="1"/>
  <c r="M436" i="1" a="1"/>
  <c r="M436" i="1" s="1"/>
  <c r="M442" i="1" a="1"/>
  <c r="M442" i="1" s="1"/>
  <c r="N442" i="1" a="1"/>
  <c r="N442" i="1" s="1"/>
  <c r="L442" i="1" a="1"/>
  <c r="L442" i="1" s="1"/>
  <c r="N448" i="1" a="1"/>
  <c r="N448" i="1" s="1"/>
  <c r="M448" i="1" a="1"/>
  <c r="M448" i="1" s="1"/>
  <c r="L448" i="1" a="1"/>
  <c r="L448" i="1" s="1"/>
  <c r="M454" i="1" a="1"/>
  <c r="M454" i="1" s="1"/>
  <c r="N454" i="1" a="1"/>
  <c r="N454" i="1" s="1"/>
  <c r="L454" i="1" a="1"/>
  <c r="L454" i="1" s="1"/>
  <c r="N460" i="1" a="1"/>
  <c r="N460" i="1" s="1"/>
  <c r="M460" i="1" a="1"/>
  <c r="M460" i="1" s="1"/>
  <c r="L460" i="1" a="1"/>
  <c r="L460" i="1" s="1"/>
  <c r="M466" i="1" a="1"/>
  <c r="M466" i="1" s="1"/>
  <c r="L466" i="1" a="1"/>
  <c r="L466" i="1" s="1"/>
  <c r="N466" i="1" a="1"/>
  <c r="N466" i="1" s="1"/>
  <c r="N472" i="1" a="1"/>
  <c r="N472" i="1" s="1"/>
  <c r="M472" i="1" a="1"/>
  <c r="M472" i="1" s="1"/>
  <c r="L472" i="1" a="1"/>
  <c r="L472" i="1" s="1"/>
  <c r="N478" i="1" a="1"/>
  <c r="N478" i="1" s="1"/>
  <c r="M478" i="1" a="1"/>
  <c r="M478" i="1" s="1"/>
  <c r="L478" i="1" a="1"/>
  <c r="L478" i="1" s="1"/>
  <c r="N484" i="1" a="1"/>
  <c r="N484" i="1" s="1"/>
  <c r="L484" i="1" a="1"/>
  <c r="L484" i="1" s="1"/>
  <c r="M484" i="1" a="1"/>
  <c r="M484" i="1" s="1"/>
  <c r="N490" i="1" a="1"/>
  <c r="N490" i="1" s="1"/>
  <c r="M490" i="1" a="1"/>
  <c r="M490" i="1" s="1"/>
  <c r="L490" i="1" a="1"/>
  <c r="L490" i="1" s="1"/>
  <c r="N496" i="1" a="1"/>
  <c r="N496" i="1" s="1"/>
  <c r="M496" i="1" a="1"/>
  <c r="M496" i="1" s="1"/>
  <c r="L496" i="1" a="1"/>
  <c r="L496" i="1" s="1"/>
  <c r="M502" i="1" a="1"/>
  <c r="M502" i="1" s="1"/>
  <c r="N502" i="1" a="1"/>
  <c r="N502" i="1" s="1"/>
  <c r="L502" i="1" a="1"/>
  <c r="L502" i="1" s="1"/>
  <c r="N508" i="1" a="1"/>
  <c r="N508" i="1" s="1"/>
  <c r="M508" i="1" a="1"/>
  <c r="M508" i="1" s="1"/>
  <c r="L508" i="1" a="1"/>
  <c r="L508" i="1" s="1"/>
  <c r="N514" i="1" a="1"/>
  <c r="N514" i="1" s="1"/>
  <c r="M514" i="1" a="1"/>
  <c r="M514" i="1" s="1"/>
  <c r="L514" i="1" a="1"/>
  <c r="L514" i="1" s="1"/>
  <c r="M520" i="1" a="1"/>
  <c r="M520" i="1" s="1"/>
  <c r="N520" i="1" a="1"/>
  <c r="N520" i="1" s="1"/>
  <c r="L520" i="1" a="1"/>
  <c r="L520" i="1" s="1"/>
  <c r="N526" i="1" a="1"/>
  <c r="N526" i="1" s="1"/>
  <c r="M526" i="1" a="1"/>
  <c r="M526" i="1" s="1"/>
  <c r="L526" i="1" a="1"/>
  <c r="L526" i="1" s="1"/>
  <c r="M532" i="1" a="1"/>
  <c r="M532" i="1" s="1"/>
  <c r="N532" i="1" a="1"/>
  <c r="N532" i="1" s="1"/>
  <c r="L532" i="1" a="1"/>
  <c r="L532" i="1" s="1"/>
  <c r="M538" i="1" a="1"/>
  <c r="M538" i="1" s="1"/>
  <c r="N538" i="1" a="1"/>
  <c r="N538" i="1" s="1"/>
  <c r="L538" i="1" a="1"/>
  <c r="L538" i="1" s="1"/>
  <c r="N544" i="1" a="1"/>
  <c r="N544" i="1" s="1"/>
  <c r="M544" i="1" a="1"/>
  <c r="M544" i="1" s="1"/>
  <c r="L544" i="1" a="1"/>
  <c r="L544" i="1" s="1"/>
  <c r="N550" i="1" a="1"/>
  <c r="N550" i="1" s="1"/>
  <c r="M550" i="1" a="1"/>
  <c r="M550" i="1" s="1"/>
  <c r="L550" i="1" a="1"/>
  <c r="L550" i="1" s="1"/>
  <c r="N556" i="1" a="1"/>
  <c r="N556" i="1" s="1"/>
  <c r="M556" i="1" a="1"/>
  <c r="M556" i="1" s="1"/>
  <c r="L556" i="1" a="1"/>
  <c r="L556" i="1" s="1"/>
  <c r="N562" i="1" a="1"/>
  <c r="N562" i="1" s="1"/>
  <c r="L562" i="1" a="1"/>
  <c r="L562" i="1" s="1"/>
  <c r="M562" i="1" a="1"/>
  <c r="M562" i="1" s="1"/>
  <c r="N568" i="1" a="1"/>
  <c r="N568" i="1" s="1"/>
  <c r="M568" i="1" a="1"/>
  <c r="M568" i="1" s="1"/>
  <c r="L568" i="1" a="1"/>
  <c r="L568" i="1" s="1"/>
  <c r="N574" i="1" a="1"/>
  <c r="N574" i="1" s="1"/>
  <c r="M574" i="1" a="1"/>
  <c r="M574" i="1" s="1"/>
  <c r="L574" i="1" a="1"/>
  <c r="L574" i="1" s="1"/>
  <c r="N580" i="1" a="1"/>
  <c r="N580" i="1" s="1"/>
  <c r="M580" i="1" a="1"/>
  <c r="M580" i="1" s="1"/>
  <c r="L580" i="1" a="1"/>
  <c r="L580" i="1" s="1"/>
  <c r="M586" i="1" a="1"/>
  <c r="M586" i="1" s="1"/>
  <c r="N586" i="1" a="1"/>
  <c r="N586" i="1" s="1"/>
  <c r="L586" i="1" a="1"/>
  <c r="L586" i="1" s="1"/>
  <c r="N592" i="1" a="1"/>
  <c r="N592" i="1" s="1"/>
  <c r="L592" i="1" a="1"/>
  <c r="L592" i="1" s="1"/>
  <c r="M592" i="1" a="1"/>
  <c r="M592" i="1" s="1"/>
  <c r="N598" i="1" a="1"/>
  <c r="N598" i="1" s="1"/>
  <c r="M598" i="1" a="1"/>
  <c r="M598" i="1" s="1"/>
  <c r="L598" i="1" a="1"/>
  <c r="L598" i="1" s="1"/>
  <c r="N604" i="1" a="1"/>
  <c r="N604" i="1" s="1"/>
  <c r="L604" i="1" a="1"/>
  <c r="L604" i="1" s="1"/>
  <c r="M604" i="1" a="1"/>
  <c r="M604" i="1" s="1"/>
  <c r="N610" i="1" a="1"/>
  <c r="N610" i="1" s="1"/>
  <c r="M610" i="1" a="1"/>
  <c r="M610" i="1" s="1"/>
  <c r="L610" i="1" a="1"/>
  <c r="L610" i="1" s="1"/>
  <c r="N616" i="1" a="1"/>
  <c r="N616" i="1" s="1"/>
  <c r="M616" i="1" a="1"/>
  <c r="M616" i="1" s="1"/>
  <c r="L616" i="1" a="1"/>
  <c r="L616" i="1" s="1"/>
  <c r="N622" i="1" a="1"/>
  <c r="N622" i="1" s="1"/>
  <c r="M622" i="1" a="1"/>
  <c r="M622" i="1" s="1"/>
  <c r="L622" i="1" a="1"/>
  <c r="L622" i="1" s="1"/>
  <c r="M628" i="1" a="1"/>
  <c r="M628" i="1" s="1"/>
  <c r="N628" i="1" a="1"/>
  <c r="N628" i="1" s="1"/>
  <c r="L628" i="1" a="1"/>
  <c r="L628" i="1" s="1"/>
  <c r="N634" i="1" a="1"/>
  <c r="N634" i="1" s="1"/>
  <c r="M634" i="1" a="1"/>
  <c r="M634" i="1" s="1"/>
  <c r="L634" i="1" a="1"/>
  <c r="L634" i="1" s="1"/>
  <c r="N640" i="1" a="1"/>
  <c r="N640" i="1" s="1"/>
  <c r="M640" i="1" a="1"/>
  <c r="M640" i="1" s="1"/>
  <c r="L640" i="1" a="1"/>
  <c r="L640" i="1" s="1"/>
  <c r="N646" i="1" a="1"/>
  <c r="N646" i="1" s="1"/>
  <c r="M646" i="1" a="1"/>
  <c r="M646" i="1" s="1"/>
  <c r="L646" i="1" a="1"/>
  <c r="L646" i="1" s="1"/>
  <c r="N652" i="1" a="1"/>
  <c r="N652" i="1" s="1"/>
  <c r="M652" i="1" a="1"/>
  <c r="M652" i="1" s="1"/>
  <c r="L652" i="1" a="1"/>
  <c r="L652" i="1" s="1"/>
  <c r="N658" i="1" a="1"/>
  <c r="N658" i="1" s="1"/>
  <c r="M658" i="1" a="1"/>
  <c r="M658" i="1" s="1"/>
  <c r="L658" i="1" a="1"/>
  <c r="L658" i="1" s="1"/>
  <c r="N664" i="1" a="1"/>
  <c r="N664" i="1" s="1"/>
  <c r="L664" i="1" a="1"/>
  <c r="L664" i="1" s="1"/>
  <c r="M664" i="1" a="1"/>
  <c r="M664" i="1" s="1"/>
  <c r="N670" i="1" a="1"/>
  <c r="N670" i="1" s="1"/>
  <c r="M670" i="1" a="1"/>
  <c r="M670" i="1" s="1"/>
  <c r="L670" i="1" a="1"/>
  <c r="L670" i="1" s="1"/>
  <c r="N676" i="1" a="1"/>
  <c r="N676" i="1" s="1"/>
  <c r="M676" i="1" a="1"/>
  <c r="M676" i="1" s="1"/>
  <c r="L676" i="1" a="1"/>
  <c r="L676" i="1" s="1"/>
  <c r="N682" i="1" a="1"/>
  <c r="N682" i="1" s="1"/>
  <c r="M682" i="1" a="1"/>
  <c r="M682" i="1" s="1"/>
  <c r="L682" i="1" a="1"/>
  <c r="L682" i="1" s="1"/>
  <c r="N688" i="1" a="1"/>
  <c r="N688" i="1" s="1"/>
  <c r="M688" i="1" a="1"/>
  <c r="M688" i="1" s="1"/>
  <c r="L688" i="1" a="1"/>
  <c r="L688" i="1" s="1"/>
  <c r="N694" i="1" a="1"/>
  <c r="N694" i="1" s="1"/>
  <c r="M694" i="1" a="1"/>
  <c r="M694" i="1" s="1"/>
  <c r="L694" i="1" a="1"/>
  <c r="L694" i="1" s="1"/>
  <c r="M700" i="1" a="1"/>
  <c r="M700" i="1" s="1"/>
  <c r="N700" i="1" a="1"/>
  <c r="N700" i="1" s="1"/>
  <c r="L700" i="1" a="1"/>
  <c r="L700" i="1" s="1"/>
  <c r="M706" i="1" a="1"/>
  <c r="M706" i="1" s="1"/>
  <c r="L706" i="1" a="1"/>
  <c r="L706" i="1" s="1"/>
  <c r="N706" i="1" a="1"/>
  <c r="N706" i="1" s="1"/>
  <c r="N712" i="1" a="1"/>
  <c r="N712" i="1" s="1"/>
  <c r="M712" i="1" a="1"/>
  <c r="M712" i="1" s="1"/>
  <c r="L712" i="1" a="1"/>
  <c r="L712" i="1" s="1"/>
  <c r="N718" i="1" a="1"/>
  <c r="N718" i="1" s="1"/>
  <c r="M718" i="1" a="1"/>
  <c r="M718" i="1" s="1"/>
  <c r="L718" i="1" a="1"/>
  <c r="L718" i="1" s="1"/>
  <c r="M724" i="1" a="1"/>
  <c r="M724" i="1" s="1"/>
  <c r="N724" i="1" a="1"/>
  <c r="N724" i="1" s="1"/>
  <c r="L724" i="1" a="1"/>
  <c r="L724" i="1" s="1"/>
  <c r="N730" i="1" a="1"/>
  <c r="N730" i="1" s="1"/>
  <c r="L730" i="1" a="1"/>
  <c r="L730" i="1" s="1"/>
  <c r="M730" i="1" a="1"/>
  <c r="M730" i="1" s="1"/>
  <c r="N736" i="1" a="1"/>
  <c r="N736" i="1" s="1"/>
  <c r="M736" i="1" a="1"/>
  <c r="M736" i="1" s="1"/>
  <c r="L736" i="1" a="1"/>
  <c r="L736" i="1" s="1"/>
  <c r="N742" i="1" a="1"/>
  <c r="N742" i="1" s="1"/>
  <c r="L742" i="1" a="1"/>
  <c r="L742" i="1" s="1"/>
  <c r="M742" i="1" a="1"/>
  <c r="M742" i="1" s="1"/>
  <c r="M748" i="1" a="1"/>
  <c r="M748" i="1" s="1"/>
  <c r="L748" i="1" a="1"/>
  <c r="L748" i="1" s="1"/>
  <c r="N748" i="1" a="1"/>
  <c r="N748" i="1" s="1"/>
  <c r="N754" i="1" a="1"/>
  <c r="N754" i="1" s="1"/>
  <c r="M754" i="1" a="1"/>
  <c r="M754" i="1" s="1"/>
  <c r="L754" i="1" a="1"/>
  <c r="L754" i="1" s="1"/>
  <c r="N760" i="1" a="1"/>
  <c r="N760" i="1" s="1"/>
  <c r="M760" i="1" a="1"/>
  <c r="M760" i="1" s="1"/>
  <c r="L760" i="1" a="1"/>
  <c r="L760" i="1" s="1"/>
  <c r="N766" i="1" a="1"/>
  <c r="N766" i="1" s="1"/>
  <c r="M766" i="1" a="1"/>
  <c r="M766" i="1" s="1"/>
  <c r="L766" i="1" a="1"/>
  <c r="L766" i="1" s="1"/>
  <c r="N772" i="1" a="1"/>
  <c r="N772" i="1" s="1"/>
  <c r="M772" i="1" a="1"/>
  <c r="M772" i="1" s="1"/>
  <c r="L772" i="1" a="1"/>
  <c r="L772" i="1" s="1"/>
  <c r="N778" i="1" a="1"/>
  <c r="N778" i="1" s="1"/>
  <c r="M778" i="1" a="1"/>
  <c r="M778" i="1" s="1"/>
  <c r="L778" i="1" a="1"/>
  <c r="L778" i="1" s="1"/>
  <c r="N784" i="1" a="1"/>
  <c r="N784" i="1" s="1"/>
  <c r="M784" i="1" a="1"/>
  <c r="M784" i="1" s="1"/>
  <c r="L784" i="1" a="1"/>
  <c r="L784" i="1" s="1"/>
  <c r="N790" i="1" a="1"/>
  <c r="N790" i="1" s="1"/>
  <c r="L790" i="1" a="1"/>
  <c r="L790" i="1" s="1"/>
  <c r="M790" i="1" a="1"/>
  <c r="M790" i="1" s="1"/>
  <c r="N796" i="1" a="1"/>
  <c r="N796" i="1" s="1"/>
  <c r="M796" i="1" a="1"/>
  <c r="M796" i="1" s="1"/>
  <c r="L796" i="1" a="1"/>
  <c r="L796" i="1" s="1"/>
  <c r="N802" i="1" a="1"/>
  <c r="N802" i="1" s="1"/>
  <c r="M802" i="1" a="1"/>
  <c r="M802" i="1" s="1"/>
  <c r="L802" i="1" a="1"/>
  <c r="L802" i="1" s="1"/>
  <c r="N808" i="1" a="1"/>
  <c r="N808" i="1" s="1"/>
  <c r="M808" i="1" a="1"/>
  <c r="M808" i="1" s="1"/>
  <c r="L808" i="1" a="1"/>
  <c r="L808" i="1" s="1"/>
  <c r="N814" i="1" a="1"/>
  <c r="N814" i="1" s="1"/>
  <c r="M814" i="1" a="1"/>
  <c r="M814" i="1" s="1"/>
  <c r="L814" i="1" a="1"/>
  <c r="L814" i="1" s="1"/>
  <c r="N820" i="1" a="1"/>
  <c r="N820" i="1" s="1"/>
  <c r="M820" i="1" a="1"/>
  <c r="M820" i="1" s="1"/>
  <c r="L820" i="1" a="1"/>
  <c r="L820" i="1" s="1"/>
  <c r="N826" i="1" a="1"/>
  <c r="N826" i="1" s="1"/>
  <c r="L826" i="1" a="1"/>
  <c r="L826" i="1" s="1"/>
  <c r="M826" i="1" a="1"/>
  <c r="M826" i="1" s="1"/>
  <c r="N832" i="1" a="1"/>
  <c r="N832" i="1" s="1"/>
  <c r="M832" i="1" a="1"/>
  <c r="M832" i="1" s="1"/>
  <c r="L832" i="1" a="1"/>
  <c r="L832" i="1" s="1"/>
  <c r="N838" i="1" a="1"/>
  <c r="N838" i="1" s="1"/>
  <c r="M838" i="1" a="1"/>
  <c r="M838" i="1" s="1"/>
  <c r="L838" i="1" a="1"/>
  <c r="L838" i="1" s="1"/>
  <c r="N844" i="1" a="1"/>
  <c r="N844" i="1" s="1"/>
  <c r="L844" i="1" a="1"/>
  <c r="L844" i="1" s="1"/>
  <c r="M844" i="1" a="1"/>
  <c r="M844" i="1" s="1"/>
  <c r="M850" i="1" a="1"/>
  <c r="M850" i="1" s="1"/>
  <c r="N850" i="1" a="1"/>
  <c r="N850" i="1" s="1"/>
  <c r="L850" i="1" a="1"/>
  <c r="L850" i="1" s="1"/>
  <c r="N856" i="1" a="1"/>
  <c r="N856" i="1" s="1"/>
  <c r="L856" i="1" a="1"/>
  <c r="L856" i="1" s="1"/>
  <c r="M856" i="1" a="1"/>
  <c r="M856" i="1" s="1"/>
  <c r="N862" i="1" a="1"/>
  <c r="N862" i="1" s="1"/>
  <c r="M862" i="1" a="1"/>
  <c r="M862" i="1" s="1"/>
  <c r="L862" i="1" a="1"/>
  <c r="L862" i="1" s="1"/>
  <c r="N868" i="1" a="1"/>
  <c r="N868" i="1" s="1"/>
  <c r="M868" i="1" a="1"/>
  <c r="M868" i="1" s="1"/>
  <c r="L868" i="1" a="1"/>
  <c r="L868" i="1" s="1"/>
  <c r="N874" i="1" a="1"/>
  <c r="N874" i="1" s="1"/>
  <c r="M874" i="1" a="1"/>
  <c r="M874" i="1" s="1"/>
  <c r="L874" i="1" a="1"/>
  <c r="L874" i="1" s="1"/>
  <c r="N880" i="1" a="1"/>
  <c r="N880" i="1" s="1"/>
  <c r="M880" i="1" a="1"/>
  <c r="M880" i="1" s="1"/>
  <c r="L880" i="1" a="1"/>
  <c r="L880" i="1" s="1"/>
  <c r="M886" i="1" a="1"/>
  <c r="M886" i="1" s="1"/>
  <c r="N886" i="1" a="1"/>
  <c r="N886" i="1" s="1"/>
  <c r="L886" i="1" a="1"/>
  <c r="L886" i="1" s="1"/>
  <c r="N892" i="1" a="1"/>
  <c r="N892" i="1" s="1"/>
  <c r="L892" i="1" a="1"/>
  <c r="L892" i="1" s="1"/>
  <c r="M892" i="1" a="1"/>
  <c r="M892" i="1" s="1"/>
  <c r="M898" i="1" a="1"/>
  <c r="M898" i="1" s="1"/>
  <c r="L898" i="1" a="1"/>
  <c r="L898" i="1" s="1"/>
  <c r="N898" i="1" a="1"/>
  <c r="N898" i="1" s="1"/>
  <c r="N904" i="1" a="1"/>
  <c r="N904" i="1" s="1"/>
  <c r="M904" i="1" a="1"/>
  <c r="M904" i="1" s="1"/>
  <c r="L904" i="1" a="1"/>
  <c r="L904" i="1" s="1"/>
  <c r="N910" i="1" a="1"/>
  <c r="N910" i="1" s="1"/>
  <c r="M910" i="1" a="1"/>
  <c r="M910" i="1" s="1"/>
  <c r="L910" i="1" a="1"/>
  <c r="L910" i="1" s="1"/>
  <c r="N916" i="1" a="1"/>
  <c r="N916" i="1" s="1"/>
  <c r="M916" i="1" a="1"/>
  <c r="M916" i="1" s="1"/>
  <c r="L916" i="1" a="1"/>
  <c r="L916" i="1" s="1"/>
  <c r="N922" i="1" a="1"/>
  <c r="N922" i="1" s="1"/>
  <c r="L922" i="1" a="1"/>
  <c r="L922" i="1" s="1"/>
  <c r="M922" i="1" a="1"/>
  <c r="M922" i="1" s="1"/>
  <c r="N928" i="1" a="1"/>
  <c r="N928" i="1" s="1"/>
  <c r="L928" i="1" a="1"/>
  <c r="L928" i="1" s="1"/>
  <c r="M928" i="1" a="1"/>
  <c r="M928" i="1" s="1"/>
  <c r="N934" i="1" a="1"/>
  <c r="N934" i="1" s="1"/>
  <c r="M934" i="1" a="1"/>
  <c r="M934" i="1" s="1"/>
  <c r="L934" i="1" a="1"/>
  <c r="L934" i="1" s="1"/>
  <c r="N940" i="1" a="1"/>
  <c r="N940" i="1" s="1"/>
  <c r="M940" i="1" a="1"/>
  <c r="M940" i="1" s="1"/>
  <c r="L940" i="1" a="1"/>
  <c r="L940" i="1" s="1"/>
  <c r="N946" i="1" a="1"/>
  <c r="N946" i="1" s="1"/>
  <c r="M946" i="1" a="1"/>
  <c r="M946" i="1" s="1"/>
  <c r="L946" i="1" a="1"/>
  <c r="L946" i="1" s="1"/>
  <c r="N952" i="1" a="1"/>
  <c r="N952" i="1" s="1"/>
  <c r="M952" i="1" a="1"/>
  <c r="M952" i="1" s="1"/>
  <c r="L952" i="1" a="1"/>
  <c r="L952" i="1" s="1"/>
  <c r="M958" i="1" a="1"/>
  <c r="M958" i="1" s="1"/>
  <c r="L958" i="1" a="1"/>
  <c r="L958" i="1" s="1"/>
  <c r="N958" i="1" a="1"/>
  <c r="N958" i="1" s="1"/>
  <c r="N964" i="1" a="1"/>
  <c r="N964" i="1" s="1"/>
  <c r="L964" i="1" a="1"/>
  <c r="L964" i="1" s="1"/>
  <c r="M964" i="1" a="1"/>
  <c r="M964" i="1" s="1"/>
  <c r="N970" i="1" a="1"/>
  <c r="N970" i="1" s="1"/>
  <c r="M970" i="1" a="1"/>
  <c r="M970" i="1" s="1"/>
  <c r="L970" i="1" a="1"/>
  <c r="L970" i="1" s="1"/>
  <c r="N976" i="1" a="1"/>
  <c r="N976" i="1" s="1"/>
  <c r="M976" i="1" a="1"/>
  <c r="M976" i="1" s="1"/>
  <c r="L976" i="1" a="1"/>
  <c r="L976" i="1" s="1"/>
  <c r="M982" i="1" a="1"/>
  <c r="M982" i="1" s="1"/>
  <c r="N982" i="1" a="1"/>
  <c r="N982" i="1" s="1"/>
  <c r="L982" i="1" a="1"/>
  <c r="L982" i="1" s="1"/>
  <c r="N988" i="1" a="1"/>
  <c r="N988" i="1" s="1"/>
  <c r="M988" i="1" a="1"/>
  <c r="M988" i="1" s="1"/>
  <c r="L988" i="1" a="1"/>
  <c r="L988" i="1" s="1"/>
  <c r="N994" i="1" a="1"/>
  <c r="N994" i="1" s="1"/>
  <c r="M994" i="1" a="1"/>
  <c r="M994" i="1" s="1"/>
  <c r="L994" i="1" a="1"/>
  <c r="L994" i="1" s="1"/>
  <c r="N1000" i="1" a="1"/>
  <c r="N1000" i="1" s="1"/>
  <c r="L1000" i="1" a="1"/>
  <c r="L1000" i="1" s="1"/>
  <c r="M1000" i="1" a="1"/>
  <c r="M1000" i="1" s="1"/>
  <c r="N1006" i="1" a="1"/>
  <c r="N1006" i="1" s="1"/>
  <c r="M1006" i="1" a="1"/>
  <c r="M1006" i="1" s="1"/>
  <c r="L1006" i="1" a="1"/>
  <c r="L1006" i="1" s="1"/>
  <c r="N1012" i="1" a="1"/>
  <c r="N1012" i="1" s="1"/>
  <c r="M1012" i="1" a="1"/>
  <c r="M1012" i="1" s="1"/>
  <c r="L1012" i="1" a="1"/>
  <c r="L1012" i="1" s="1"/>
  <c r="M1018" i="1" a="1"/>
  <c r="M1018" i="1" s="1"/>
  <c r="N1018" i="1" a="1"/>
  <c r="N1018" i="1" s="1"/>
  <c r="L1018" i="1" a="1"/>
  <c r="L1018" i="1" s="1"/>
  <c r="N1024" i="1" a="1"/>
  <c r="N1024" i="1" s="1"/>
  <c r="M1024" i="1" a="1"/>
  <c r="M1024" i="1" s="1"/>
  <c r="L1024" i="1" a="1"/>
  <c r="L1024" i="1" s="1"/>
  <c r="N1030" i="1" a="1"/>
  <c r="N1030" i="1" s="1"/>
  <c r="M1030" i="1" a="1"/>
  <c r="M1030" i="1" s="1"/>
  <c r="L1030" i="1" a="1"/>
  <c r="L1030" i="1" s="1"/>
  <c r="N1036" i="1" a="1"/>
  <c r="N1036" i="1" s="1"/>
  <c r="L1036" i="1" a="1"/>
  <c r="L1036" i="1" s="1"/>
  <c r="M1036" i="1" a="1"/>
  <c r="M1036" i="1" s="1"/>
  <c r="N1042" i="1" a="1"/>
  <c r="N1042" i="1" s="1"/>
  <c r="L1042" i="1" a="1"/>
  <c r="L1042" i="1" s="1"/>
  <c r="M1042" i="1" a="1"/>
  <c r="M1042" i="1" s="1"/>
  <c r="N1048" i="1" a="1"/>
  <c r="N1048" i="1" s="1"/>
  <c r="M1048" i="1" a="1"/>
  <c r="M1048" i="1" s="1"/>
  <c r="L1048" i="1" a="1"/>
  <c r="L1048" i="1" s="1"/>
  <c r="N1054" i="1" a="1"/>
  <c r="N1054" i="1" s="1"/>
  <c r="M1054" i="1" a="1"/>
  <c r="M1054" i="1" s="1"/>
  <c r="L1054" i="1" a="1"/>
  <c r="L1054" i="1" s="1"/>
  <c r="N1060" i="1" a="1"/>
  <c r="N1060" i="1" s="1"/>
  <c r="M1060" i="1" a="1"/>
  <c r="M1060" i="1" s="1"/>
  <c r="L1060" i="1" a="1"/>
  <c r="L1060" i="1" s="1"/>
  <c r="N1066" i="1" a="1"/>
  <c r="N1066" i="1" s="1"/>
  <c r="M1066" i="1" a="1"/>
  <c r="M1066" i="1" s="1"/>
  <c r="L1066" i="1" a="1"/>
  <c r="L1066" i="1" s="1"/>
  <c r="N1072" i="1" a="1"/>
  <c r="N1072" i="1" s="1"/>
  <c r="M1072" i="1" a="1"/>
  <c r="M1072" i="1" s="1"/>
  <c r="L1072" i="1" a="1"/>
  <c r="L1072" i="1" s="1"/>
  <c r="L1078" i="1" a="1"/>
  <c r="L1078" i="1" s="1"/>
  <c r="N1078" i="1" a="1"/>
  <c r="N1078" i="1" s="1"/>
  <c r="M1078" i="1" a="1"/>
  <c r="M1078" i="1" s="1"/>
  <c r="N1084" i="1" a="1"/>
  <c r="N1084" i="1" s="1"/>
  <c r="M1084" i="1" a="1"/>
  <c r="M1084" i="1" s="1"/>
  <c r="L1084" i="1" a="1"/>
  <c r="L1084" i="1" s="1"/>
  <c r="N1090" i="1" a="1"/>
  <c r="N1090" i="1" s="1"/>
  <c r="M1090" i="1" a="1"/>
  <c r="M1090" i="1" s="1"/>
  <c r="L1090" i="1" a="1"/>
  <c r="L1090" i="1" s="1"/>
  <c r="N1096" i="1" a="1"/>
  <c r="N1096" i="1" s="1"/>
  <c r="M1096" i="1" a="1"/>
  <c r="M1096" i="1" s="1"/>
  <c r="L1096" i="1" a="1"/>
  <c r="L1096" i="1" s="1"/>
  <c r="N1102" i="1" a="1"/>
  <c r="N1102" i="1" s="1"/>
  <c r="L1102" i="1" a="1"/>
  <c r="L1102" i="1" s="1"/>
  <c r="M1102" i="1" a="1"/>
  <c r="M1102" i="1" s="1"/>
  <c r="N1108" i="1" a="1"/>
  <c r="N1108" i="1" s="1"/>
  <c r="M1108" i="1" a="1"/>
  <c r="M1108" i="1" s="1"/>
  <c r="L1108" i="1" a="1"/>
  <c r="L1108" i="1" s="1"/>
  <c r="N1114" i="1" a="1"/>
  <c r="N1114" i="1" s="1"/>
  <c r="L1114" i="1" a="1"/>
  <c r="L1114" i="1" s="1"/>
  <c r="M1114" i="1" a="1"/>
  <c r="M1114" i="1" s="1"/>
  <c r="M1120" i="1" a="1"/>
  <c r="M1120" i="1" s="1"/>
  <c r="N1120" i="1" a="1"/>
  <c r="N1120" i="1" s="1"/>
  <c r="L1120" i="1" a="1"/>
  <c r="L1120" i="1" s="1"/>
  <c r="N1126" i="1" a="1"/>
  <c r="N1126" i="1" s="1"/>
  <c r="M1126" i="1" a="1"/>
  <c r="M1126" i="1" s="1"/>
  <c r="L1126" i="1" a="1"/>
  <c r="L1126" i="1" s="1"/>
  <c r="N1132" i="1" a="1"/>
  <c r="N1132" i="1" s="1"/>
  <c r="M1132" i="1" a="1"/>
  <c r="M1132" i="1" s="1"/>
  <c r="L1132" i="1" a="1"/>
  <c r="L1132" i="1" s="1"/>
  <c r="M1138" i="1" a="1"/>
  <c r="M1138" i="1" s="1"/>
  <c r="L1138" i="1" a="1"/>
  <c r="L1138" i="1" s="1"/>
  <c r="N1138" i="1" a="1"/>
  <c r="N1138" i="1" s="1"/>
  <c r="M1144" i="1" a="1"/>
  <c r="M1144" i="1" s="1"/>
  <c r="L1144" i="1" a="1"/>
  <c r="L1144" i="1" s="1"/>
  <c r="N1144" i="1" a="1"/>
  <c r="N1144" i="1" s="1"/>
  <c r="N1150" i="1" a="1"/>
  <c r="N1150" i="1" s="1"/>
  <c r="M1150" i="1" a="1"/>
  <c r="M1150" i="1" s="1"/>
  <c r="L1150" i="1" a="1"/>
  <c r="L1150" i="1" s="1"/>
  <c r="N1156" i="1" a="1"/>
  <c r="N1156" i="1" s="1"/>
  <c r="M1156" i="1" a="1"/>
  <c r="M1156" i="1" s="1"/>
  <c r="L1156" i="1" a="1"/>
  <c r="L1156" i="1" s="1"/>
  <c r="N1162" i="1" a="1"/>
  <c r="N1162" i="1" s="1"/>
  <c r="M1162" i="1" a="1"/>
  <c r="M1162" i="1" s="1"/>
  <c r="L1162" i="1" a="1"/>
  <c r="L1162" i="1" s="1"/>
  <c r="N1168" i="1" a="1"/>
  <c r="N1168" i="1" s="1"/>
  <c r="M1168" i="1" a="1"/>
  <c r="M1168" i="1" s="1"/>
  <c r="L1168" i="1" a="1"/>
  <c r="L1168" i="1" s="1"/>
  <c r="N1174" i="1" a="1"/>
  <c r="N1174" i="1" s="1"/>
  <c r="M1174" i="1" a="1"/>
  <c r="M1174" i="1" s="1"/>
  <c r="L1174" i="1" a="1"/>
  <c r="L1174" i="1" s="1"/>
  <c r="M1180" i="1" a="1"/>
  <c r="M1180" i="1" s="1"/>
  <c r="L1180" i="1" a="1"/>
  <c r="L1180" i="1" s="1"/>
  <c r="N1180" i="1" a="1"/>
  <c r="N1180" i="1" s="1"/>
  <c r="N1186" i="1" a="1"/>
  <c r="N1186" i="1" s="1"/>
  <c r="L1186" i="1" a="1"/>
  <c r="L1186" i="1" s="1"/>
  <c r="M1186" i="1" a="1"/>
  <c r="M1186" i="1" s="1"/>
  <c r="N1192" i="1" a="1"/>
  <c r="N1192" i="1" s="1"/>
  <c r="M1192" i="1" a="1"/>
  <c r="M1192" i="1" s="1"/>
  <c r="L1192" i="1" a="1"/>
  <c r="L1192" i="1" s="1"/>
  <c r="N1198" i="1" a="1"/>
  <c r="N1198" i="1" s="1"/>
  <c r="M1198" i="1" a="1"/>
  <c r="M1198" i="1" s="1"/>
  <c r="L1198" i="1" a="1"/>
  <c r="L1198" i="1" s="1"/>
  <c r="M1204" i="1" a="1"/>
  <c r="M1204" i="1" s="1"/>
  <c r="L1204" i="1" a="1"/>
  <c r="L1204" i="1" s="1"/>
  <c r="N1204" i="1" a="1"/>
  <c r="N1204" i="1" s="1"/>
  <c r="N1210" i="1" a="1"/>
  <c r="N1210" i="1" s="1"/>
  <c r="M1210" i="1" a="1"/>
  <c r="M1210" i="1" s="1"/>
  <c r="L1210" i="1" a="1"/>
  <c r="L1210" i="1" s="1"/>
  <c r="N1216" i="1" a="1"/>
  <c r="N1216" i="1" s="1"/>
  <c r="M1216" i="1" a="1"/>
  <c r="M1216" i="1" s="1"/>
  <c r="L1216" i="1" a="1"/>
  <c r="L1216" i="1" s="1"/>
  <c r="N1222" i="1" a="1"/>
  <c r="N1222" i="1" s="1"/>
  <c r="M1222" i="1" a="1"/>
  <c r="M1222" i="1" s="1"/>
  <c r="L1222" i="1" a="1"/>
  <c r="L1222" i="1" s="1"/>
  <c r="N1228" i="1" a="1"/>
  <c r="N1228" i="1" s="1"/>
  <c r="M1228" i="1" a="1"/>
  <c r="M1228" i="1" s="1"/>
  <c r="L1228" i="1" a="1"/>
  <c r="L1228" i="1" s="1"/>
  <c r="M1234" i="1" a="1"/>
  <c r="M1234" i="1" s="1"/>
  <c r="N1234" i="1" a="1"/>
  <c r="N1234" i="1" s="1"/>
  <c r="L1234" i="1" a="1"/>
  <c r="L1234" i="1" s="1"/>
  <c r="N1240" i="1" a="1"/>
  <c r="N1240" i="1" s="1"/>
  <c r="L1240" i="1" a="1"/>
  <c r="L1240" i="1" s="1"/>
  <c r="M1240" i="1" a="1"/>
  <c r="M1240" i="1" s="1"/>
  <c r="N1246" i="1" a="1"/>
  <c r="N1246" i="1" s="1"/>
  <c r="M1246" i="1" a="1"/>
  <c r="M1246" i="1" s="1"/>
  <c r="L1246" i="1" a="1"/>
  <c r="L1246" i="1" s="1"/>
  <c r="N1252" i="1" a="1"/>
  <c r="N1252" i="1" s="1"/>
  <c r="M1252" i="1" a="1"/>
  <c r="M1252" i="1" s="1"/>
  <c r="L1252" i="1" a="1"/>
  <c r="L1252" i="1" s="1"/>
  <c r="M1258" i="1" a="1"/>
  <c r="M1258" i="1" s="1"/>
  <c r="N1258" i="1" a="1"/>
  <c r="N1258" i="1" s="1"/>
  <c r="L1258" i="1" a="1"/>
  <c r="L1258" i="1" s="1"/>
  <c r="N1264" i="1" a="1"/>
  <c r="N1264" i="1" s="1"/>
  <c r="M1264" i="1" a="1"/>
  <c r="M1264" i="1" s="1"/>
  <c r="L1264" i="1" a="1"/>
  <c r="L1264" i="1" s="1"/>
  <c r="N1270" i="1" a="1"/>
  <c r="N1270" i="1" s="1"/>
  <c r="L1270" i="1" a="1"/>
  <c r="L1270" i="1" s="1"/>
  <c r="M1270" i="1" a="1"/>
  <c r="M1270" i="1" s="1"/>
  <c r="M1276" i="1" a="1"/>
  <c r="M1276" i="1" s="1"/>
  <c r="L1276" i="1" a="1"/>
  <c r="L1276" i="1" s="1"/>
  <c r="N1276" i="1" a="1"/>
  <c r="N1276" i="1" s="1"/>
  <c r="N1282" i="1" a="1"/>
  <c r="N1282" i="1" s="1"/>
  <c r="M1282" i="1" a="1"/>
  <c r="M1282" i="1" s="1"/>
  <c r="L1282" i="1" a="1"/>
  <c r="L1282" i="1" s="1"/>
  <c r="N1288" i="1" a="1"/>
  <c r="N1288" i="1" s="1"/>
  <c r="M1288" i="1" a="1"/>
  <c r="M1288" i="1" s="1"/>
  <c r="L1288" i="1" a="1"/>
  <c r="L1288" i="1" s="1"/>
  <c r="N1294" i="1" a="1"/>
  <c r="N1294" i="1" s="1"/>
  <c r="L1294" i="1" a="1"/>
  <c r="L1294" i="1" s="1"/>
  <c r="M1294" i="1" a="1"/>
  <c r="M1294" i="1" s="1"/>
  <c r="N1300" i="1" a="1"/>
  <c r="N1300" i="1" s="1"/>
  <c r="M1300" i="1" a="1"/>
  <c r="M1300" i="1" s="1"/>
  <c r="L1300" i="1" a="1"/>
  <c r="L1300" i="1" s="1"/>
  <c r="N1306" i="1" a="1"/>
  <c r="N1306" i="1" s="1"/>
  <c r="M1306" i="1" a="1"/>
  <c r="M1306" i="1" s="1"/>
  <c r="L1306" i="1" a="1"/>
  <c r="L1306" i="1" s="1"/>
  <c r="N1312" i="1" a="1"/>
  <c r="N1312" i="1" s="1"/>
  <c r="M1312" i="1" a="1"/>
  <c r="M1312" i="1" s="1"/>
  <c r="L1312" i="1" a="1"/>
  <c r="L1312" i="1" s="1"/>
  <c r="N1318" i="1" a="1"/>
  <c r="N1318" i="1" s="1"/>
  <c r="L1318" i="1" a="1"/>
  <c r="L1318" i="1" s="1"/>
  <c r="M1318" i="1" a="1"/>
  <c r="M1318" i="1" s="1"/>
  <c r="N1324" i="1" a="1"/>
  <c r="N1324" i="1" s="1"/>
  <c r="L1324" i="1" a="1"/>
  <c r="L1324" i="1" s="1"/>
  <c r="M1324" i="1" a="1"/>
  <c r="M1324" i="1" s="1"/>
  <c r="M1330" i="1" a="1"/>
  <c r="M1330" i="1" s="1"/>
  <c r="N1330" i="1" a="1"/>
  <c r="N1330" i="1" s="1"/>
  <c r="L1330" i="1" a="1"/>
  <c r="L1330" i="1" s="1"/>
  <c r="N1336" i="1" a="1"/>
  <c r="N1336" i="1" s="1"/>
  <c r="M1336" i="1" a="1"/>
  <c r="M1336" i="1" s="1"/>
  <c r="L1336" i="1" a="1"/>
  <c r="L1336" i="1" s="1"/>
  <c r="N1342" i="1" a="1"/>
  <c r="N1342" i="1" s="1"/>
  <c r="M1342" i="1" a="1"/>
  <c r="M1342" i="1" s="1"/>
  <c r="L1342" i="1" a="1"/>
  <c r="L1342" i="1" s="1"/>
  <c r="M1348" i="1" a="1"/>
  <c r="M1348" i="1" s="1"/>
  <c r="L1348" i="1" a="1"/>
  <c r="L1348" i="1" s="1"/>
  <c r="N1348" i="1" a="1"/>
  <c r="N1348" i="1" s="1"/>
  <c r="N1354" i="1" a="1"/>
  <c r="N1354" i="1" s="1"/>
  <c r="M1354" i="1" a="1"/>
  <c r="M1354" i="1" s="1"/>
  <c r="L1354" i="1" a="1"/>
  <c r="L1354" i="1" s="1"/>
  <c r="M1360" i="1" a="1"/>
  <c r="M1360" i="1" s="1"/>
  <c r="N1360" i="1" a="1"/>
  <c r="N1360" i="1" s="1"/>
  <c r="L1360" i="1" a="1"/>
  <c r="L1360" i="1" s="1"/>
  <c r="N1366" i="1" a="1"/>
  <c r="N1366" i="1" s="1"/>
  <c r="M1366" i="1" a="1"/>
  <c r="M1366" i="1" s="1"/>
  <c r="L1366" i="1" a="1"/>
  <c r="L1366" i="1" s="1"/>
  <c r="N1372" i="1" a="1"/>
  <c r="N1372" i="1" s="1"/>
  <c r="M1372" i="1" a="1"/>
  <c r="M1372" i="1" s="1"/>
  <c r="L1372" i="1" a="1"/>
  <c r="L1372" i="1" s="1"/>
  <c r="N1378" i="1" a="1"/>
  <c r="N1378" i="1" s="1"/>
  <c r="M1378" i="1" a="1"/>
  <c r="M1378" i="1" s="1"/>
  <c r="L1378" i="1" a="1"/>
  <c r="L1378" i="1" s="1"/>
  <c r="L1384" i="1" a="1"/>
  <c r="L1384" i="1" s="1"/>
  <c r="N1384" i="1" a="1"/>
  <c r="N1384" i="1" s="1"/>
  <c r="M1384" i="1" a="1"/>
  <c r="M1384" i="1" s="1"/>
  <c r="N1390" i="1" a="1"/>
  <c r="N1390" i="1" s="1"/>
  <c r="M1390" i="1" a="1"/>
  <c r="M1390" i="1" s="1"/>
  <c r="L1390" i="1" a="1"/>
  <c r="L1390" i="1" s="1"/>
  <c r="N1396" i="1" a="1"/>
  <c r="N1396" i="1" s="1"/>
  <c r="L1396" i="1" a="1"/>
  <c r="L1396" i="1" s="1"/>
  <c r="M1396" i="1" a="1"/>
  <c r="M1396" i="1" s="1"/>
  <c r="N1402" i="1" a="1"/>
  <c r="N1402" i="1" s="1"/>
  <c r="M1402" i="1" a="1"/>
  <c r="M1402" i="1" s="1"/>
  <c r="L1402" i="1" a="1"/>
  <c r="L1402" i="1" s="1"/>
  <c r="N1408" i="1" a="1"/>
  <c r="N1408" i="1" s="1"/>
  <c r="M1408" i="1" a="1"/>
  <c r="M1408" i="1" s="1"/>
  <c r="L1408" i="1" a="1"/>
  <c r="L1408" i="1" s="1"/>
  <c r="M1414" i="1" a="1"/>
  <c r="M1414" i="1" s="1"/>
  <c r="N1414" i="1" a="1"/>
  <c r="N1414" i="1" s="1"/>
  <c r="L1414" i="1" a="1"/>
  <c r="L1414" i="1" s="1"/>
  <c r="N1420" i="1" a="1"/>
  <c r="N1420" i="1" s="1"/>
  <c r="M1420" i="1" a="1"/>
  <c r="M1420" i="1" s="1"/>
  <c r="L1420" i="1" a="1"/>
  <c r="L1420" i="1" s="1"/>
  <c r="M1426" i="1" a="1"/>
  <c r="M1426" i="1" s="1"/>
  <c r="N1426" i="1" a="1"/>
  <c r="N1426" i="1" s="1"/>
  <c r="L1426" i="1" a="1"/>
  <c r="L1426" i="1" s="1"/>
  <c r="N1432" i="1" a="1"/>
  <c r="N1432" i="1" s="1"/>
  <c r="M1432" i="1" a="1"/>
  <c r="M1432" i="1" s="1"/>
  <c r="L1432" i="1" a="1"/>
  <c r="L1432" i="1" s="1"/>
  <c r="N1438" i="1" a="1"/>
  <c r="N1438" i="1" s="1"/>
  <c r="M1438" i="1" a="1"/>
  <c r="M1438" i="1" s="1"/>
  <c r="L1438" i="1" a="1"/>
  <c r="L1438" i="1" s="1"/>
  <c r="N5" i="1" a="1"/>
  <c r="N5" i="1" s="1"/>
  <c r="M5" i="1" a="1"/>
  <c r="M5" i="1" s="1"/>
  <c r="L5" i="1" a="1"/>
  <c r="L5" i="1" s="1"/>
  <c r="M11" i="1" a="1"/>
  <c r="M11" i="1" s="1"/>
  <c r="N11" i="1" a="1"/>
  <c r="N11" i="1" s="1"/>
  <c r="L11" i="1" a="1"/>
  <c r="L11" i="1" s="1"/>
  <c r="N17" i="1" a="1"/>
  <c r="N17" i="1" s="1"/>
  <c r="M17" i="1" a="1"/>
  <c r="M17" i="1" s="1"/>
  <c r="L17" i="1" a="1"/>
  <c r="L17" i="1" s="1"/>
  <c r="N23" i="1" a="1"/>
  <c r="N23" i="1" s="1"/>
  <c r="M23" i="1" a="1"/>
  <c r="M23" i="1" s="1"/>
  <c r="L23" i="1" a="1"/>
  <c r="L23" i="1" s="1"/>
  <c r="N29" i="1" a="1"/>
  <c r="N29" i="1" s="1"/>
  <c r="M29" i="1" a="1"/>
  <c r="M29" i="1" s="1"/>
  <c r="L29" i="1" a="1"/>
  <c r="L29" i="1" s="1"/>
  <c r="M35" i="1" a="1"/>
  <c r="M35" i="1" s="1"/>
  <c r="N35" i="1" a="1"/>
  <c r="N35" i="1" s="1"/>
  <c r="L35" i="1" a="1"/>
  <c r="L35" i="1" s="1"/>
  <c r="N41" i="1" a="1"/>
  <c r="N41" i="1" s="1"/>
  <c r="M41" i="1" a="1"/>
  <c r="M41" i="1" s="1"/>
  <c r="L41" i="1" a="1"/>
  <c r="L41" i="1" s="1"/>
  <c r="M47" i="1" a="1"/>
  <c r="M47" i="1" s="1"/>
  <c r="N47" i="1" a="1"/>
  <c r="N47" i="1" s="1"/>
  <c r="L47" i="1" a="1"/>
  <c r="L47" i="1" s="1"/>
  <c r="N53" i="1" a="1"/>
  <c r="N53" i="1" s="1"/>
  <c r="L53" i="1" a="1"/>
  <c r="L53" i="1" s="1"/>
  <c r="M53" i="1" a="1"/>
  <c r="M53" i="1" s="1"/>
  <c r="N59" i="1" a="1"/>
  <c r="N59" i="1" s="1"/>
  <c r="M59" i="1" a="1"/>
  <c r="M59" i="1" s="1"/>
  <c r="L59" i="1" a="1"/>
  <c r="L59" i="1" s="1"/>
  <c r="N65" i="1" a="1"/>
  <c r="N65" i="1" s="1"/>
  <c r="M65" i="1" a="1"/>
  <c r="M65" i="1" s="1"/>
  <c r="L65" i="1" a="1"/>
  <c r="L65" i="1" s="1"/>
  <c r="M71" i="1" a="1"/>
  <c r="M71" i="1" s="1"/>
  <c r="N71" i="1" a="1"/>
  <c r="N71" i="1" s="1"/>
  <c r="L71" i="1" a="1"/>
  <c r="L71" i="1" s="1"/>
  <c r="N77" i="1" a="1"/>
  <c r="N77" i="1" s="1"/>
  <c r="M77" i="1" a="1"/>
  <c r="M77" i="1" s="1"/>
  <c r="L77" i="1" a="1"/>
  <c r="L77" i="1" s="1"/>
  <c r="M83" i="1" a="1"/>
  <c r="M83" i="1" s="1"/>
  <c r="L83" i="1" a="1"/>
  <c r="L83" i="1" s="1"/>
  <c r="N83" i="1" a="1"/>
  <c r="N83" i="1" s="1"/>
  <c r="N89" i="1" a="1"/>
  <c r="N89" i="1" s="1"/>
  <c r="M89" i="1" a="1"/>
  <c r="M89" i="1" s="1"/>
  <c r="L89" i="1" a="1"/>
  <c r="L89" i="1" s="1"/>
  <c r="N95" i="1" a="1"/>
  <c r="N95" i="1" s="1"/>
  <c r="M95" i="1" a="1"/>
  <c r="M95" i="1" s="1"/>
  <c r="L95" i="1" a="1"/>
  <c r="L95" i="1" s="1"/>
  <c r="N101" i="1" a="1"/>
  <c r="N101" i="1" s="1"/>
  <c r="M101" i="1" a="1"/>
  <c r="M101" i="1" s="1"/>
  <c r="L101" i="1" a="1"/>
  <c r="L101" i="1" s="1"/>
  <c r="M107" i="1" a="1"/>
  <c r="M107" i="1" s="1"/>
  <c r="N107" i="1" a="1"/>
  <c r="N107" i="1" s="1"/>
  <c r="L107" i="1" a="1"/>
  <c r="L107" i="1" s="1"/>
  <c r="N113" i="1" a="1"/>
  <c r="N113" i="1" s="1"/>
  <c r="M113" i="1" a="1"/>
  <c r="M113" i="1" s="1"/>
  <c r="L113" i="1" a="1"/>
  <c r="L113" i="1" s="1"/>
  <c r="M119" i="1" a="1"/>
  <c r="M119" i="1" s="1"/>
  <c r="N119" i="1" a="1"/>
  <c r="N119" i="1" s="1"/>
  <c r="L119" i="1" a="1"/>
  <c r="L119" i="1" s="1"/>
  <c r="N125" i="1" a="1"/>
  <c r="N125" i="1" s="1"/>
  <c r="M125" i="1" a="1"/>
  <c r="M125" i="1" s="1"/>
  <c r="L125" i="1" a="1"/>
  <c r="L125" i="1" s="1"/>
  <c r="N131" i="1" a="1"/>
  <c r="N131" i="1" s="1"/>
  <c r="M131" i="1" a="1"/>
  <c r="M131" i="1" s="1"/>
  <c r="L131" i="1" a="1"/>
  <c r="L131" i="1" s="1"/>
  <c r="N137" i="1" a="1"/>
  <c r="N137" i="1" s="1"/>
  <c r="M137" i="1" a="1"/>
  <c r="M137" i="1" s="1"/>
  <c r="L137" i="1" a="1"/>
  <c r="L137" i="1" s="1"/>
  <c r="M143" i="1" a="1"/>
  <c r="M143" i="1" s="1"/>
  <c r="N143" i="1" a="1"/>
  <c r="N143" i="1" s="1"/>
  <c r="L143" i="1" a="1"/>
  <c r="L143" i="1" s="1"/>
  <c r="N149" i="1" a="1"/>
  <c r="N149" i="1" s="1"/>
  <c r="M149" i="1" a="1"/>
  <c r="M149" i="1" s="1"/>
  <c r="L149" i="1" a="1"/>
  <c r="L149" i="1" s="1"/>
  <c r="M155" i="1" a="1"/>
  <c r="M155" i="1" s="1"/>
  <c r="N155" i="1" a="1"/>
  <c r="N155" i="1" s="1"/>
  <c r="L155" i="1" a="1"/>
  <c r="L155" i="1" s="1"/>
  <c r="N161" i="1" a="1"/>
  <c r="N161" i="1" s="1"/>
  <c r="M161" i="1" a="1"/>
  <c r="M161" i="1" s="1"/>
  <c r="L161" i="1" a="1"/>
  <c r="L161" i="1" s="1"/>
  <c r="N167" i="1" a="1"/>
  <c r="N167" i="1" s="1"/>
  <c r="M167" i="1" a="1"/>
  <c r="M167" i="1" s="1"/>
  <c r="L167" i="1" a="1"/>
  <c r="L167" i="1" s="1"/>
  <c r="N173" i="1" a="1"/>
  <c r="N173" i="1" s="1"/>
  <c r="M173" i="1" a="1"/>
  <c r="M173" i="1" s="1"/>
  <c r="L173" i="1" a="1"/>
  <c r="L173" i="1" s="1"/>
  <c r="M179" i="1" a="1"/>
  <c r="M179" i="1" s="1"/>
  <c r="L179" i="1" a="1"/>
  <c r="L179" i="1" s="1"/>
  <c r="N179" i="1" a="1"/>
  <c r="N179" i="1" s="1"/>
  <c r="N185" i="1" a="1"/>
  <c r="N185" i="1" s="1"/>
  <c r="M185" i="1" a="1"/>
  <c r="M185" i="1" s="1"/>
  <c r="L185" i="1" a="1"/>
  <c r="L185" i="1" s="1"/>
  <c r="M191" i="1" a="1"/>
  <c r="M191" i="1" s="1"/>
  <c r="N191" i="1" a="1"/>
  <c r="N191" i="1" s="1"/>
  <c r="L191" i="1" a="1"/>
  <c r="L191" i="1" s="1"/>
  <c r="N197" i="1" a="1"/>
  <c r="N197" i="1" s="1"/>
  <c r="M197" i="1" a="1"/>
  <c r="M197" i="1" s="1"/>
  <c r="L197" i="1" a="1"/>
  <c r="L197" i="1" s="1"/>
  <c r="N203" i="1" a="1"/>
  <c r="N203" i="1" s="1"/>
  <c r="M203" i="1" a="1"/>
  <c r="M203" i="1" s="1"/>
  <c r="L203" i="1" a="1"/>
  <c r="L203" i="1" s="1"/>
  <c r="N209" i="1" a="1"/>
  <c r="N209" i="1" s="1"/>
  <c r="M209" i="1" a="1"/>
  <c r="M209" i="1" s="1"/>
  <c r="L209" i="1" a="1"/>
  <c r="L209" i="1" s="1"/>
  <c r="M215" i="1" a="1"/>
  <c r="M215" i="1" s="1"/>
  <c r="N215" i="1" a="1"/>
  <c r="N215" i="1" s="1"/>
  <c r="L215" i="1" a="1"/>
  <c r="L215" i="1" s="1"/>
  <c r="N221" i="1" a="1"/>
  <c r="N221" i="1" s="1"/>
  <c r="M221" i="1" a="1"/>
  <c r="M221" i="1" s="1"/>
  <c r="L221" i="1" a="1"/>
  <c r="L221" i="1" s="1"/>
  <c r="M227" i="1" a="1"/>
  <c r="M227" i="1" s="1"/>
  <c r="N227" i="1" a="1"/>
  <c r="N227" i="1" s="1"/>
  <c r="L227" i="1" a="1"/>
  <c r="L227" i="1" s="1"/>
  <c r="N233" i="1" a="1"/>
  <c r="N233" i="1" s="1"/>
  <c r="M233" i="1" a="1"/>
  <c r="M233" i="1" s="1"/>
  <c r="L233" i="1" a="1"/>
  <c r="L233" i="1" s="1"/>
  <c r="N239" i="1" a="1"/>
  <c r="N239" i="1" s="1"/>
  <c r="M239" i="1" a="1"/>
  <c r="M239" i="1" s="1"/>
  <c r="L239" i="1" a="1"/>
  <c r="L239" i="1" s="1"/>
  <c r="N245" i="1" a="1"/>
  <c r="N245" i="1" s="1"/>
  <c r="L245" i="1" a="1"/>
  <c r="L245" i="1" s="1"/>
  <c r="M245" i="1" a="1"/>
  <c r="M245" i="1" s="1"/>
  <c r="M251" i="1" a="1"/>
  <c r="M251" i="1" s="1"/>
  <c r="L251" i="1" a="1"/>
  <c r="L251" i="1" s="1"/>
  <c r="N251" i="1" a="1"/>
  <c r="N251" i="1" s="1"/>
  <c r="N257" i="1" a="1"/>
  <c r="N257" i="1" s="1"/>
  <c r="M257" i="1" a="1"/>
  <c r="M257" i="1" s="1"/>
  <c r="L257" i="1" a="1"/>
  <c r="L257" i="1" s="1"/>
  <c r="M263" i="1" a="1"/>
  <c r="M263" i="1" s="1"/>
  <c r="L263" i="1" a="1"/>
  <c r="L263" i="1" s="1"/>
  <c r="N263" i="1" a="1"/>
  <c r="N263" i="1" s="1"/>
  <c r="N269" i="1" a="1"/>
  <c r="N269" i="1" s="1"/>
  <c r="M269" i="1" a="1"/>
  <c r="M269" i="1" s="1"/>
  <c r="L269" i="1" a="1"/>
  <c r="L269" i="1" s="1"/>
  <c r="N275" i="1" a="1"/>
  <c r="N275" i="1" s="1"/>
  <c r="M275" i="1" a="1"/>
  <c r="M275" i="1" s="1"/>
  <c r="L275" i="1" a="1"/>
  <c r="L275" i="1" s="1"/>
  <c r="N281" i="1" a="1"/>
  <c r="N281" i="1" s="1"/>
  <c r="M281" i="1" a="1"/>
  <c r="M281" i="1" s="1"/>
  <c r="L281" i="1" a="1"/>
  <c r="L281" i="1" s="1"/>
  <c r="M287" i="1" a="1"/>
  <c r="M287" i="1" s="1"/>
  <c r="N287" i="1" a="1"/>
  <c r="N287" i="1" s="1"/>
  <c r="L287" i="1" a="1"/>
  <c r="L287" i="1" s="1"/>
  <c r="N293" i="1" a="1"/>
  <c r="N293" i="1" s="1"/>
  <c r="M293" i="1" a="1"/>
  <c r="M293" i="1" s="1"/>
  <c r="L293" i="1" a="1"/>
  <c r="L293" i="1" s="1"/>
  <c r="M299" i="1" a="1"/>
  <c r="M299" i="1" s="1"/>
  <c r="N299" i="1" a="1"/>
  <c r="N299" i="1" s="1"/>
  <c r="L299" i="1" a="1"/>
  <c r="L299" i="1" s="1"/>
  <c r="M305" i="1" a="1"/>
  <c r="M305" i="1" s="1"/>
  <c r="N305" i="1" a="1"/>
  <c r="N305" i="1" s="1"/>
  <c r="L305" i="1" a="1"/>
  <c r="L305" i="1" s="1"/>
  <c r="M311" i="1" a="1"/>
  <c r="M311" i="1" s="1"/>
  <c r="N311" i="1" a="1"/>
  <c r="N311" i="1" s="1"/>
  <c r="L311" i="1" a="1"/>
  <c r="L311" i="1" s="1"/>
  <c r="N317" i="1" a="1"/>
  <c r="N317" i="1" s="1"/>
  <c r="M317" i="1" a="1"/>
  <c r="M317" i="1" s="1"/>
  <c r="L317" i="1" a="1"/>
  <c r="L317" i="1" s="1"/>
  <c r="M323" i="1" a="1"/>
  <c r="M323" i="1" s="1"/>
  <c r="L323" i="1" a="1"/>
  <c r="L323" i="1" s="1"/>
  <c r="N323" i="1" a="1"/>
  <c r="N323" i="1" s="1"/>
  <c r="N329" i="1" a="1"/>
  <c r="N329" i="1" s="1"/>
  <c r="M329" i="1" a="1"/>
  <c r="M329" i="1" s="1"/>
  <c r="L329" i="1" a="1"/>
  <c r="L329" i="1" s="1"/>
  <c r="N335" i="1" a="1"/>
  <c r="N335" i="1" s="1"/>
  <c r="M335" i="1" a="1"/>
  <c r="M335" i="1" s="1"/>
  <c r="L335" i="1" a="1"/>
  <c r="L335" i="1" s="1"/>
  <c r="M341" i="1" a="1"/>
  <c r="M341" i="1" s="1"/>
  <c r="N341" i="1" a="1"/>
  <c r="N341" i="1" s="1"/>
  <c r="L341" i="1" a="1"/>
  <c r="L341" i="1" s="1"/>
  <c r="M347" i="1" a="1"/>
  <c r="M347" i="1" s="1"/>
  <c r="N347" i="1" a="1"/>
  <c r="N347" i="1" s="1"/>
  <c r="L347" i="1" a="1"/>
  <c r="L347" i="1" s="1"/>
  <c r="N353" i="1" a="1"/>
  <c r="N353" i="1" s="1"/>
  <c r="L353" i="1" a="1"/>
  <c r="L353" i="1" s="1"/>
  <c r="M353" i="1" a="1"/>
  <c r="M353" i="1" s="1"/>
  <c r="M359" i="1" a="1"/>
  <c r="M359" i="1" s="1"/>
  <c r="N359" i="1" a="1"/>
  <c r="N359" i="1" s="1"/>
  <c r="L359" i="1" a="1"/>
  <c r="L359" i="1" s="1"/>
  <c r="N365" i="1" a="1"/>
  <c r="N365" i="1" s="1"/>
  <c r="M365" i="1" a="1"/>
  <c r="M365" i="1" s="1"/>
  <c r="L365" i="1" a="1"/>
  <c r="L365" i="1" s="1"/>
  <c r="M371" i="1" a="1"/>
  <c r="M371" i="1" s="1"/>
  <c r="N371" i="1" a="1"/>
  <c r="N371" i="1" s="1"/>
  <c r="L371" i="1" a="1"/>
  <c r="L371" i="1" s="1"/>
  <c r="M377" i="1" a="1"/>
  <c r="M377" i="1" s="1"/>
  <c r="L377" i="1" a="1"/>
  <c r="L377" i="1" s="1"/>
  <c r="N377" i="1" a="1"/>
  <c r="N377" i="1" s="1"/>
  <c r="N383" i="1" a="1"/>
  <c r="N383" i="1" s="1"/>
  <c r="M383" i="1" a="1"/>
  <c r="M383" i="1" s="1"/>
  <c r="L383" i="1" a="1"/>
  <c r="L383" i="1" s="1"/>
  <c r="N389" i="1" a="1"/>
  <c r="N389" i="1" s="1"/>
  <c r="M389" i="1" a="1"/>
  <c r="M389" i="1" s="1"/>
  <c r="L389" i="1" a="1"/>
  <c r="L389" i="1" s="1"/>
  <c r="M395" i="1" a="1"/>
  <c r="M395" i="1" s="1"/>
  <c r="N395" i="1" a="1"/>
  <c r="N395" i="1" s="1"/>
  <c r="L395" i="1" a="1"/>
  <c r="L395" i="1" s="1"/>
  <c r="N401" i="1" a="1"/>
  <c r="N401" i="1" s="1"/>
  <c r="M401" i="1" a="1"/>
  <c r="M401" i="1" s="1"/>
  <c r="L401" i="1" a="1"/>
  <c r="L401" i="1" s="1"/>
  <c r="M407" i="1" a="1"/>
  <c r="M407" i="1" s="1"/>
  <c r="L407" i="1" a="1"/>
  <c r="L407" i="1" s="1"/>
  <c r="N407" i="1" a="1"/>
  <c r="N407" i="1" s="1"/>
  <c r="N413" i="1" a="1"/>
  <c r="N413" i="1" s="1"/>
  <c r="M413" i="1" a="1"/>
  <c r="M413" i="1" s="1"/>
  <c r="L413" i="1" a="1"/>
  <c r="L413" i="1" s="1"/>
  <c r="M419" i="1" a="1"/>
  <c r="M419" i="1" s="1"/>
  <c r="N419" i="1" a="1"/>
  <c r="N419" i="1" s="1"/>
  <c r="L419" i="1" a="1"/>
  <c r="L419" i="1" s="1"/>
  <c r="M425" i="1" a="1"/>
  <c r="M425" i="1" s="1"/>
  <c r="L425" i="1" a="1"/>
  <c r="L425" i="1" s="1"/>
  <c r="N425" i="1" a="1"/>
  <c r="N425" i="1" s="1"/>
  <c r="N431" i="1" a="1"/>
  <c r="N431" i="1" s="1"/>
  <c r="M431" i="1" a="1"/>
  <c r="M431" i="1" s="1"/>
  <c r="L431" i="1" a="1"/>
  <c r="L431" i="1" s="1"/>
  <c r="N437" i="1" a="1"/>
  <c r="N437" i="1" s="1"/>
  <c r="L437" i="1" a="1"/>
  <c r="L437" i="1" s="1"/>
  <c r="M437" i="1" a="1"/>
  <c r="M437" i="1" s="1"/>
  <c r="N443" i="1" a="1"/>
  <c r="N443" i="1" s="1"/>
  <c r="M443" i="1" a="1"/>
  <c r="M443" i="1" s="1"/>
  <c r="L443" i="1" a="1"/>
  <c r="L443" i="1" s="1"/>
  <c r="N449" i="1" a="1"/>
  <c r="N449" i="1" s="1"/>
  <c r="M449" i="1" a="1"/>
  <c r="M449" i="1" s="1"/>
  <c r="L449" i="1" a="1"/>
  <c r="L449" i="1" s="1"/>
  <c r="N455" i="1" a="1"/>
  <c r="N455" i="1" s="1"/>
  <c r="M455" i="1" a="1"/>
  <c r="M455" i="1" s="1"/>
  <c r="L455" i="1" a="1"/>
  <c r="L455" i="1" s="1"/>
  <c r="N461" i="1" a="1"/>
  <c r="N461" i="1" s="1"/>
  <c r="M461" i="1" a="1"/>
  <c r="M461" i="1" s="1"/>
  <c r="L461" i="1" a="1"/>
  <c r="L461" i="1" s="1"/>
  <c r="M467" i="1" a="1"/>
  <c r="M467" i="1" s="1"/>
  <c r="L467" i="1" a="1"/>
  <c r="L467" i="1" s="1"/>
  <c r="N467" i="1" a="1"/>
  <c r="N467" i="1" s="1"/>
  <c r="N473" i="1" a="1"/>
  <c r="N473" i="1" s="1"/>
  <c r="M473" i="1" a="1"/>
  <c r="M473" i="1" s="1"/>
  <c r="L473" i="1" a="1"/>
  <c r="L473" i="1" s="1"/>
  <c r="N479" i="1" a="1"/>
  <c r="N479" i="1" s="1"/>
  <c r="M479" i="1" a="1"/>
  <c r="M479" i="1" s="1"/>
  <c r="L479" i="1" a="1"/>
  <c r="L479" i="1" s="1"/>
  <c r="N485" i="1" a="1"/>
  <c r="N485" i="1" s="1"/>
  <c r="M485" i="1" a="1"/>
  <c r="M485" i="1" s="1"/>
  <c r="L485" i="1" a="1"/>
  <c r="L485" i="1" s="1"/>
  <c r="M491" i="1" a="1"/>
  <c r="M491" i="1" s="1"/>
  <c r="N491" i="1" a="1"/>
  <c r="N491" i="1" s="1"/>
  <c r="L491" i="1" a="1"/>
  <c r="L491" i="1" s="1"/>
  <c r="N497" i="1" a="1"/>
  <c r="N497" i="1" s="1"/>
  <c r="M497" i="1" a="1"/>
  <c r="M497" i="1" s="1"/>
  <c r="L497" i="1" a="1"/>
  <c r="L497" i="1" s="1"/>
  <c r="M503" i="1" a="1"/>
  <c r="M503" i="1" s="1"/>
  <c r="N503" i="1" a="1"/>
  <c r="N503" i="1" s="1"/>
  <c r="L503" i="1" a="1"/>
  <c r="L503" i="1" s="1"/>
  <c r="N509" i="1" a="1"/>
  <c r="N509" i="1" s="1"/>
  <c r="L509" i="1" a="1"/>
  <c r="L509" i="1" s="1"/>
  <c r="M509" i="1" a="1"/>
  <c r="M509" i="1" s="1"/>
  <c r="N515" i="1" a="1"/>
  <c r="N515" i="1" s="1"/>
  <c r="M515" i="1" a="1"/>
  <c r="M515" i="1" s="1"/>
  <c r="L515" i="1" a="1"/>
  <c r="L515" i="1" s="1"/>
  <c r="N521" i="1" a="1"/>
  <c r="N521" i="1" s="1"/>
  <c r="L521" i="1" a="1"/>
  <c r="L521" i="1" s="1"/>
  <c r="M521" i="1" a="1"/>
  <c r="M521" i="1" s="1"/>
  <c r="N527" i="1" a="1"/>
  <c r="N527" i="1" s="1"/>
  <c r="M527" i="1" a="1"/>
  <c r="M527" i="1" s="1"/>
  <c r="L527" i="1" a="1"/>
  <c r="L527" i="1" s="1"/>
  <c r="M533" i="1" a="1"/>
  <c r="M533" i="1" s="1"/>
  <c r="N533" i="1" a="1"/>
  <c r="N533" i="1" s="1"/>
  <c r="L533" i="1" a="1"/>
  <c r="L533" i="1" s="1"/>
  <c r="N539" i="1" a="1"/>
  <c r="N539" i="1" s="1"/>
  <c r="M539" i="1" a="1"/>
  <c r="M539" i="1" s="1"/>
  <c r="L539" i="1" a="1"/>
  <c r="L539" i="1" s="1"/>
  <c r="L545" i="1" a="1"/>
  <c r="L545" i="1" s="1"/>
  <c r="N545" i="1" a="1"/>
  <c r="N545" i="1" s="1"/>
  <c r="M545" i="1" a="1"/>
  <c r="M545" i="1" s="1"/>
  <c r="N551" i="1" a="1"/>
  <c r="N551" i="1" s="1"/>
  <c r="M551" i="1" a="1"/>
  <c r="M551" i="1" s="1"/>
  <c r="L551" i="1" a="1"/>
  <c r="L551" i="1" s="1"/>
  <c r="M557" i="1" a="1"/>
  <c r="M557" i="1" s="1"/>
  <c r="N557" i="1" a="1"/>
  <c r="N557" i="1" s="1"/>
  <c r="L557" i="1" a="1"/>
  <c r="L557" i="1" s="1"/>
  <c r="N563" i="1" a="1"/>
  <c r="N563" i="1" s="1"/>
  <c r="L563" i="1" a="1"/>
  <c r="L563" i="1" s="1"/>
  <c r="M563" i="1" a="1"/>
  <c r="M563" i="1" s="1"/>
  <c r="N569" i="1" a="1"/>
  <c r="N569" i="1" s="1"/>
  <c r="M569" i="1" a="1"/>
  <c r="M569" i="1" s="1"/>
  <c r="L569" i="1" a="1"/>
  <c r="L569" i="1" s="1"/>
  <c r="N575" i="1" a="1"/>
  <c r="N575" i="1" s="1"/>
  <c r="L575" i="1" a="1"/>
  <c r="L575" i="1" s="1"/>
  <c r="M575" i="1" a="1"/>
  <c r="M575" i="1" s="1"/>
  <c r="N581" i="1" a="1"/>
  <c r="N581" i="1" s="1"/>
  <c r="M581" i="1" a="1"/>
  <c r="M581" i="1" s="1"/>
  <c r="L581" i="1" a="1"/>
  <c r="L581" i="1" s="1"/>
  <c r="N587" i="1" a="1"/>
  <c r="N587" i="1" s="1"/>
  <c r="M587" i="1" a="1"/>
  <c r="M587" i="1" s="1"/>
  <c r="L587" i="1" a="1"/>
  <c r="L587" i="1" s="1"/>
  <c r="N593" i="1" a="1"/>
  <c r="N593" i="1" s="1"/>
  <c r="M593" i="1" a="1"/>
  <c r="M593" i="1" s="1"/>
  <c r="L593" i="1" a="1"/>
  <c r="L593" i="1" s="1"/>
  <c r="N599" i="1" a="1"/>
  <c r="N599" i="1" s="1"/>
  <c r="M599" i="1" a="1"/>
  <c r="M599" i="1" s="1"/>
  <c r="L599" i="1" a="1"/>
  <c r="L599" i="1" s="1"/>
  <c r="L605" i="1" a="1"/>
  <c r="L605" i="1" s="1"/>
  <c r="N605" i="1" a="1"/>
  <c r="N605" i="1" s="1"/>
  <c r="M605" i="1" a="1"/>
  <c r="M605" i="1" s="1"/>
  <c r="N611" i="1" a="1"/>
  <c r="N611" i="1" s="1"/>
  <c r="M611" i="1" a="1"/>
  <c r="M611" i="1" s="1"/>
  <c r="L611" i="1" a="1"/>
  <c r="L611" i="1" s="1"/>
  <c r="L617" i="1" a="1"/>
  <c r="L617" i="1" s="1"/>
  <c r="N617" i="1" a="1"/>
  <c r="N617" i="1" s="1"/>
  <c r="M617" i="1" a="1"/>
  <c r="M617" i="1" s="1"/>
  <c r="N623" i="1" a="1"/>
  <c r="N623" i="1" s="1"/>
  <c r="M623" i="1" a="1"/>
  <c r="M623" i="1" s="1"/>
  <c r="L623" i="1" a="1"/>
  <c r="L623" i="1" s="1"/>
  <c r="N629" i="1" a="1"/>
  <c r="N629" i="1" s="1"/>
  <c r="M629" i="1" a="1"/>
  <c r="M629" i="1" s="1"/>
  <c r="L629" i="1" a="1"/>
  <c r="L629" i="1" s="1"/>
  <c r="N635" i="1" a="1"/>
  <c r="N635" i="1" s="1"/>
  <c r="M635" i="1" a="1"/>
  <c r="M635" i="1" s="1"/>
  <c r="L635" i="1" a="1"/>
  <c r="L635" i="1" s="1"/>
  <c r="N641" i="1" a="1"/>
  <c r="N641" i="1" s="1"/>
  <c r="L641" i="1" a="1"/>
  <c r="L641" i="1" s="1"/>
  <c r="M641" i="1" a="1"/>
  <c r="M641" i="1" s="1"/>
  <c r="N647" i="1" a="1"/>
  <c r="N647" i="1" s="1"/>
  <c r="M647" i="1" a="1"/>
  <c r="M647" i="1" s="1"/>
  <c r="L647" i="1" a="1"/>
  <c r="L647" i="1" s="1"/>
  <c r="M653" i="1" a="1"/>
  <c r="M653" i="1" s="1"/>
  <c r="N653" i="1" a="1"/>
  <c r="N653" i="1" s="1"/>
  <c r="L653" i="1" a="1"/>
  <c r="L653" i="1" s="1"/>
  <c r="N659" i="1" a="1"/>
  <c r="N659" i="1" s="1"/>
  <c r="M659" i="1" a="1"/>
  <c r="M659" i="1" s="1"/>
  <c r="L659" i="1" a="1"/>
  <c r="L659" i="1" s="1"/>
  <c r="N665" i="1" a="1"/>
  <c r="N665" i="1" s="1"/>
  <c r="L665" i="1" a="1"/>
  <c r="L665" i="1" s="1"/>
  <c r="M665" i="1" a="1"/>
  <c r="M665" i="1" s="1"/>
  <c r="N671" i="1" a="1"/>
  <c r="N671" i="1" s="1"/>
  <c r="M671" i="1" a="1"/>
  <c r="M671" i="1" s="1"/>
  <c r="L671" i="1" a="1"/>
  <c r="L671" i="1" s="1"/>
  <c r="M677" i="1" a="1"/>
  <c r="M677" i="1" s="1"/>
  <c r="N677" i="1" a="1"/>
  <c r="N677" i="1" s="1"/>
  <c r="L677" i="1" a="1"/>
  <c r="L677" i="1" s="1"/>
  <c r="N683" i="1" a="1"/>
  <c r="N683" i="1" s="1"/>
  <c r="M683" i="1" a="1"/>
  <c r="M683" i="1" s="1"/>
  <c r="L683" i="1" a="1"/>
  <c r="L683" i="1" s="1"/>
  <c r="M689" i="1" a="1"/>
  <c r="M689" i="1" s="1"/>
  <c r="L689" i="1" a="1"/>
  <c r="L689" i="1" s="1"/>
  <c r="N689" i="1" a="1"/>
  <c r="N689" i="1" s="1"/>
  <c r="N695" i="1" a="1"/>
  <c r="N695" i="1" s="1"/>
  <c r="M695" i="1" a="1"/>
  <c r="M695" i="1" s="1"/>
  <c r="L695" i="1" a="1"/>
  <c r="L695" i="1" s="1"/>
  <c r="N701" i="1" a="1"/>
  <c r="N701" i="1" s="1"/>
  <c r="L701" i="1" a="1"/>
  <c r="L701" i="1" s="1"/>
  <c r="M701" i="1" a="1"/>
  <c r="M701" i="1" s="1"/>
  <c r="N707" i="1" a="1"/>
  <c r="N707" i="1" s="1"/>
  <c r="M707" i="1" a="1"/>
  <c r="M707" i="1" s="1"/>
  <c r="L707" i="1" a="1"/>
  <c r="L707" i="1" s="1"/>
  <c r="N713" i="1" a="1"/>
  <c r="N713" i="1" s="1"/>
  <c r="M713" i="1" a="1"/>
  <c r="M713" i="1" s="1"/>
  <c r="L713" i="1" a="1"/>
  <c r="L713" i="1" s="1"/>
  <c r="N719" i="1" a="1"/>
  <c r="N719" i="1" s="1"/>
  <c r="M719" i="1" a="1"/>
  <c r="M719" i="1" s="1"/>
  <c r="L719" i="1" a="1"/>
  <c r="L719" i="1" s="1"/>
  <c r="L725" i="1" a="1"/>
  <c r="L725" i="1" s="1"/>
  <c r="N725" i="1" a="1"/>
  <c r="N725" i="1" s="1"/>
  <c r="M725" i="1" a="1"/>
  <c r="M725" i="1" s="1"/>
  <c r="N731" i="1" a="1"/>
  <c r="N731" i="1" s="1"/>
  <c r="M731" i="1" a="1"/>
  <c r="M731" i="1" s="1"/>
  <c r="L731" i="1" a="1"/>
  <c r="L731" i="1" s="1"/>
  <c r="N737" i="1" a="1"/>
  <c r="N737" i="1" s="1"/>
  <c r="L737" i="1" a="1"/>
  <c r="L737" i="1" s="1"/>
  <c r="M737" i="1" a="1"/>
  <c r="M737" i="1" s="1"/>
  <c r="N743" i="1" a="1"/>
  <c r="N743" i="1" s="1"/>
  <c r="M743" i="1" a="1"/>
  <c r="M743" i="1" s="1"/>
  <c r="L743" i="1" a="1"/>
  <c r="L743" i="1" s="1"/>
  <c r="N749" i="1" a="1"/>
  <c r="N749" i="1" s="1"/>
  <c r="L749" i="1" a="1"/>
  <c r="L749" i="1" s="1"/>
  <c r="M749" i="1" a="1"/>
  <c r="M749" i="1" s="1"/>
  <c r="N755" i="1" a="1"/>
  <c r="N755" i="1" s="1"/>
  <c r="M755" i="1" a="1"/>
  <c r="M755" i="1" s="1"/>
  <c r="L755" i="1" a="1"/>
  <c r="L755" i="1" s="1"/>
  <c r="N761" i="1" a="1"/>
  <c r="N761" i="1" s="1"/>
  <c r="L761" i="1" a="1"/>
  <c r="L761" i="1" s="1"/>
  <c r="M761" i="1" a="1"/>
  <c r="M761" i="1" s="1"/>
  <c r="M767" i="1" a="1"/>
  <c r="M767" i="1" s="1"/>
  <c r="N767" i="1" a="1"/>
  <c r="N767" i="1" s="1"/>
  <c r="L767" i="1" a="1"/>
  <c r="L767" i="1" s="1"/>
  <c r="N773" i="1" a="1"/>
  <c r="N773" i="1" s="1"/>
  <c r="L773" i="1" a="1"/>
  <c r="L773" i="1" s="1"/>
  <c r="M773" i="1" a="1"/>
  <c r="M773" i="1" s="1"/>
  <c r="N779" i="1" a="1"/>
  <c r="N779" i="1" s="1"/>
  <c r="M779" i="1" a="1"/>
  <c r="M779" i="1" s="1"/>
  <c r="L779" i="1" a="1"/>
  <c r="L779" i="1" s="1"/>
  <c r="N785" i="1" a="1"/>
  <c r="N785" i="1" s="1"/>
  <c r="L785" i="1" a="1"/>
  <c r="L785" i="1" s="1"/>
  <c r="M785" i="1" a="1"/>
  <c r="M785" i="1" s="1"/>
  <c r="N791" i="1" a="1"/>
  <c r="N791" i="1" s="1"/>
  <c r="M791" i="1" a="1"/>
  <c r="M791" i="1" s="1"/>
  <c r="L791" i="1" a="1"/>
  <c r="L791" i="1" s="1"/>
  <c r="N797" i="1" a="1"/>
  <c r="N797" i="1" s="1"/>
  <c r="L797" i="1" a="1"/>
  <c r="L797" i="1" s="1"/>
  <c r="M797" i="1" a="1"/>
  <c r="M797" i="1" s="1"/>
  <c r="N803" i="1" a="1"/>
  <c r="N803" i="1" s="1"/>
  <c r="M803" i="1" a="1"/>
  <c r="M803" i="1" s="1"/>
  <c r="L803" i="1" a="1"/>
  <c r="L803" i="1" s="1"/>
  <c r="N809" i="1" a="1"/>
  <c r="N809" i="1" s="1"/>
  <c r="L809" i="1" a="1"/>
  <c r="L809" i="1" s="1"/>
  <c r="M809" i="1" a="1"/>
  <c r="M809" i="1" s="1"/>
  <c r="M815" i="1" a="1"/>
  <c r="M815" i="1" s="1"/>
  <c r="N815" i="1" a="1"/>
  <c r="N815" i="1" s="1"/>
  <c r="L815" i="1" a="1"/>
  <c r="L815" i="1" s="1"/>
  <c r="N821" i="1" a="1"/>
  <c r="N821" i="1" s="1"/>
  <c r="L821" i="1" a="1"/>
  <c r="L821" i="1" s="1"/>
  <c r="M821" i="1" a="1"/>
  <c r="M821" i="1" s="1"/>
  <c r="M827" i="1" a="1"/>
  <c r="M827" i="1" s="1"/>
  <c r="N827" i="1" a="1"/>
  <c r="N827" i="1" s="1"/>
  <c r="L827" i="1" a="1"/>
  <c r="L827" i="1" s="1"/>
  <c r="N833" i="1" a="1"/>
  <c r="N833" i="1" s="1"/>
  <c r="L833" i="1" a="1"/>
  <c r="L833" i="1" s="1"/>
  <c r="M833" i="1" a="1"/>
  <c r="M833" i="1" s="1"/>
  <c r="M839" i="1" a="1"/>
  <c r="M839" i="1" s="1"/>
  <c r="L839" i="1" a="1"/>
  <c r="L839" i="1" s="1"/>
  <c r="N839" i="1" a="1"/>
  <c r="N839" i="1" s="1"/>
  <c r="N845" i="1" a="1"/>
  <c r="N845" i="1" s="1"/>
  <c r="M845" i="1" a="1"/>
  <c r="M845" i="1" s="1"/>
  <c r="L845" i="1" a="1"/>
  <c r="L845" i="1" s="1"/>
  <c r="N851" i="1" a="1"/>
  <c r="N851" i="1" s="1"/>
  <c r="M851" i="1" a="1"/>
  <c r="M851" i="1" s="1"/>
  <c r="L851" i="1" a="1"/>
  <c r="L851" i="1" s="1"/>
  <c r="N857" i="1" a="1"/>
  <c r="N857" i="1" s="1"/>
  <c r="L857" i="1" a="1"/>
  <c r="L857" i="1" s="1"/>
  <c r="M857" i="1" a="1"/>
  <c r="M857" i="1" s="1"/>
  <c r="M863" i="1" a="1"/>
  <c r="M863" i="1" s="1"/>
  <c r="N863" i="1" a="1"/>
  <c r="N863" i="1" s="1"/>
  <c r="L863" i="1" a="1"/>
  <c r="L863" i="1" s="1"/>
  <c r="N869" i="1" a="1"/>
  <c r="N869" i="1" s="1"/>
  <c r="L869" i="1" a="1"/>
  <c r="L869" i="1" s="1"/>
  <c r="M869" i="1" a="1"/>
  <c r="M869" i="1" s="1"/>
  <c r="M875" i="1" a="1"/>
  <c r="M875" i="1" s="1"/>
  <c r="N875" i="1" a="1"/>
  <c r="N875" i="1" s="1"/>
  <c r="L875" i="1" a="1"/>
  <c r="L875" i="1" s="1"/>
  <c r="L881" i="1" a="1"/>
  <c r="L881" i="1" s="1"/>
  <c r="M881" i="1" a="1"/>
  <c r="M881" i="1" s="1"/>
  <c r="N881" i="1" a="1"/>
  <c r="N881" i="1" s="1"/>
  <c r="N887" i="1" a="1"/>
  <c r="N887" i="1" s="1"/>
  <c r="M887" i="1" a="1"/>
  <c r="M887" i="1" s="1"/>
  <c r="L887" i="1" a="1"/>
  <c r="L887" i="1" s="1"/>
  <c r="N893" i="1" a="1"/>
  <c r="N893" i="1" s="1"/>
  <c r="L893" i="1" a="1"/>
  <c r="L893" i="1" s="1"/>
  <c r="M893" i="1" a="1"/>
  <c r="M893" i="1" s="1"/>
  <c r="M899" i="1" a="1"/>
  <c r="M899" i="1" s="1"/>
  <c r="L899" i="1" a="1"/>
  <c r="L899" i="1" s="1"/>
  <c r="N899" i="1" a="1"/>
  <c r="N899" i="1" s="1"/>
  <c r="N905" i="1" a="1"/>
  <c r="N905" i="1" s="1"/>
  <c r="L905" i="1" a="1"/>
  <c r="L905" i="1" s="1"/>
  <c r="M905" i="1" a="1"/>
  <c r="M905" i="1" s="1"/>
  <c r="N911" i="1" a="1"/>
  <c r="N911" i="1" s="1"/>
  <c r="M911" i="1" a="1"/>
  <c r="M911" i="1" s="1"/>
  <c r="L911" i="1" a="1"/>
  <c r="L911" i="1" s="1"/>
  <c r="L917" i="1" a="1"/>
  <c r="L917" i="1" s="1"/>
  <c r="N917" i="1" a="1"/>
  <c r="N917" i="1" s="1"/>
  <c r="M917" i="1" a="1"/>
  <c r="M917" i="1" s="1"/>
  <c r="N923" i="1" a="1"/>
  <c r="N923" i="1" s="1"/>
  <c r="L923" i="1" a="1"/>
  <c r="L923" i="1" s="1"/>
  <c r="M923" i="1" a="1"/>
  <c r="M923" i="1" s="1"/>
  <c r="N929" i="1" a="1"/>
  <c r="N929" i="1" s="1"/>
  <c r="M929" i="1" a="1"/>
  <c r="M929" i="1" s="1"/>
  <c r="L929" i="1" a="1"/>
  <c r="L929" i="1" s="1"/>
  <c r="N935" i="1" a="1"/>
  <c r="N935" i="1" s="1"/>
  <c r="M935" i="1" a="1"/>
  <c r="M935" i="1" s="1"/>
  <c r="L935" i="1" a="1"/>
  <c r="L935" i="1" s="1"/>
  <c r="M941" i="1" a="1"/>
  <c r="M941" i="1" s="1"/>
  <c r="L941" i="1" a="1"/>
  <c r="L941" i="1" s="1"/>
  <c r="N941" i="1" a="1"/>
  <c r="N941" i="1" s="1"/>
  <c r="N947" i="1" a="1"/>
  <c r="N947" i="1" s="1"/>
  <c r="M947" i="1" a="1"/>
  <c r="M947" i="1" s="1"/>
  <c r="L947" i="1" a="1"/>
  <c r="L947" i="1" s="1"/>
  <c r="M953" i="1" a="1"/>
  <c r="M953" i="1" s="1"/>
  <c r="N953" i="1" a="1"/>
  <c r="N953" i="1" s="1"/>
  <c r="L953" i="1" a="1"/>
  <c r="L953" i="1" s="1"/>
  <c r="N959" i="1" a="1"/>
  <c r="N959" i="1" s="1"/>
  <c r="L959" i="1" a="1"/>
  <c r="L959" i="1" s="1"/>
  <c r="M959" i="1" a="1"/>
  <c r="M959" i="1" s="1"/>
  <c r="N965" i="1" a="1"/>
  <c r="N965" i="1" s="1"/>
  <c r="M965" i="1" a="1"/>
  <c r="M965" i="1" s="1"/>
  <c r="L965" i="1" a="1"/>
  <c r="L965" i="1" s="1"/>
  <c r="N971" i="1" a="1"/>
  <c r="N971" i="1" s="1"/>
  <c r="M971" i="1" a="1"/>
  <c r="M971" i="1" s="1"/>
  <c r="L971" i="1" a="1"/>
  <c r="L971" i="1" s="1"/>
  <c r="N977" i="1" a="1"/>
  <c r="N977" i="1" s="1"/>
  <c r="L977" i="1" a="1"/>
  <c r="L977" i="1" s="1"/>
  <c r="M977" i="1" a="1"/>
  <c r="M977" i="1" s="1"/>
  <c r="N983" i="1" a="1"/>
  <c r="N983" i="1" s="1"/>
  <c r="M983" i="1" a="1"/>
  <c r="M983" i="1" s="1"/>
  <c r="L983" i="1" a="1"/>
  <c r="L983" i="1" s="1"/>
  <c r="L989" i="1" a="1"/>
  <c r="L989" i="1" s="1"/>
  <c r="M989" i="1" a="1"/>
  <c r="M989" i="1" s="1"/>
  <c r="N989" i="1" a="1"/>
  <c r="N989" i="1" s="1"/>
  <c r="N995" i="1" a="1"/>
  <c r="N995" i="1" s="1"/>
  <c r="M995" i="1" a="1"/>
  <c r="M995" i="1" s="1"/>
  <c r="L995" i="1" a="1"/>
  <c r="L995" i="1" s="1"/>
  <c r="L1001" i="1" a="1"/>
  <c r="L1001" i="1" s="1"/>
  <c r="N1001" i="1" a="1"/>
  <c r="N1001" i="1" s="1"/>
  <c r="M1001" i="1" a="1"/>
  <c r="M1001" i="1" s="1"/>
  <c r="N1007" i="1" a="1"/>
  <c r="N1007" i="1" s="1"/>
  <c r="M1007" i="1" a="1"/>
  <c r="M1007" i="1" s="1"/>
  <c r="L1007" i="1" a="1"/>
  <c r="L1007" i="1" s="1"/>
  <c r="M1013" i="1" a="1"/>
  <c r="M1013" i="1" s="1"/>
  <c r="L1013" i="1" a="1"/>
  <c r="L1013" i="1" s="1"/>
  <c r="N1013" i="1" a="1"/>
  <c r="N1013" i="1" s="1"/>
  <c r="N1019" i="1" a="1"/>
  <c r="N1019" i="1" s="1"/>
  <c r="M1019" i="1" a="1"/>
  <c r="M1019" i="1" s="1"/>
  <c r="L1019" i="1" a="1"/>
  <c r="L1019" i="1" s="1"/>
  <c r="N1025" i="1" a="1"/>
  <c r="N1025" i="1" s="1"/>
  <c r="M1025" i="1" a="1"/>
  <c r="M1025" i="1" s="1"/>
  <c r="L1025" i="1" a="1"/>
  <c r="L1025" i="1" s="1"/>
  <c r="N1031" i="1" a="1"/>
  <c r="N1031" i="1" s="1"/>
  <c r="M1031" i="1" a="1"/>
  <c r="M1031" i="1" s="1"/>
  <c r="L1031" i="1" a="1"/>
  <c r="L1031" i="1" s="1"/>
  <c r="N1037" i="1" a="1"/>
  <c r="N1037" i="1" s="1"/>
  <c r="L1037" i="1" a="1"/>
  <c r="L1037" i="1" s="1"/>
  <c r="M1037" i="1" a="1"/>
  <c r="M1037" i="1" s="1"/>
  <c r="N1043" i="1" a="1"/>
  <c r="N1043" i="1" s="1"/>
  <c r="M1043" i="1" a="1"/>
  <c r="M1043" i="1" s="1"/>
  <c r="L1043" i="1" a="1"/>
  <c r="L1043" i="1" s="1"/>
  <c r="L1049" i="1" a="1"/>
  <c r="L1049" i="1" s="1"/>
  <c r="M1049" i="1" a="1"/>
  <c r="M1049" i="1" s="1"/>
  <c r="N1049" i="1" a="1"/>
  <c r="N1049" i="1" s="1"/>
  <c r="N1055" i="1" a="1"/>
  <c r="N1055" i="1" s="1"/>
  <c r="M1055" i="1" a="1"/>
  <c r="M1055" i="1" s="1"/>
  <c r="L1055" i="1" a="1"/>
  <c r="L1055" i="1" s="1"/>
  <c r="L1061" i="1" a="1"/>
  <c r="L1061" i="1" s="1"/>
  <c r="N1061" i="1" a="1"/>
  <c r="N1061" i="1" s="1"/>
  <c r="M1061" i="1" a="1"/>
  <c r="M1061" i="1" s="1"/>
  <c r="N1067" i="1" a="1"/>
  <c r="N1067" i="1" s="1"/>
  <c r="M1067" i="1" a="1"/>
  <c r="M1067" i="1" s="1"/>
  <c r="L1067" i="1" a="1"/>
  <c r="L1067" i="1" s="1"/>
  <c r="L1073" i="1" a="1"/>
  <c r="L1073" i="1" s="1"/>
  <c r="N1073" i="1" a="1"/>
  <c r="N1073" i="1" s="1"/>
  <c r="M1073" i="1" a="1"/>
  <c r="M1073" i="1" s="1"/>
  <c r="N1079" i="1" a="1"/>
  <c r="N1079" i="1" s="1"/>
  <c r="L1079" i="1" a="1"/>
  <c r="L1079" i="1" s="1"/>
  <c r="M1079" i="1" a="1"/>
  <c r="M1079" i="1" s="1"/>
  <c r="N1085" i="1" a="1"/>
  <c r="N1085" i="1" s="1"/>
  <c r="M1085" i="1" a="1"/>
  <c r="M1085" i="1" s="1"/>
  <c r="L1085" i="1" a="1"/>
  <c r="L1085" i="1" s="1"/>
  <c r="N1091" i="1" a="1"/>
  <c r="N1091" i="1" s="1"/>
  <c r="M1091" i="1" a="1"/>
  <c r="M1091" i="1" s="1"/>
  <c r="L1091" i="1" a="1"/>
  <c r="L1091" i="1" s="1"/>
  <c r="N1097" i="1" a="1"/>
  <c r="N1097" i="1" s="1"/>
  <c r="M1097" i="1" a="1"/>
  <c r="M1097" i="1" s="1"/>
  <c r="L1097" i="1" a="1"/>
  <c r="L1097" i="1" s="1"/>
  <c r="N1103" i="1" a="1"/>
  <c r="N1103" i="1" s="1"/>
  <c r="M1103" i="1" a="1"/>
  <c r="M1103" i="1" s="1"/>
  <c r="L1103" i="1" a="1"/>
  <c r="L1103" i="1" s="1"/>
  <c r="L1109" i="1" a="1"/>
  <c r="L1109" i="1" s="1"/>
  <c r="N1109" i="1" a="1"/>
  <c r="N1109" i="1" s="1"/>
  <c r="M1109" i="1" a="1"/>
  <c r="M1109" i="1" s="1"/>
  <c r="N1115" i="1" a="1"/>
  <c r="N1115" i="1" s="1"/>
  <c r="M1115" i="1" a="1"/>
  <c r="M1115" i="1" s="1"/>
  <c r="L1115" i="1" a="1"/>
  <c r="L1115" i="1" s="1"/>
  <c r="N1121" i="1" a="1"/>
  <c r="N1121" i="1" s="1"/>
  <c r="L1121" i="1" a="1"/>
  <c r="L1121" i="1" s="1"/>
  <c r="M1121" i="1" a="1"/>
  <c r="M1121" i="1" s="1"/>
  <c r="N1127" i="1" a="1"/>
  <c r="N1127" i="1" s="1"/>
  <c r="M1127" i="1" a="1"/>
  <c r="M1127" i="1" s="1"/>
  <c r="L1127" i="1" a="1"/>
  <c r="L1127" i="1" s="1"/>
  <c r="N1133" i="1" a="1"/>
  <c r="N1133" i="1" s="1"/>
  <c r="L1133" i="1" a="1"/>
  <c r="L1133" i="1" s="1"/>
  <c r="M1133" i="1" a="1"/>
  <c r="M1133" i="1" s="1"/>
  <c r="N1139" i="1" a="1"/>
  <c r="N1139" i="1" s="1"/>
  <c r="M1139" i="1" a="1"/>
  <c r="M1139" i="1" s="1"/>
  <c r="L1139" i="1" a="1"/>
  <c r="L1139" i="1" s="1"/>
  <c r="N1145" i="1" a="1"/>
  <c r="N1145" i="1" s="1"/>
  <c r="L1145" i="1" a="1"/>
  <c r="L1145" i="1" s="1"/>
  <c r="M1145" i="1" a="1"/>
  <c r="M1145" i="1" s="1"/>
  <c r="N1151" i="1" a="1"/>
  <c r="N1151" i="1" s="1"/>
  <c r="M1151" i="1" a="1"/>
  <c r="M1151" i="1" s="1"/>
  <c r="L1151" i="1" a="1"/>
  <c r="L1151" i="1" s="1"/>
  <c r="N1157" i="1" a="1"/>
  <c r="N1157" i="1" s="1"/>
  <c r="M1157" i="1" a="1"/>
  <c r="M1157" i="1" s="1"/>
  <c r="L1157" i="1" a="1"/>
  <c r="L1157" i="1" s="1"/>
  <c r="M1163" i="1" a="1"/>
  <c r="M1163" i="1" s="1"/>
  <c r="N1163" i="1" a="1"/>
  <c r="N1163" i="1" s="1"/>
  <c r="L1163" i="1" a="1"/>
  <c r="L1163" i="1" s="1"/>
  <c r="M1169" i="1" a="1"/>
  <c r="M1169" i="1" s="1"/>
  <c r="N1169" i="1" a="1"/>
  <c r="N1169" i="1" s="1"/>
  <c r="L1169" i="1" a="1"/>
  <c r="L1169" i="1" s="1"/>
  <c r="N1175" i="1" a="1"/>
  <c r="N1175" i="1" s="1"/>
  <c r="L1175" i="1" a="1"/>
  <c r="L1175" i="1" s="1"/>
  <c r="M1175" i="1" a="1"/>
  <c r="M1175" i="1" s="1"/>
  <c r="M1181" i="1" a="1"/>
  <c r="M1181" i="1" s="1"/>
  <c r="N1181" i="1" a="1"/>
  <c r="N1181" i="1" s="1"/>
  <c r="L1181" i="1" a="1"/>
  <c r="L1181" i="1" s="1"/>
  <c r="N1187" i="1" a="1"/>
  <c r="N1187" i="1" s="1"/>
  <c r="L1187" i="1" a="1"/>
  <c r="L1187" i="1" s="1"/>
  <c r="M1187" i="1" a="1"/>
  <c r="M1187" i="1" s="1"/>
  <c r="N1193" i="1" a="1"/>
  <c r="N1193" i="1" s="1"/>
  <c r="M1193" i="1" a="1"/>
  <c r="M1193" i="1" s="1"/>
  <c r="L1193" i="1" a="1"/>
  <c r="L1193" i="1" s="1"/>
  <c r="M1199" i="1" a="1"/>
  <c r="M1199" i="1" s="1"/>
  <c r="N1199" i="1" a="1"/>
  <c r="N1199" i="1" s="1"/>
  <c r="L1199" i="1" a="1"/>
  <c r="L1199" i="1" s="1"/>
  <c r="L1205" i="1" a="1"/>
  <c r="L1205" i="1" s="1"/>
  <c r="M1205" i="1" a="1"/>
  <c r="M1205" i="1" s="1"/>
  <c r="N1205" i="1" a="1"/>
  <c r="N1205" i="1" s="1"/>
  <c r="N1211" i="1" a="1"/>
  <c r="N1211" i="1" s="1"/>
  <c r="M1211" i="1" a="1"/>
  <c r="M1211" i="1" s="1"/>
  <c r="L1211" i="1" a="1"/>
  <c r="L1211" i="1" s="1"/>
  <c r="N1217" i="1" a="1"/>
  <c r="N1217" i="1" s="1"/>
  <c r="L1217" i="1" a="1"/>
  <c r="L1217" i="1" s="1"/>
  <c r="M1217" i="1" a="1"/>
  <c r="M1217" i="1" s="1"/>
  <c r="N1223" i="1" a="1"/>
  <c r="N1223" i="1" s="1"/>
  <c r="M1223" i="1" a="1"/>
  <c r="M1223" i="1" s="1"/>
  <c r="L1223" i="1" a="1"/>
  <c r="L1223" i="1" s="1"/>
  <c r="N1229" i="1" a="1"/>
  <c r="N1229" i="1" s="1"/>
  <c r="L1229" i="1" a="1"/>
  <c r="L1229" i="1" s="1"/>
  <c r="M1229" i="1" a="1"/>
  <c r="M1229" i="1" s="1"/>
  <c r="M1235" i="1" a="1"/>
  <c r="M1235" i="1" s="1"/>
  <c r="N1235" i="1" a="1"/>
  <c r="N1235" i="1" s="1"/>
  <c r="L1235" i="1" a="1"/>
  <c r="L1235" i="1" s="1"/>
  <c r="N1241" i="1" a="1"/>
  <c r="N1241" i="1" s="1"/>
  <c r="L1241" i="1" a="1"/>
  <c r="L1241" i="1" s="1"/>
  <c r="M1241" i="1" a="1"/>
  <c r="M1241" i="1" s="1"/>
  <c r="N1247" i="1" a="1"/>
  <c r="N1247" i="1" s="1"/>
  <c r="M1247" i="1" a="1"/>
  <c r="M1247" i="1" s="1"/>
  <c r="L1247" i="1" a="1"/>
  <c r="L1247" i="1" s="1"/>
  <c r="N1253" i="1" a="1"/>
  <c r="N1253" i="1" s="1"/>
  <c r="L1253" i="1" a="1"/>
  <c r="L1253" i="1" s="1"/>
  <c r="M1253" i="1" a="1"/>
  <c r="M1253" i="1" s="1"/>
  <c r="N1259" i="1" a="1"/>
  <c r="N1259" i="1" s="1"/>
  <c r="M1259" i="1" a="1"/>
  <c r="M1259" i="1" s="1"/>
  <c r="L1259" i="1" a="1"/>
  <c r="L1259" i="1" s="1"/>
  <c r="N1265" i="1" a="1"/>
  <c r="N1265" i="1" s="1"/>
  <c r="L1265" i="1" a="1"/>
  <c r="L1265" i="1" s="1"/>
  <c r="M1265" i="1" a="1"/>
  <c r="M1265" i="1" s="1"/>
  <c r="M1271" i="1" a="1"/>
  <c r="M1271" i="1" s="1"/>
  <c r="N1271" i="1" a="1"/>
  <c r="N1271" i="1" s="1"/>
  <c r="L1271" i="1" a="1"/>
  <c r="L1271" i="1" s="1"/>
  <c r="L1277" i="1" a="1"/>
  <c r="L1277" i="1" s="1"/>
  <c r="M1277" i="1" a="1"/>
  <c r="M1277" i="1" s="1"/>
  <c r="N1277" i="1" a="1"/>
  <c r="N1277" i="1" s="1"/>
  <c r="N1283" i="1" a="1"/>
  <c r="N1283" i="1" s="1"/>
  <c r="M1283" i="1" a="1"/>
  <c r="M1283" i="1" s="1"/>
  <c r="L1283" i="1" a="1"/>
  <c r="L1283" i="1" s="1"/>
  <c r="N1289" i="1" a="1"/>
  <c r="N1289" i="1" s="1"/>
  <c r="L1289" i="1" a="1"/>
  <c r="L1289" i="1" s="1"/>
  <c r="M1289" i="1" a="1"/>
  <c r="M1289" i="1" s="1"/>
  <c r="N1295" i="1" a="1"/>
  <c r="N1295" i="1" s="1"/>
  <c r="L1295" i="1" a="1"/>
  <c r="L1295" i="1" s="1"/>
  <c r="M1295" i="1" a="1"/>
  <c r="M1295" i="1" s="1"/>
  <c r="N1301" i="1" a="1"/>
  <c r="N1301" i="1" s="1"/>
  <c r="M1301" i="1" a="1"/>
  <c r="M1301" i="1" s="1"/>
  <c r="L1301" i="1" a="1"/>
  <c r="L1301" i="1" s="1"/>
  <c r="N1307" i="1" a="1"/>
  <c r="N1307" i="1" s="1"/>
  <c r="M1307" i="1" a="1"/>
  <c r="M1307" i="1" s="1"/>
  <c r="L1307" i="1" a="1"/>
  <c r="L1307" i="1" s="1"/>
  <c r="M1313" i="1" a="1"/>
  <c r="M1313" i="1" s="1"/>
  <c r="L1313" i="1" a="1"/>
  <c r="L1313" i="1" s="1"/>
  <c r="N1313" i="1" a="1"/>
  <c r="N1313" i="1" s="1"/>
  <c r="N1319" i="1" a="1"/>
  <c r="N1319" i="1" s="1"/>
  <c r="L1319" i="1" a="1"/>
  <c r="L1319" i="1" s="1"/>
  <c r="M1319" i="1" a="1"/>
  <c r="M1319" i="1" s="1"/>
  <c r="N1325" i="1" a="1"/>
  <c r="N1325" i="1" s="1"/>
  <c r="L1325" i="1" a="1"/>
  <c r="L1325" i="1" s="1"/>
  <c r="M1325" i="1" a="1"/>
  <c r="M1325" i="1" s="1"/>
  <c r="N1331" i="1" a="1"/>
  <c r="N1331" i="1" s="1"/>
  <c r="M1331" i="1" a="1"/>
  <c r="M1331" i="1" s="1"/>
  <c r="L1331" i="1" a="1"/>
  <c r="L1331" i="1" s="1"/>
  <c r="N1337" i="1" a="1"/>
  <c r="N1337" i="1" s="1"/>
  <c r="L1337" i="1" a="1"/>
  <c r="L1337" i="1" s="1"/>
  <c r="M1337" i="1" a="1"/>
  <c r="M1337" i="1" s="1"/>
  <c r="N1343" i="1" a="1"/>
  <c r="N1343" i="1" s="1"/>
  <c r="M1343" i="1" a="1"/>
  <c r="M1343" i="1" s="1"/>
  <c r="L1343" i="1" a="1"/>
  <c r="L1343" i="1" s="1"/>
  <c r="N1349" i="1" a="1"/>
  <c r="N1349" i="1" s="1"/>
  <c r="M1349" i="1" a="1"/>
  <c r="M1349" i="1" s="1"/>
  <c r="L1349" i="1" a="1"/>
  <c r="L1349" i="1" s="1"/>
  <c r="N1355" i="1" a="1"/>
  <c r="N1355" i="1" s="1"/>
  <c r="M1355" i="1" a="1"/>
  <c r="M1355" i="1" s="1"/>
  <c r="L1355" i="1" a="1"/>
  <c r="L1355" i="1" s="1"/>
  <c r="N1361" i="1" a="1"/>
  <c r="N1361" i="1" s="1"/>
  <c r="L1361" i="1" a="1"/>
  <c r="L1361" i="1" s="1"/>
  <c r="M1361" i="1" a="1"/>
  <c r="M1361" i="1" s="1"/>
  <c r="N1367" i="1" a="1"/>
  <c r="N1367" i="1" s="1"/>
  <c r="M1367" i="1" a="1"/>
  <c r="M1367" i="1" s="1"/>
  <c r="L1367" i="1" a="1"/>
  <c r="L1367" i="1" s="1"/>
  <c r="L1373" i="1" a="1"/>
  <c r="L1373" i="1" s="1"/>
  <c r="N1373" i="1" a="1"/>
  <c r="N1373" i="1" s="1"/>
  <c r="M1373" i="1" a="1"/>
  <c r="M1373" i="1" s="1"/>
  <c r="M1379" i="1" a="1"/>
  <c r="M1379" i="1" s="1"/>
  <c r="N1379" i="1" a="1"/>
  <c r="N1379" i="1" s="1"/>
  <c r="L1379" i="1" a="1"/>
  <c r="L1379" i="1" s="1"/>
  <c r="N1385" i="1" a="1"/>
  <c r="N1385" i="1" s="1"/>
  <c r="L1385" i="1" a="1"/>
  <c r="L1385" i="1" s="1"/>
  <c r="M1385" i="1" a="1"/>
  <c r="M1385" i="1" s="1"/>
  <c r="N1391" i="1" a="1"/>
  <c r="N1391" i="1" s="1"/>
  <c r="M1391" i="1" a="1"/>
  <c r="M1391" i="1" s="1"/>
  <c r="L1391" i="1" a="1"/>
  <c r="L1391" i="1" s="1"/>
  <c r="N1397" i="1" a="1"/>
  <c r="N1397" i="1" s="1"/>
  <c r="M1397" i="1" a="1"/>
  <c r="M1397" i="1" s="1"/>
  <c r="L1397" i="1" a="1"/>
  <c r="L1397" i="1" s="1"/>
  <c r="N1403" i="1" a="1"/>
  <c r="N1403" i="1" s="1"/>
  <c r="M1403" i="1" a="1"/>
  <c r="M1403" i="1" s="1"/>
  <c r="L1403" i="1" a="1"/>
  <c r="L1403" i="1" s="1"/>
  <c r="M1409" i="1" a="1"/>
  <c r="M1409" i="1" s="1"/>
  <c r="L1409" i="1" a="1"/>
  <c r="L1409" i="1" s="1"/>
  <c r="N1409" i="1" a="1"/>
  <c r="N1409" i="1" s="1"/>
  <c r="M1415" i="1" a="1"/>
  <c r="M1415" i="1" s="1"/>
  <c r="N1415" i="1" a="1"/>
  <c r="N1415" i="1" s="1"/>
  <c r="L1415" i="1" a="1"/>
  <c r="L1415" i="1" s="1"/>
  <c r="L1421" i="1" a="1"/>
  <c r="L1421" i="1" s="1"/>
  <c r="M1421" i="1" a="1"/>
  <c r="M1421" i="1" s="1"/>
  <c r="N1421" i="1" a="1"/>
  <c r="N1421" i="1" s="1"/>
  <c r="M1427" i="1" a="1"/>
  <c r="M1427" i="1" s="1"/>
  <c r="N1427" i="1" a="1"/>
  <c r="N1427" i="1" s="1"/>
  <c r="L1427" i="1" a="1"/>
  <c r="L1427" i="1" s="1"/>
  <c r="N1433" i="1" a="1"/>
  <c r="N1433" i="1" s="1"/>
  <c r="L1433" i="1" a="1"/>
  <c r="L1433" i="1" s="1"/>
  <c r="M1433" i="1" a="1"/>
  <c r="M1433" i="1" s="1"/>
  <c r="N1439" i="1" a="1"/>
  <c r="N1439" i="1" s="1"/>
  <c r="M1439" i="1" a="1"/>
  <c r="M1439" i="1" s="1"/>
  <c r="L1439" i="1" a="1"/>
  <c r="L1439" i="1" s="1"/>
  <c r="K1283" i="1" a="1"/>
  <c r="K1283" i="1" s="1"/>
  <c r="K1349" i="1" a="1"/>
  <c r="K1349" i="1" s="1"/>
  <c r="K1338" i="1" a="1"/>
  <c r="K1338" i="1" s="1"/>
  <c r="K1313" i="1" a="1"/>
  <c r="K1313" i="1" s="1"/>
  <c r="K1301" i="1" a="1"/>
  <c r="K1301" i="1" s="1"/>
  <c r="K1272" i="1" a="1"/>
  <c r="K1272" i="1" s="1"/>
  <c r="K1227" i="1" a="1"/>
  <c r="K1227" i="1" s="1"/>
  <c r="K1176" i="1" a="1"/>
  <c r="K1176" i="1" s="1"/>
  <c r="K1158" i="1" a="1"/>
  <c r="K1158" i="1" s="1"/>
  <c r="K1141" i="1" a="1"/>
  <c r="K1141" i="1" s="1"/>
  <c r="K1126" i="1" a="1"/>
  <c r="K1126" i="1" s="1"/>
  <c r="K1109" i="1" a="1"/>
  <c r="K1109" i="1" s="1"/>
  <c r="K1091" i="1" a="1"/>
  <c r="K1091" i="1" s="1"/>
  <c r="K1075" i="1" a="1"/>
  <c r="K1075" i="1" s="1"/>
  <c r="K1058" i="1" a="1"/>
  <c r="K1058" i="1" s="1"/>
  <c r="K1016" i="1" a="1"/>
  <c r="K1016" i="1" s="1"/>
  <c r="K1002" i="1" a="1"/>
  <c r="K1002" i="1" s="1"/>
  <c r="K983" i="1" a="1"/>
  <c r="K983" i="1" s="1"/>
  <c r="K962" i="1" a="1"/>
  <c r="K962" i="1" s="1"/>
  <c r="K944" i="1" a="1"/>
  <c r="K944" i="1" s="1"/>
  <c r="K924" i="1" a="1"/>
  <c r="K924" i="1" s="1"/>
  <c r="K882" i="1" a="1"/>
  <c r="K882" i="1" s="1"/>
  <c r="K815" i="1" a="1"/>
  <c r="K815" i="1" s="1"/>
  <c r="K790" i="1" a="1"/>
  <c r="K790" i="1" s="1"/>
  <c r="K727" i="1" a="1"/>
  <c r="K727" i="1" s="1"/>
  <c r="K694" i="1" a="1"/>
  <c r="K694" i="1" s="1"/>
  <c r="K671" i="1" a="1"/>
  <c r="K671" i="1" s="1"/>
  <c r="K643" i="1" a="1"/>
  <c r="K643" i="1" s="1"/>
  <c r="K609" i="1" a="1"/>
  <c r="K609" i="1" s="1"/>
  <c r="K463" i="1" a="1"/>
  <c r="K463" i="1" s="1"/>
  <c r="K420" i="1" a="1"/>
  <c r="K420" i="1" s="1"/>
  <c r="K335" i="1" a="1"/>
  <c r="K335" i="1" s="1"/>
  <c r="K918" i="1" a="1"/>
  <c r="K918" i="1" s="1"/>
  <c r="K1284" i="1" a="1"/>
  <c r="K1284" i="1" s="1"/>
  <c r="K1290" i="1" a="1"/>
  <c r="K1290" i="1" s="1"/>
  <c r="K1308" i="1" a="1"/>
  <c r="K1308" i="1" s="1"/>
  <c r="K1314" i="1" a="1"/>
  <c r="K1314" i="1" s="1"/>
  <c r="K1324" i="1" a="1"/>
  <c r="K1324" i="1" s="1"/>
  <c r="K1287" i="1" a="1"/>
  <c r="K1287" i="1" s="1"/>
  <c r="K1271" i="1" a="1"/>
  <c r="K1271" i="1" s="1"/>
  <c r="K1243" i="1" a="1"/>
  <c r="K1243" i="1" s="1"/>
  <c r="K1226" i="1" a="1"/>
  <c r="K1226" i="1" s="1"/>
  <c r="K1207" i="1" a="1"/>
  <c r="K1207" i="1" s="1"/>
  <c r="K1175" i="1" a="1"/>
  <c r="K1175" i="1" s="1"/>
  <c r="K1140" i="1" a="1"/>
  <c r="K1140" i="1" s="1"/>
  <c r="K1124" i="1" a="1"/>
  <c r="K1124" i="1" s="1"/>
  <c r="K1090" i="1" a="1"/>
  <c r="K1090" i="1" s="1"/>
  <c r="K1071" i="1" a="1"/>
  <c r="K1071" i="1" s="1"/>
  <c r="K1057" i="1" a="1"/>
  <c r="K1057" i="1" s="1"/>
  <c r="K1034" i="1" a="1"/>
  <c r="K1034" i="1" s="1"/>
  <c r="K1015" i="1" a="1"/>
  <c r="K1015" i="1" s="1"/>
  <c r="K1001" i="1" a="1"/>
  <c r="K1001" i="1" s="1"/>
  <c r="K982" i="1" a="1"/>
  <c r="K982" i="1" s="1"/>
  <c r="K940" i="1" a="1"/>
  <c r="K940" i="1" s="1"/>
  <c r="K923" i="1" a="1"/>
  <c r="K923" i="1" s="1"/>
  <c r="K901" i="1" a="1"/>
  <c r="K901" i="1" s="1"/>
  <c r="K864" i="1" a="1"/>
  <c r="K864" i="1" s="1"/>
  <c r="K844" i="1" a="1"/>
  <c r="K844" i="1" s="1"/>
  <c r="K757" i="1" a="1"/>
  <c r="K757" i="1" s="1"/>
  <c r="K726" i="1" a="1"/>
  <c r="K726" i="1" s="1"/>
  <c r="K693" i="1" a="1"/>
  <c r="K693" i="1" s="1"/>
  <c r="K642" i="1" a="1"/>
  <c r="K642" i="1" s="1"/>
  <c r="K608" i="1" a="1"/>
  <c r="K608" i="1" s="1"/>
  <c r="K551" i="1" a="1"/>
  <c r="K551" i="1" s="1"/>
  <c r="K516" i="1" a="1"/>
  <c r="K516" i="1" s="1"/>
  <c r="K462" i="1" a="1"/>
  <c r="K462" i="1" s="1"/>
  <c r="K413" i="1" a="1"/>
  <c r="K413" i="1" s="1"/>
  <c r="K312" i="1" a="1"/>
  <c r="K312" i="1" s="1"/>
  <c r="K145" i="1" a="1"/>
  <c r="K145" i="1" s="1"/>
  <c r="K966" i="1" a="1"/>
  <c r="K966" i="1" s="1"/>
  <c r="K1367" i="1" a="1"/>
  <c r="K1367" i="1" s="1"/>
  <c r="K1312" i="1" a="1"/>
  <c r="K1312" i="1" s="1"/>
  <c r="K1297" i="1" a="1"/>
  <c r="K1297" i="1" s="1"/>
  <c r="K1285" i="1" a="1"/>
  <c r="K1285" i="1" s="1"/>
  <c r="K1270" i="1" a="1"/>
  <c r="K1270" i="1" s="1"/>
  <c r="K1255" i="1" a="1"/>
  <c r="K1255" i="1" s="1"/>
  <c r="K1240" i="1" a="1"/>
  <c r="K1240" i="1" s="1"/>
  <c r="K1225" i="1" a="1"/>
  <c r="K1225" i="1" s="1"/>
  <c r="K1189" i="1" a="1"/>
  <c r="K1189" i="1" s="1"/>
  <c r="K1173" i="1" a="1"/>
  <c r="K1173" i="1" s="1"/>
  <c r="K1157" i="1" a="1"/>
  <c r="K1157" i="1" s="1"/>
  <c r="K1139" i="1" a="1"/>
  <c r="K1139" i="1" s="1"/>
  <c r="K1108" i="1" a="1"/>
  <c r="K1108" i="1" s="1"/>
  <c r="K1070" i="1" a="1"/>
  <c r="K1070" i="1" s="1"/>
  <c r="K1053" i="1" a="1"/>
  <c r="K1053" i="1" s="1"/>
  <c r="K1033" i="1" a="1"/>
  <c r="K1033" i="1" s="1"/>
  <c r="K1014" i="1" a="1"/>
  <c r="K1014" i="1" s="1"/>
  <c r="K995" i="1" a="1"/>
  <c r="K995" i="1" s="1"/>
  <c r="K978" i="1" a="1"/>
  <c r="K978" i="1" s="1"/>
  <c r="K961" i="1" a="1"/>
  <c r="K961" i="1" s="1"/>
  <c r="K939" i="1" a="1"/>
  <c r="K939" i="1" s="1"/>
  <c r="K921" i="1" a="1"/>
  <c r="K921" i="1" s="1"/>
  <c r="K900" i="1" a="1"/>
  <c r="K900" i="1" s="1"/>
  <c r="K881" i="1" a="1"/>
  <c r="K881" i="1" s="1"/>
  <c r="K841" i="1" a="1"/>
  <c r="K841" i="1" s="1"/>
  <c r="K814" i="1" a="1"/>
  <c r="K814" i="1" s="1"/>
  <c r="K784" i="1" a="1"/>
  <c r="K784" i="1" s="1"/>
  <c r="K661" i="1" a="1"/>
  <c r="K661" i="1" s="1"/>
  <c r="K636" i="1" a="1"/>
  <c r="K636" i="1" s="1"/>
  <c r="K577" i="1" a="1"/>
  <c r="K577" i="1" s="1"/>
  <c r="K549" i="1" a="1"/>
  <c r="K549" i="1" s="1"/>
  <c r="K511" i="1" a="1"/>
  <c r="K511" i="1" s="1"/>
  <c r="K457" i="1" a="1"/>
  <c r="K457" i="1" s="1"/>
  <c r="K399" i="1" a="1"/>
  <c r="K399" i="1" s="1"/>
  <c r="K309" i="1" a="1"/>
  <c r="K309" i="1" s="1"/>
  <c r="K137" i="1" a="1"/>
  <c r="K137" i="1" s="1"/>
  <c r="K1153" i="1" a="1"/>
  <c r="K1153" i="1" s="1"/>
  <c r="K1296" i="1" a="1"/>
  <c r="K1296" i="1" s="1"/>
  <c r="K1281" i="1" a="1"/>
  <c r="K1281" i="1" s="1"/>
  <c r="K1269" i="1" a="1"/>
  <c r="K1269" i="1" s="1"/>
  <c r="K1223" i="1" a="1"/>
  <c r="K1223" i="1" s="1"/>
  <c r="K1206" i="1" a="1"/>
  <c r="K1206" i="1" s="1"/>
  <c r="K1188" i="1" a="1"/>
  <c r="K1188" i="1" s="1"/>
  <c r="K1169" i="1" a="1"/>
  <c r="K1169" i="1" s="1"/>
  <c r="K1137" i="1" a="1"/>
  <c r="K1137" i="1" s="1"/>
  <c r="K1120" i="1" a="1"/>
  <c r="K1120" i="1" s="1"/>
  <c r="K1105" i="1" a="1"/>
  <c r="K1105" i="1" s="1"/>
  <c r="K1087" i="1" a="1"/>
  <c r="K1087" i="1" s="1"/>
  <c r="K1069" i="1" a="1"/>
  <c r="K1069" i="1" s="1"/>
  <c r="K1050" i="1" a="1"/>
  <c r="K1050" i="1" s="1"/>
  <c r="K1032" i="1" a="1"/>
  <c r="K1032" i="1" s="1"/>
  <c r="K994" i="1" a="1"/>
  <c r="K994" i="1" s="1"/>
  <c r="K977" i="1" a="1"/>
  <c r="K977" i="1" s="1"/>
  <c r="K960" i="1" a="1"/>
  <c r="K960" i="1" s="1"/>
  <c r="K936" i="1" a="1"/>
  <c r="K936" i="1" s="1"/>
  <c r="K916" i="1" a="1"/>
  <c r="K916" i="1" s="1"/>
  <c r="K857" i="1" a="1"/>
  <c r="K857" i="1" s="1"/>
  <c r="K780" i="1" a="1"/>
  <c r="K780" i="1" s="1"/>
  <c r="K747" i="1" a="1"/>
  <c r="K747" i="1" s="1"/>
  <c r="K721" i="1" a="1"/>
  <c r="K721" i="1" s="1"/>
  <c r="K692" i="1" a="1"/>
  <c r="K692" i="1" s="1"/>
  <c r="K660" i="1" a="1"/>
  <c r="K660" i="1" s="1"/>
  <c r="K634" i="1" a="1"/>
  <c r="K634" i="1" s="1"/>
  <c r="K607" i="1" a="1"/>
  <c r="K607" i="1" s="1"/>
  <c r="K574" i="1" a="1"/>
  <c r="K574" i="1" s="1"/>
  <c r="K509" i="1" a="1"/>
  <c r="K509" i="1" s="1"/>
  <c r="K456" i="1" a="1"/>
  <c r="K456" i="1" s="1"/>
  <c r="K398" i="1" a="1"/>
  <c r="K398" i="1" s="1"/>
  <c r="K298" i="1" a="1"/>
  <c r="K298" i="1" s="1"/>
  <c r="K115" i="1" a="1"/>
  <c r="K115" i="1" s="1"/>
  <c r="K1291" i="1" a="1"/>
  <c r="K1291" i="1" s="1"/>
  <c r="K1332" i="1" a="1"/>
  <c r="K1332" i="1" s="1"/>
  <c r="K1320" i="1" a="1"/>
  <c r="K1320" i="1" s="1"/>
  <c r="K1295" i="1" a="1"/>
  <c r="K1295" i="1" s="1"/>
  <c r="K1254" i="1" a="1"/>
  <c r="K1254" i="1" s="1"/>
  <c r="K1239" i="1" a="1"/>
  <c r="K1239" i="1" s="1"/>
  <c r="K1185" i="1" a="1"/>
  <c r="K1185" i="1" s="1"/>
  <c r="K1154" i="1" a="1"/>
  <c r="K1154" i="1" s="1"/>
  <c r="K1136" i="1" a="1"/>
  <c r="K1136" i="1" s="1"/>
  <c r="K1101" i="1" a="1"/>
  <c r="K1101" i="1" s="1"/>
  <c r="K1068" i="1" a="1"/>
  <c r="K1068" i="1" s="1"/>
  <c r="K1013" i="1" a="1"/>
  <c r="K1013" i="1" s="1"/>
  <c r="K993" i="1" a="1"/>
  <c r="K993" i="1" s="1"/>
  <c r="K959" i="1" a="1"/>
  <c r="K959" i="1" s="1"/>
  <c r="K935" i="1" a="1"/>
  <c r="K935" i="1" s="1"/>
  <c r="K880" i="1" a="1"/>
  <c r="K880" i="1" s="1"/>
  <c r="K856" i="1" a="1"/>
  <c r="K856" i="1" s="1"/>
  <c r="K779" i="1" a="1"/>
  <c r="K779" i="1" s="1"/>
  <c r="K719" i="1" a="1"/>
  <c r="K719" i="1" s="1"/>
  <c r="K540" i="1" a="1"/>
  <c r="K540" i="1" s="1"/>
  <c r="K454" i="1" a="1"/>
  <c r="K454" i="1" s="1"/>
  <c r="K392" i="1" a="1"/>
  <c r="K392" i="1" s="1"/>
  <c r="K246" i="1" a="1"/>
  <c r="K246" i="1" s="1"/>
  <c r="K112" i="1" a="1"/>
  <c r="K112" i="1" s="1"/>
  <c r="K625" i="1" a="1"/>
  <c r="K625" i="1" s="1"/>
  <c r="K728" i="1" a="1"/>
  <c r="K728" i="1" s="1"/>
  <c r="K1028" i="1" a="1"/>
  <c r="K1028" i="1" s="1"/>
  <c r="K1331" i="1" a="1"/>
  <c r="K1331" i="1" s="1"/>
  <c r="K1319" i="1" a="1"/>
  <c r="K1319" i="1" s="1"/>
  <c r="K1309" i="1" a="1"/>
  <c r="K1309" i="1" s="1"/>
  <c r="K1265" i="1" a="1"/>
  <c r="K1265" i="1" s="1"/>
  <c r="K1236" i="1" a="1"/>
  <c r="K1236" i="1" s="1"/>
  <c r="K1218" i="1" a="1"/>
  <c r="K1218" i="1" s="1"/>
  <c r="K1203" i="1" a="1"/>
  <c r="K1203" i="1" s="1"/>
  <c r="K1184" i="1" a="1"/>
  <c r="K1184" i="1" s="1"/>
  <c r="K1168" i="1" a="1"/>
  <c r="K1168" i="1" s="1"/>
  <c r="K1150" i="1" a="1"/>
  <c r="K1150" i="1" s="1"/>
  <c r="K1119" i="1" a="1"/>
  <c r="K1119" i="1" s="1"/>
  <c r="K1100" i="1" a="1"/>
  <c r="K1100" i="1" s="1"/>
  <c r="K1085" i="1" a="1"/>
  <c r="K1085" i="1" s="1"/>
  <c r="K1067" i="1" a="1"/>
  <c r="K1067" i="1" s="1"/>
  <c r="K1049" i="1" a="1"/>
  <c r="K1049" i="1" s="1"/>
  <c r="K1011" i="1" a="1"/>
  <c r="K1011" i="1" s="1"/>
  <c r="K992" i="1" a="1"/>
  <c r="K992" i="1" s="1"/>
  <c r="K974" i="1" a="1"/>
  <c r="K974" i="1" s="1"/>
  <c r="K957" i="1" a="1"/>
  <c r="K957" i="1" s="1"/>
  <c r="K915" i="1" a="1"/>
  <c r="K915" i="1" s="1"/>
  <c r="K878" i="1" a="1"/>
  <c r="K878" i="1" s="1"/>
  <c r="K833" i="1" a="1"/>
  <c r="K833" i="1" s="1"/>
  <c r="K774" i="1" a="1"/>
  <c r="K774" i="1" s="1"/>
  <c r="K746" i="1" a="1"/>
  <c r="K746" i="1" s="1"/>
  <c r="K711" i="1" a="1"/>
  <c r="K711" i="1" s="1"/>
  <c r="K687" i="1" a="1"/>
  <c r="K687" i="1" s="1"/>
  <c r="K659" i="1" a="1"/>
  <c r="K659" i="1" s="1"/>
  <c r="K628" i="1" a="1"/>
  <c r="K628" i="1" s="1"/>
  <c r="K570" i="1" a="1"/>
  <c r="K570" i="1" s="1"/>
  <c r="K496" i="1" a="1"/>
  <c r="K496" i="1" s="1"/>
  <c r="K452" i="1" a="1"/>
  <c r="K452" i="1" s="1"/>
  <c r="K391" i="1" a="1"/>
  <c r="K391" i="1" s="1"/>
  <c r="K101" i="1" a="1"/>
  <c r="K101" i="1" s="1"/>
  <c r="K594" i="1" a="1"/>
  <c r="K594" i="1" s="1"/>
  <c r="K1052" i="1" a="1"/>
  <c r="K1052" i="1" s="1"/>
  <c r="K1294" i="1" a="1"/>
  <c r="K1294" i="1" s="1"/>
  <c r="K1279" i="1" a="1"/>
  <c r="K1279" i="1" s="1"/>
  <c r="K1198" i="1" a="1"/>
  <c r="K1198" i="1" s="1"/>
  <c r="K1149" i="1" a="1"/>
  <c r="K1149" i="1" s="1"/>
  <c r="K1118" i="1" a="1"/>
  <c r="K1118" i="1" s="1"/>
  <c r="K1082" i="1" a="1"/>
  <c r="K1082" i="1" s="1"/>
  <c r="K1066" i="1" a="1"/>
  <c r="K1066" i="1" s="1"/>
  <c r="K1025" i="1" a="1"/>
  <c r="K1025" i="1" s="1"/>
  <c r="K1010" i="1" a="1"/>
  <c r="K1010" i="1" s="1"/>
  <c r="K971" i="1" a="1"/>
  <c r="K971" i="1" s="1"/>
  <c r="K934" i="1" a="1"/>
  <c r="K934" i="1" s="1"/>
  <c r="K892" i="1" a="1"/>
  <c r="K892" i="1" s="1"/>
  <c r="K877" i="1" a="1"/>
  <c r="K877" i="1" s="1"/>
  <c r="K855" i="1" a="1"/>
  <c r="K855" i="1" s="1"/>
  <c r="K831" i="1" a="1"/>
  <c r="K831" i="1" s="1"/>
  <c r="K800" i="1" a="1"/>
  <c r="K800" i="1" s="1"/>
  <c r="K745" i="1" a="1"/>
  <c r="K745" i="1" s="1"/>
  <c r="K710" i="1" a="1"/>
  <c r="K710" i="1" s="1"/>
  <c r="K685" i="1" a="1"/>
  <c r="K685" i="1" s="1"/>
  <c r="K624" i="1" a="1"/>
  <c r="K624" i="1" s="1"/>
  <c r="K593" i="1" a="1"/>
  <c r="K593" i="1" s="1"/>
  <c r="K535" i="1" a="1"/>
  <c r="K535" i="1" s="1"/>
  <c r="K490" i="1" a="1"/>
  <c r="K490" i="1" s="1"/>
  <c r="K446" i="1" a="1"/>
  <c r="K446" i="1" s="1"/>
  <c r="K389" i="1" a="1"/>
  <c r="K389" i="1" s="1"/>
  <c r="K235" i="1" a="1"/>
  <c r="K235" i="1" s="1"/>
  <c r="K50" i="1" a="1"/>
  <c r="K50" i="1" s="1"/>
  <c r="K1330" i="1" a="1"/>
  <c r="K1330" i="1" s="1"/>
  <c r="K1318" i="1" a="1"/>
  <c r="K1318" i="1" s="1"/>
  <c r="K1264" i="1" a="1"/>
  <c r="K1264" i="1" s="1"/>
  <c r="K1249" i="1" a="1"/>
  <c r="K1249" i="1" s="1"/>
  <c r="K1235" i="1" a="1"/>
  <c r="K1235" i="1" s="1"/>
  <c r="K1217" i="1" a="1"/>
  <c r="K1217" i="1" s="1"/>
  <c r="K1197" i="1" a="1"/>
  <c r="K1197" i="1" s="1"/>
  <c r="K1167" i="1" a="1"/>
  <c r="K1167" i="1" s="1"/>
  <c r="K1148" i="1" a="1"/>
  <c r="K1148" i="1" s="1"/>
  <c r="K1132" i="1" a="1"/>
  <c r="K1132" i="1" s="1"/>
  <c r="K1099" i="1" a="1"/>
  <c r="K1099" i="1" s="1"/>
  <c r="K1079" i="1" a="1"/>
  <c r="K1079" i="1" s="1"/>
  <c r="K1065" i="1" a="1"/>
  <c r="K1065" i="1" s="1"/>
  <c r="K1048" i="1" a="1"/>
  <c r="K1048" i="1" s="1"/>
  <c r="K991" i="1" a="1"/>
  <c r="K991" i="1" s="1"/>
  <c r="K951" i="1" a="1"/>
  <c r="K951" i="1" s="1"/>
  <c r="K932" i="1" a="1"/>
  <c r="K932" i="1" s="1"/>
  <c r="K914" i="1" a="1"/>
  <c r="K914" i="1" s="1"/>
  <c r="K799" i="1" a="1"/>
  <c r="K799" i="1" s="1"/>
  <c r="K744" i="1" a="1"/>
  <c r="K744" i="1" s="1"/>
  <c r="K679" i="1" a="1"/>
  <c r="K679" i="1" s="1"/>
  <c r="K655" i="1" a="1"/>
  <c r="K655" i="1" s="1"/>
  <c r="K592" i="1" a="1"/>
  <c r="K592" i="1" s="1"/>
  <c r="K568" i="1" a="1"/>
  <c r="K568" i="1" s="1"/>
  <c r="K489" i="1" a="1"/>
  <c r="K489" i="1" s="1"/>
  <c r="K433" i="1" a="1"/>
  <c r="K433" i="1" s="1"/>
  <c r="K232" i="1" a="1"/>
  <c r="K232" i="1" s="1"/>
  <c r="K47" i="1" a="1"/>
  <c r="K47" i="1" s="1"/>
  <c r="K482" i="1" a="1"/>
  <c r="K482" i="1" s="1"/>
  <c r="K801" i="1" a="1"/>
  <c r="K801" i="1" s="1"/>
  <c r="K813" i="1" a="1"/>
  <c r="K813" i="1" s="1"/>
  <c r="K897" i="1" a="1"/>
  <c r="K897" i="1" s="1"/>
  <c r="K909" i="1" a="1"/>
  <c r="K909" i="1" s="1"/>
  <c r="K1278" i="1" a="1"/>
  <c r="K1278" i="1" s="1"/>
  <c r="K1233" i="1" a="1"/>
  <c r="K1233" i="1" s="1"/>
  <c r="K1216" i="1" a="1"/>
  <c r="K1216" i="1" s="1"/>
  <c r="K1196" i="1" a="1"/>
  <c r="K1196" i="1" s="1"/>
  <c r="K1180" i="1" a="1"/>
  <c r="K1180" i="1" s="1"/>
  <c r="K1166" i="1" a="1"/>
  <c r="K1166" i="1" s="1"/>
  <c r="K1130" i="1" a="1"/>
  <c r="K1130" i="1" s="1"/>
  <c r="K1116" i="1" a="1"/>
  <c r="K1116" i="1" s="1"/>
  <c r="K1098" i="1" a="1"/>
  <c r="K1098" i="1" s="1"/>
  <c r="K1061" i="1" a="1"/>
  <c r="K1061" i="1" s="1"/>
  <c r="K1024" i="1" a="1"/>
  <c r="K1024" i="1" s="1"/>
  <c r="K1006" i="1" a="1"/>
  <c r="K1006" i="1" s="1"/>
  <c r="K970" i="1" a="1"/>
  <c r="K970" i="1" s="1"/>
  <c r="K910" i="1" a="1"/>
  <c r="K910" i="1" s="1"/>
  <c r="K891" i="1" a="1"/>
  <c r="K891" i="1" s="1"/>
  <c r="K872" i="1" a="1"/>
  <c r="K872" i="1" s="1"/>
  <c r="K853" i="1" a="1"/>
  <c r="K853" i="1" s="1"/>
  <c r="K798" i="1" a="1"/>
  <c r="K798" i="1" s="1"/>
  <c r="K764" i="1" a="1"/>
  <c r="K764" i="1" s="1"/>
  <c r="K738" i="1" a="1"/>
  <c r="K738" i="1" s="1"/>
  <c r="K709" i="1" a="1"/>
  <c r="K709" i="1" s="1"/>
  <c r="K678" i="1" a="1"/>
  <c r="K678" i="1" s="1"/>
  <c r="K653" i="1" a="1"/>
  <c r="K653" i="1" s="1"/>
  <c r="K620" i="1" a="1"/>
  <c r="K620" i="1" s="1"/>
  <c r="K558" i="1" a="1"/>
  <c r="K558" i="1" s="1"/>
  <c r="K532" i="1" a="1"/>
  <c r="K532" i="1" s="1"/>
  <c r="K488" i="1" a="1"/>
  <c r="K488" i="1" s="1"/>
  <c r="K431" i="1" a="1"/>
  <c r="K431" i="1" s="1"/>
  <c r="K381" i="1" a="1"/>
  <c r="K381" i="1" s="1"/>
  <c r="K224" i="1" a="1"/>
  <c r="K224" i="1" s="1"/>
  <c r="K39" i="1" a="1"/>
  <c r="K39" i="1" s="1"/>
  <c r="K976" i="1" a="1"/>
  <c r="K976" i="1" s="1"/>
  <c r="K1138" i="1" a="1"/>
  <c r="K1138" i="1" s="1"/>
  <c r="K1162" i="1" a="1"/>
  <c r="K1162" i="1" s="1"/>
  <c r="K1186" i="1" a="1"/>
  <c r="K1186" i="1" s="1"/>
  <c r="K1192" i="1" a="1"/>
  <c r="K1192" i="1" s="1"/>
  <c r="K1222" i="1" a="1"/>
  <c r="K1222" i="1" s="1"/>
  <c r="K1234" i="1" a="1"/>
  <c r="K1234" i="1" s="1"/>
  <c r="K1252" i="1" a="1"/>
  <c r="K1252" i="1" s="1"/>
  <c r="K1258" i="1" a="1"/>
  <c r="K1258" i="1" s="1"/>
  <c r="K1300" i="1" a="1"/>
  <c r="K1300" i="1" s="1"/>
  <c r="K1306" i="1" a="1"/>
  <c r="K1306" i="1" s="1"/>
  <c r="K1355" i="1" a="1"/>
  <c r="K1355" i="1" s="1"/>
  <c r="K1303" i="1" a="1"/>
  <c r="K1303" i="1" s="1"/>
  <c r="K1289" i="1" a="1"/>
  <c r="K1289" i="1" s="1"/>
  <c r="K1277" i="1" a="1"/>
  <c r="K1277" i="1" s="1"/>
  <c r="K1263" i="1" a="1"/>
  <c r="K1263" i="1" s="1"/>
  <c r="K1248" i="1" a="1"/>
  <c r="K1248" i="1" s="1"/>
  <c r="K1230" i="1" a="1"/>
  <c r="K1230" i="1" s="1"/>
  <c r="K1178" i="1" a="1"/>
  <c r="K1178" i="1" s="1"/>
  <c r="K1164" i="1" a="1"/>
  <c r="K1164" i="1" s="1"/>
  <c r="K1147" i="1" a="1"/>
  <c r="K1147" i="1" s="1"/>
  <c r="K1129" i="1" a="1"/>
  <c r="K1129" i="1" s="1"/>
  <c r="K1078" i="1" a="1"/>
  <c r="K1078" i="1" s="1"/>
  <c r="K1044" i="1" a="1"/>
  <c r="K1044" i="1" s="1"/>
  <c r="K1004" i="1" a="1"/>
  <c r="K1004" i="1" s="1"/>
  <c r="K969" i="1" a="1"/>
  <c r="K969" i="1" s="1"/>
  <c r="K950" i="1" a="1"/>
  <c r="K950" i="1" s="1"/>
  <c r="K926" i="1" a="1"/>
  <c r="K926" i="1" s="1"/>
  <c r="K908" i="1" a="1"/>
  <c r="K908" i="1" s="1"/>
  <c r="K868" i="1" a="1"/>
  <c r="K868" i="1" s="1"/>
  <c r="K846" i="1" a="1"/>
  <c r="K846" i="1" s="1"/>
  <c r="K826" i="1" a="1"/>
  <c r="K826" i="1" s="1"/>
  <c r="K797" i="1" a="1"/>
  <c r="K797" i="1" s="1"/>
  <c r="K763" i="1" a="1"/>
  <c r="K763" i="1" s="1"/>
  <c r="K736" i="1" a="1"/>
  <c r="K736" i="1" s="1"/>
  <c r="K708" i="1" a="1"/>
  <c r="K708" i="1" s="1"/>
  <c r="K645" i="1" a="1"/>
  <c r="K645" i="1" s="1"/>
  <c r="K591" i="1" a="1"/>
  <c r="K591" i="1" s="1"/>
  <c r="K527" i="1" a="1"/>
  <c r="K527" i="1" s="1"/>
  <c r="K484" i="1" a="1"/>
  <c r="K484" i="1" s="1"/>
  <c r="K430" i="1" a="1"/>
  <c r="K430" i="1" s="1"/>
  <c r="K36" i="1" a="1"/>
  <c r="K36" i="1" s="1"/>
  <c r="K928" i="1" a="1"/>
  <c r="K928" i="1" s="1"/>
  <c r="K1114" i="1" a="1"/>
  <c r="K1114" i="1" s="1"/>
  <c r="K1174" i="1" a="1"/>
  <c r="K1174" i="1" s="1"/>
  <c r="K1204" i="1" a="1"/>
  <c r="K1204" i="1" s="1"/>
  <c r="K1210" i="1" a="1"/>
  <c r="K1210" i="1" s="1"/>
  <c r="K1276" i="1" a="1"/>
  <c r="K1276" i="1" s="1"/>
  <c r="K1282" i="1" a="1"/>
  <c r="K1282" i="1" s="1"/>
  <c r="K1326" i="1" a="1"/>
  <c r="K1326" i="1" s="1"/>
  <c r="K1247" i="1" a="1"/>
  <c r="K1247" i="1" s="1"/>
  <c r="K1228" i="1" a="1"/>
  <c r="K1228" i="1" s="1"/>
  <c r="K1214" i="1" a="1"/>
  <c r="K1214" i="1" s="1"/>
  <c r="K1195" i="1" a="1"/>
  <c r="K1195" i="1" s="1"/>
  <c r="K1177" i="1" a="1"/>
  <c r="K1177" i="1" s="1"/>
  <c r="K1159" i="1" a="1"/>
  <c r="K1159" i="1" s="1"/>
  <c r="K1128" i="1" a="1"/>
  <c r="K1128" i="1" s="1"/>
  <c r="K1110" i="1" a="1"/>
  <c r="K1110" i="1" s="1"/>
  <c r="K1077" i="1" a="1"/>
  <c r="K1077" i="1" s="1"/>
  <c r="K1060" i="1" a="1"/>
  <c r="K1060" i="1" s="1"/>
  <c r="K1039" i="1" a="1"/>
  <c r="K1039" i="1" s="1"/>
  <c r="K1023" i="1" a="1"/>
  <c r="K1023" i="1" s="1"/>
  <c r="K985" i="1" a="1"/>
  <c r="K985" i="1" s="1"/>
  <c r="K967" i="1" a="1"/>
  <c r="K967" i="1" s="1"/>
  <c r="K904" i="1" a="1"/>
  <c r="K904" i="1" s="1"/>
  <c r="K890" i="1" a="1"/>
  <c r="K890" i="1" s="1"/>
  <c r="K867" i="1" a="1"/>
  <c r="K867" i="1" s="1"/>
  <c r="K824" i="1" a="1"/>
  <c r="K824" i="1" s="1"/>
  <c r="K796" i="1" a="1"/>
  <c r="K796" i="1" s="1"/>
  <c r="K762" i="1" a="1"/>
  <c r="K762" i="1" s="1"/>
  <c r="K731" i="1" a="1"/>
  <c r="K731" i="1" s="1"/>
  <c r="K704" i="1" a="1"/>
  <c r="K704" i="1" s="1"/>
  <c r="K675" i="1" a="1"/>
  <c r="K675" i="1" s="1"/>
  <c r="K644" i="1" a="1"/>
  <c r="K644" i="1" s="1"/>
  <c r="K618" i="1" a="1"/>
  <c r="K618" i="1" s="1"/>
  <c r="K557" i="1" a="1"/>
  <c r="K557" i="1" s="1"/>
  <c r="K479" i="1" a="1"/>
  <c r="K479" i="1" s="1"/>
  <c r="K425" i="1" a="1"/>
  <c r="K425" i="1" s="1"/>
  <c r="K347" i="1" a="1"/>
  <c r="K347" i="1" s="1"/>
  <c r="K203" i="1" a="1"/>
  <c r="K203" i="1" s="1"/>
  <c r="K887" i="1" a="1"/>
  <c r="K887" i="1" s="1"/>
  <c r="K1307" i="1" a="1"/>
  <c r="K1307" i="1" s="1"/>
  <c r="K1337" i="1" a="1"/>
  <c r="K1337" i="1" s="1"/>
  <c r="K1343" i="1" a="1"/>
  <c r="K1343" i="1" s="1"/>
  <c r="K1361" i="1" a="1"/>
  <c r="K1361" i="1" s="1"/>
  <c r="K1325" i="1" a="1"/>
  <c r="K1325" i="1" s="1"/>
  <c r="K1302" i="1" a="1"/>
  <c r="K1302" i="1" s="1"/>
  <c r="K1288" i="1" a="1"/>
  <c r="K1288" i="1" s="1"/>
  <c r="K1273" i="1" a="1"/>
  <c r="K1273" i="1" s="1"/>
  <c r="K1261" i="1" a="1"/>
  <c r="K1261" i="1" s="1"/>
  <c r="K1246" i="1" a="1"/>
  <c r="K1246" i="1" s="1"/>
  <c r="K1208" i="1" a="1"/>
  <c r="K1208" i="1" s="1"/>
  <c r="K1127" i="1" a="1"/>
  <c r="K1127" i="1" s="1"/>
  <c r="K1076" i="1" a="1"/>
  <c r="K1076" i="1" s="1"/>
  <c r="K1059" i="1" a="1"/>
  <c r="K1059" i="1" s="1"/>
  <c r="K1038" i="1" a="1"/>
  <c r="K1038" i="1" s="1"/>
  <c r="K1022" i="1" a="1"/>
  <c r="K1022" i="1" s="1"/>
  <c r="K1003" i="1" a="1"/>
  <c r="K1003" i="1" s="1"/>
  <c r="K984" i="1" a="1"/>
  <c r="K984" i="1" s="1"/>
  <c r="K946" i="1" a="1"/>
  <c r="K946" i="1" s="1"/>
  <c r="K925" i="1" a="1"/>
  <c r="K925" i="1" s="1"/>
  <c r="K889" i="1" a="1"/>
  <c r="K889" i="1" s="1"/>
  <c r="K866" i="1" a="1"/>
  <c r="K866" i="1" s="1"/>
  <c r="K845" i="1" a="1"/>
  <c r="K845" i="1" s="1"/>
  <c r="K816" i="1" a="1"/>
  <c r="K816" i="1" s="1"/>
  <c r="K791" i="1" a="1"/>
  <c r="K791" i="1" s="1"/>
  <c r="K761" i="1" a="1"/>
  <c r="K761" i="1" s="1"/>
  <c r="K730" i="1" a="1"/>
  <c r="K730" i="1" s="1"/>
  <c r="K702" i="1" a="1"/>
  <c r="K702" i="1" s="1"/>
  <c r="K610" i="1" a="1"/>
  <c r="K610" i="1" s="1"/>
  <c r="K586" i="1" a="1"/>
  <c r="K586" i="1" s="1"/>
  <c r="K517" i="1" a="1"/>
  <c r="K517" i="1" s="1"/>
  <c r="K477" i="1" a="1"/>
  <c r="K477" i="1" s="1"/>
  <c r="K421" i="1" a="1"/>
  <c r="K421" i="1" s="1"/>
  <c r="K344" i="1" a="1"/>
  <c r="K344" i="1" s="1"/>
  <c r="K159" i="1" a="1"/>
  <c r="K159" i="1" s="1"/>
  <c r="K16" i="1" a="1"/>
  <c r="K16" i="1" s="1"/>
  <c r="K2" i="1" a="1"/>
  <c r="K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7" i="1" a="1"/>
  <c r="K37" i="1" s="1"/>
  <c r="K38" i="1" a="1"/>
  <c r="K38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8" i="1" a="1"/>
  <c r="K48" i="1" s="1"/>
  <c r="K49" i="1" a="1"/>
  <c r="K49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2" i="1" a="1"/>
  <c r="K102" i="1" s="1"/>
  <c r="K103" i="1" a="1"/>
  <c r="K103" i="1" s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3" i="1" a="1"/>
  <c r="K113" i="1" s="1"/>
  <c r="K114" i="1" a="1"/>
  <c r="K114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3" i="1" a="1"/>
  <c r="K233" i="1" s="1"/>
  <c r="K234" i="1" a="1"/>
  <c r="K234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6" i="1" a="1"/>
  <c r="K266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 s="1"/>
  <c r="K290" i="1" a="1"/>
  <c r="K290" i="1" s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 s="1"/>
  <c r="K297" i="1" a="1"/>
  <c r="K297" i="1" s="1"/>
  <c r="K299" i="1" a="1"/>
  <c r="K299" i="1" s="1"/>
  <c r="K300" i="1" a="1"/>
  <c r="K300" i="1" s="1"/>
  <c r="K301" i="1" a="1"/>
  <c r="K301" i="1" s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10" i="1" a="1"/>
  <c r="K310" i="1" s="1"/>
  <c r="K311" i="1" a="1"/>
  <c r="K311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5" i="1" a="1"/>
  <c r="K345" i="1" s="1"/>
  <c r="K346" i="1" a="1"/>
  <c r="K346" i="1" s="1"/>
  <c r="K348" i="1" a="1"/>
  <c r="K348" i="1" s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0" i="1" a="1"/>
  <c r="K380" i="1" s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 s="1"/>
  <c r="K390" i="1" a="1"/>
  <c r="K390" i="1" s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400" i="1" a="1"/>
  <c r="K400" i="1" s="1"/>
  <c r="K401" i="1" a="1"/>
  <c r="K401" i="1" s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2" i="1" a="1"/>
  <c r="K422" i="1" s="1"/>
  <c r="K423" i="1" a="1"/>
  <c r="K423" i="1" s="1"/>
  <c r="K424" i="1" a="1"/>
  <c r="K424" i="1" s="1"/>
  <c r="K426" i="1" a="1"/>
  <c r="K426" i="1" s="1"/>
  <c r="K427" i="1" a="1"/>
  <c r="K427" i="1" s="1"/>
  <c r="K428" i="1" a="1"/>
  <c r="K428" i="1" s="1"/>
  <c r="K429" i="1" a="1"/>
  <c r="K429" i="1" s="1"/>
  <c r="K432" i="1" a="1"/>
  <c r="K432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3" i="1" a="1"/>
  <c r="K453" i="1" s="1"/>
  <c r="K455" i="1" a="1"/>
  <c r="K455" i="1" s="1"/>
  <c r="K458" i="1" a="1"/>
  <c r="K458" i="1" s="1"/>
  <c r="K459" i="1" a="1"/>
  <c r="K459" i="1" s="1"/>
  <c r="K460" i="1" a="1"/>
  <c r="K460" i="1" s="1"/>
  <c r="K461" i="1" a="1"/>
  <c r="K461" i="1" s="1"/>
  <c r="K464" i="1" a="1"/>
  <c r="K464" i="1" s="1"/>
  <c r="K465" i="1" a="1"/>
  <c r="K465" i="1" s="1"/>
  <c r="K466" i="1" a="1"/>
  <c r="K466" i="1" s="1"/>
  <c r="K467" i="1" a="1"/>
  <c r="K467" i="1" s="1"/>
  <c r="K468" i="1" a="1"/>
  <c r="K468" i="1" s="1"/>
  <c r="K469" i="1" a="1"/>
  <c r="K469" i="1" s="1"/>
  <c r="K470" i="1" a="1"/>
  <c r="K470" i="1" s="1"/>
  <c r="K471" i="1" a="1"/>
  <c r="K471" i="1" s="1"/>
  <c r="K472" i="1" a="1"/>
  <c r="K472" i="1" s="1"/>
  <c r="K473" i="1" a="1"/>
  <c r="K473" i="1" s="1"/>
  <c r="K474" i="1" a="1"/>
  <c r="K474" i="1" s="1"/>
  <c r="K475" i="1" a="1"/>
  <c r="K475" i="1" s="1"/>
  <c r="K476" i="1" a="1"/>
  <c r="K476" i="1" s="1"/>
  <c r="K478" i="1" a="1"/>
  <c r="K478" i="1" s="1"/>
  <c r="K480" i="1" a="1"/>
  <c r="K480" i="1" s="1"/>
  <c r="K481" i="1" a="1"/>
  <c r="K481" i="1" s="1"/>
  <c r="K483" i="1" a="1"/>
  <c r="K483" i="1" s="1"/>
  <c r="K485" i="1" a="1"/>
  <c r="K485" i="1" s="1"/>
  <c r="K486" i="1" a="1"/>
  <c r="K486" i="1" s="1"/>
  <c r="K487" i="1" a="1"/>
  <c r="K487" i="1" s="1"/>
  <c r="K491" i="1" a="1"/>
  <c r="K491" i="1" s="1"/>
  <c r="K492" i="1" a="1"/>
  <c r="K492" i="1" s="1"/>
  <c r="K493" i="1" a="1"/>
  <c r="K493" i="1" s="1"/>
  <c r="K494" i="1" a="1"/>
  <c r="K494" i="1" s="1"/>
  <c r="K495" i="1" a="1"/>
  <c r="K495" i="1" s="1"/>
  <c r="K497" i="1" a="1"/>
  <c r="K497" i="1" s="1"/>
  <c r="K498" i="1" a="1"/>
  <c r="K498" i="1" s="1"/>
  <c r="K499" i="1" a="1"/>
  <c r="K499" i="1" s="1"/>
  <c r="K500" i="1" a="1"/>
  <c r="K500" i="1" s="1"/>
  <c r="K501" i="1" a="1"/>
  <c r="K501" i="1" s="1"/>
  <c r="K502" i="1" a="1"/>
  <c r="K502" i="1" s="1"/>
  <c r="K503" i="1" a="1"/>
  <c r="K503" i="1" s="1"/>
  <c r="K504" i="1" a="1"/>
  <c r="K504" i="1" s="1"/>
  <c r="K505" i="1" a="1"/>
  <c r="K505" i="1" s="1"/>
  <c r="K506" i="1" a="1"/>
  <c r="K506" i="1" s="1"/>
  <c r="K507" i="1" a="1"/>
  <c r="K507" i="1" s="1"/>
  <c r="K508" i="1" a="1"/>
  <c r="K508" i="1" s="1"/>
  <c r="K510" i="1" a="1"/>
  <c r="K510" i="1" s="1"/>
  <c r="K512" i="1" a="1"/>
  <c r="K512" i="1" s="1"/>
  <c r="K513" i="1" a="1"/>
  <c r="K513" i="1" s="1"/>
  <c r="K514" i="1" a="1"/>
  <c r="K514" i="1" s="1"/>
  <c r="K515" i="1" a="1"/>
  <c r="K515" i="1" s="1"/>
  <c r="K518" i="1" a="1"/>
  <c r="K518" i="1" s="1"/>
  <c r="K519" i="1" a="1"/>
  <c r="K519" i="1" s="1"/>
  <c r="K520" i="1" a="1"/>
  <c r="K520" i="1" s="1"/>
  <c r="K521" i="1" a="1"/>
  <c r="K521" i="1" s="1"/>
  <c r="K522" i="1" a="1"/>
  <c r="K522" i="1" s="1"/>
  <c r="K523" i="1" a="1"/>
  <c r="K523" i="1" s="1"/>
  <c r="K524" i="1" a="1"/>
  <c r="K524" i="1" s="1"/>
  <c r="K525" i="1" a="1"/>
  <c r="K525" i="1" s="1"/>
  <c r="K526" i="1" a="1"/>
  <c r="K526" i="1" s="1"/>
  <c r="K528" i="1" a="1"/>
  <c r="K528" i="1" s="1"/>
  <c r="K529" i="1" a="1"/>
  <c r="K529" i="1" s="1"/>
  <c r="K530" i="1" a="1"/>
  <c r="K530" i="1" s="1"/>
  <c r="K531" i="1" a="1"/>
  <c r="K531" i="1" s="1"/>
  <c r="K533" i="1" a="1"/>
  <c r="K533" i="1" s="1"/>
  <c r="K534" i="1" a="1"/>
  <c r="K534" i="1" s="1"/>
  <c r="K536" i="1" a="1"/>
  <c r="K536" i="1" s="1"/>
  <c r="K537" i="1" a="1"/>
  <c r="K537" i="1" s="1"/>
  <c r="K538" i="1" a="1"/>
  <c r="K538" i="1" s="1"/>
  <c r="K539" i="1" a="1"/>
  <c r="K539" i="1" s="1"/>
  <c r="K541" i="1" a="1"/>
  <c r="K541" i="1" s="1"/>
  <c r="K542" i="1" a="1"/>
  <c r="K542" i="1" s="1"/>
  <c r="K543" i="1" a="1"/>
  <c r="K543" i="1" s="1"/>
  <c r="K544" i="1" a="1"/>
  <c r="K544" i="1" s="1"/>
  <c r="K545" i="1" a="1"/>
  <c r="K545" i="1" s="1"/>
  <c r="K546" i="1" a="1"/>
  <c r="K546" i="1" s="1"/>
  <c r="K547" i="1" a="1"/>
  <c r="K547" i="1" s="1"/>
  <c r="K548" i="1" a="1"/>
  <c r="K548" i="1" s="1"/>
  <c r="K550" i="1" a="1"/>
  <c r="K550" i="1" s="1"/>
  <c r="K552" i="1" a="1"/>
  <c r="K552" i="1" s="1"/>
  <c r="K553" i="1" a="1"/>
  <c r="K553" i="1" s="1"/>
  <c r="K554" i="1" a="1"/>
  <c r="K554" i="1" s="1"/>
  <c r="K555" i="1" a="1"/>
  <c r="K555" i="1" s="1"/>
  <c r="K556" i="1" a="1"/>
  <c r="K556" i="1" s="1"/>
  <c r="K559" i="1" a="1"/>
  <c r="K559" i="1" s="1"/>
  <c r="K560" i="1" a="1"/>
  <c r="K560" i="1" s="1"/>
  <c r="K561" i="1" a="1"/>
  <c r="K561" i="1" s="1"/>
  <c r="K562" i="1" a="1"/>
  <c r="K562" i="1" s="1"/>
  <c r="K563" i="1" a="1"/>
  <c r="K563" i="1" s="1"/>
  <c r="K564" i="1" a="1"/>
  <c r="K564" i="1" s="1"/>
  <c r="K565" i="1" a="1"/>
  <c r="K565" i="1" s="1"/>
  <c r="K566" i="1" a="1"/>
  <c r="K566" i="1" s="1"/>
  <c r="K567" i="1" a="1"/>
  <c r="K567" i="1" s="1"/>
  <c r="K569" i="1" a="1"/>
  <c r="K569" i="1" s="1"/>
  <c r="K571" i="1" a="1"/>
  <c r="K571" i="1" s="1"/>
  <c r="K572" i="1" a="1"/>
  <c r="K572" i="1" s="1"/>
  <c r="K573" i="1" a="1"/>
  <c r="K573" i="1" s="1"/>
  <c r="K575" i="1" a="1"/>
  <c r="K575" i="1" s="1"/>
  <c r="K576" i="1" a="1"/>
  <c r="K576" i="1" s="1"/>
  <c r="K578" i="1" a="1"/>
  <c r="K578" i="1" s="1"/>
  <c r="K579" i="1" a="1"/>
  <c r="K579" i="1" s="1"/>
  <c r="K580" i="1" a="1"/>
  <c r="K580" i="1" s="1"/>
  <c r="K581" i="1" a="1"/>
  <c r="K581" i="1" s="1"/>
  <c r="K582" i="1" a="1"/>
  <c r="K582" i="1" s="1"/>
  <c r="K583" i="1" a="1"/>
  <c r="K583" i="1" s="1"/>
  <c r="K584" i="1" a="1"/>
  <c r="K584" i="1" s="1"/>
  <c r="K585" i="1" a="1"/>
  <c r="K585" i="1" s="1"/>
  <c r="K587" i="1" a="1"/>
  <c r="K587" i="1" s="1"/>
  <c r="K588" i="1" a="1"/>
  <c r="K588" i="1" s="1"/>
  <c r="K589" i="1" a="1"/>
  <c r="K589" i="1" s="1"/>
  <c r="K590" i="1" a="1"/>
  <c r="K590" i="1" s="1"/>
  <c r="K595" i="1" a="1"/>
  <c r="K595" i="1" s="1"/>
  <c r="K596" i="1" a="1"/>
  <c r="K596" i="1" s="1"/>
  <c r="K597" i="1" a="1"/>
  <c r="K597" i="1" s="1"/>
  <c r="K598" i="1" a="1"/>
  <c r="K598" i="1" s="1"/>
  <c r="K599" i="1" a="1"/>
  <c r="K599" i="1" s="1"/>
  <c r="K600" i="1" a="1"/>
  <c r="K600" i="1" s="1"/>
  <c r="K601" i="1" a="1"/>
  <c r="K601" i="1" s="1"/>
  <c r="K602" i="1" a="1"/>
  <c r="K602" i="1" s="1"/>
  <c r="K603" i="1" a="1"/>
  <c r="K603" i="1" s="1"/>
  <c r="K604" i="1" a="1"/>
  <c r="K604" i="1" s="1"/>
  <c r="K605" i="1" a="1"/>
  <c r="K605" i="1" s="1"/>
  <c r="K606" i="1" a="1"/>
  <c r="K606" i="1" s="1"/>
  <c r="K611" i="1" a="1"/>
  <c r="K611" i="1" s="1"/>
  <c r="K612" i="1" a="1"/>
  <c r="K612" i="1" s="1"/>
  <c r="K613" i="1" a="1"/>
  <c r="K613" i="1" s="1"/>
  <c r="K614" i="1" a="1"/>
  <c r="K614" i="1" s="1"/>
  <c r="K615" i="1" a="1"/>
  <c r="K615" i="1" s="1"/>
  <c r="K616" i="1" a="1"/>
  <c r="K616" i="1" s="1"/>
  <c r="K617" i="1" a="1"/>
  <c r="K617" i="1" s="1"/>
  <c r="K619" i="1" a="1"/>
  <c r="K619" i="1" s="1"/>
  <c r="K621" i="1" a="1"/>
  <c r="K621" i="1" s="1"/>
  <c r="K622" i="1" a="1"/>
  <c r="K622" i="1" s="1"/>
  <c r="K623" i="1" a="1"/>
  <c r="K623" i="1" s="1"/>
  <c r="K626" i="1" a="1"/>
  <c r="K626" i="1" s="1"/>
  <c r="K627" i="1" a="1"/>
  <c r="K627" i="1" s="1"/>
  <c r="K629" i="1" a="1"/>
  <c r="K629" i="1" s="1"/>
  <c r="K630" i="1" a="1"/>
  <c r="K630" i="1" s="1"/>
  <c r="K631" i="1" a="1"/>
  <c r="K631" i="1" s="1"/>
  <c r="K632" i="1" a="1"/>
  <c r="K632" i="1" s="1"/>
  <c r="K633" i="1" a="1"/>
  <c r="K633" i="1" s="1"/>
  <c r="K635" i="1" a="1"/>
  <c r="K635" i="1" s="1"/>
  <c r="K637" i="1" a="1"/>
  <c r="K637" i="1" s="1"/>
  <c r="K638" i="1" a="1"/>
  <c r="K638" i="1" s="1"/>
  <c r="K639" i="1" a="1"/>
  <c r="K639" i="1" s="1"/>
  <c r="K640" i="1" a="1"/>
  <c r="K640" i="1" s="1"/>
  <c r="K641" i="1" a="1"/>
  <c r="K641" i="1" s="1"/>
  <c r="K646" i="1" a="1"/>
  <c r="K646" i="1" s="1"/>
  <c r="K647" i="1" a="1"/>
  <c r="K647" i="1" s="1"/>
  <c r="K648" i="1" a="1"/>
  <c r="K648" i="1" s="1"/>
  <c r="K649" i="1" a="1"/>
  <c r="K649" i="1" s="1"/>
  <c r="K650" i="1" a="1"/>
  <c r="K650" i="1" s="1"/>
  <c r="K651" i="1" a="1"/>
  <c r="K651" i="1" s="1"/>
  <c r="K652" i="1" a="1"/>
  <c r="K652" i="1" s="1"/>
  <c r="K654" i="1" a="1"/>
  <c r="K654" i="1" s="1"/>
  <c r="K656" i="1" a="1"/>
  <c r="K656" i="1" s="1"/>
  <c r="K657" i="1" a="1"/>
  <c r="K657" i="1" s="1"/>
  <c r="K658" i="1" a="1"/>
  <c r="K658" i="1" s="1"/>
  <c r="K662" i="1" a="1"/>
  <c r="K662" i="1" s="1"/>
  <c r="K663" i="1" a="1"/>
  <c r="K663" i="1" s="1"/>
  <c r="K664" i="1" a="1"/>
  <c r="K664" i="1" s="1"/>
  <c r="K665" i="1" a="1"/>
  <c r="K665" i="1" s="1"/>
  <c r="K666" i="1" a="1"/>
  <c r="K666" i="1" s="1"/>
  <c r="K667" i="1" a="1"/>
  <c r="K667" i="1" s="1"/>
  <c r="K668" i="1" a="1"/>
  <c r="K668" i="1" s="1"/>
  <c r="K669" i="1" a="1"/>
  <c r="K669" i="1" s="1"/>
  <c r="K670" i="1" a="1"/>
  <c r="K670" i="1" s="1"/>
  <c r="K672" i="1" a="1"/>
  <c r="K672" i="1" s="1"/>
  <c r="K673" i="1" a="1"/>
  <c r="K673" i="1" s="1"/>
  <c r="K674" i="1" a="1"/>
  <c r="K674" i="1" s="1"/>
  <c r="K676" i="1" a="1"/>
  <c r="K676" i="1" s="1"/>
  <c r="K677" i="1" a="1"/>
  <c r="K677" i="1" s="1"/>
  <c r="K680" i="1" a="1"/>
  <c r="K680" i="1" s="1"/>
  <c r="K681" i="1" a="1"/>
  <c r="K681" i="1" s="1"/>
  <c r="K682" i="1" a="1"/>
  <c r="K682" i="1" s="1"/>
  <c r="K683" i="1" a="1"/>
  <c r="K683" i="1" s="1"/>
  <c r="K684" i="1" a="1"/>
  <c r="K684" i="1" s="1"/>
  <c r="K686" i="1" a="1"/>
  <c r="K686" i="1" s="1"/>
  <c r="K688" i="1" a="1"/>
  <c r="K688" i="1" s="1"/>
  <c r="K689" i="1" a="1"/>
  <c r="K689" i="1" s="1"/>
  <c r="K690" i="1" a="1"/>
  <c r="K690" i="1" s="1"/>
  <c r="K691" i="1" a="1"/>
  <c r="K691" i="1" s="1"/>
  <c r="K695" i="1" a="1"/>
  <c r="K695" i="1" s="1"/>
  <c r="K696" i="1" a="1"/>
  <c r="K696" i="1" s="1"/>
  <c r="K697" i="1" a="1"/>
  <c r="K697" i="1" s="1"/>
  <c r="K698" i="1" a="1"/>
  <c r="K698" i="1" s="1"/>
  <c r="K699" i="1" a="1"/>
  <c r="K699" i="1" s="1"/>
  <c r="K700" i="1" a="1"/>
  <c r="K700" i="1" s="1"/>
  <c r="K701" i="1" a="1"/>
  <c r="K701" i="1" s="1"/>
  <c r="K703" i="1" a="1"/>
  <c r="K703" i="1" s="1"/>
  <c r="K705" i="1" a="1"/>
  <c r="K705" i="1" s="1"/>
  <c r="K706" i="1" a="1"/>
  <c r="K706" i="1" s="1"/>
  <c r="K707" i="1" a="1"/>
  <c r="K707" i="1" s="1"/>
  <c r="K712" i="1" a="1"/>
  <c r="K712" i="1" s="1"/>
  <c r="K713" i="1" a="1"/>
  <c r="K713" i="1" s="1"/>
  <c r="K714" i="1" a="1"/>
  <c r="K714" i="1" s="1"/>
  <c r="K715" i="1" a="1"/>
  <c r="K715" i="1" s="1"/>
  <c r="K716" i="1" a="1"/>
  <c r="K716" i="1" s="1"/>
  <c r="K717" i="1" a="1"/>
  <c r="K717" i="1" s="1"/>
  <c r="K718" i="1" a="1"/>
  <c r="K718" i="1" s="1"/>
  <c r="K720" i="1" a="1"/>
  <c r="K720" i="1" s="1"/>
  <c r="K722" i="1" a="1"/>
  <c r="K722" i="1" s="1"/>
  <c r="K723" i="1" a="1"/>
  <c r="K723" i="1" s="1"/>
  <c r="K724" i="1" a="1"/>
  <c r="K724" i="1" s="1"/>
  <c r="K725" i="1" a="1"/>
  <c r="K725" i="1" s="1"/>
  <c r="K729" i="1" a="1"/>
  <c r="K729" i="1" s="1"/>
  <c r="K732" i="1" a="1"/>
  <c r="K732" i="1" s="1"/>
  <c r="K733" i="1" a="1"/>
  <c r="K733" i="1" s="1"/>
  <c r="K734" i="1" a="1"/>
  <c r="K734" i="1" s="1"/>
  <c r="K735" i="1" a="1"/>
  <c r="K735" i="1" s="1"/>
  <c r="K737" i="1" a="1"/>
  <c r="K737" i="1" s="1"/>
  <c r="K739" i="1" a="1"/>
  <c r="K739" i="1" s="1"/>
  <c r="K740" i="1" a="1"/>
  <c r="K740" i="1" s="1"/>
  <c r="K741" i="1" a="1"/>
  <c r="K741" i="1" s="1"/>
  <c r="K742" i="1" a="1"/>
  <c r="K742" i="1" s="1"/>
  <c r="K743" i="1" a="1"/>
  <c r="K743" i="1" s="1"/>
  <c r="K748" i="1" a="1"/>
  <c r="K748" i="1" s="1"/>
  <c r="K749" i="1" a="1"/>
  <c r="K749" i="1" s="1"/>
  <c r="K750" i="1" a="1"/>
  <c r="K750" i="1" s="1"/>
  <c r="K751" i="1" a="1"/>
  <c r="K751" i="1" s="1"/>
  <c r="K752" i="1" a="1"/>
  <c r="K752" i="1" s="1"/>
  <c r="K753" i="1" a="1"/>
  <c r="K753" i="1" s="1"/>
  <c r="K754" i="1" a="1"/>
  <c r="K754" i="1" s="1"/>
  <c r="K755" i="1" a="1"/>
  <c r="K755" i="1" s="1"/>
  <c r="K756" i="1" a="1"/>
  <c r="K756" i="1" s="1"/>
  <c r="K758" i="1" a="1"/>
  <c r="K758" i="1" s="1"/>
  <c r="K759" i="1" a="1"/>
  <c r="K759" i="1" s="1"/>
  <c r="K760" i="1" a="1"/>
  <c r="K760" i="1" s="1"/>
  <c r="K765" i="1" a="1"/>
  <c r="K765" i="1" s="1"/>
  <c r="K766" i="1" a="1"/>
  <c r="K766" i="1" s="1"/>
  <c r="K767" i="1" a="1"/>
  <c r="K767" i="1" s="1"/>
  <c r="K768" i="1" a="1"/>
  <c r="K768" i="1" s="1"/>
  <c r="K769" i="1" a="1"/>
  <c r="K769" i="1" s="1"/>
  <c r="K770" i="1" a="1"/>
  <c r="K770" i="1" s="1"/>
  <c r="K771" i="1" a="1"/>
  <c r="K771" i="1" s="1"/>
  <c r="K772" i="1" a="1"/>
  <c r="K772" i="1" s="1"/>
  <c r="K773" i="1" a="1"/>
  <c r="K773" i="1" s="1"/>
  <c r="K775" i="1" a="1"/>
  <c r="K775" i="1" s="1"/>
  <c r="K776" i="1" a="1"/>
  <c r="K776" i="1" s="1"/>
  <c r="K777" i="1" a="1"/>
  <c r="K777" i="1" s="1"/>
  <c r="K778" i="1" a="1"/>
  <c r="K778" i="1" s="1"/>
  <c r="K781" i="1" a="1"/>
  <c r="K781" i="1" s="1"/>
  <c r="K782" i="1" a="1"/>
  <c r="K782" i="1" s="1"/>
  <c r="K783" i="1" a="1"/>
  <c r="K783" i="1" s="1"/>
  <c r="K785" i="1" a="1"/>
  <c r="K785" i="1" s="1"/>
  <c r="K786" i="1" a="1"/>
  <c r="K786" i="1" s="1"/>
  <c r="K787" i="1" a="1"/>
  <c r="K787" i="1" s="1"/>
  <c r="K788" i="1" a="1"/>
  <c r="K788" i="1" s="1"/>
  <c r="K789" i="1" a="1"/>
  <c r="K789" i="1" s="1"/>
  <c r="K792" i="1" a="1"/>
  <c r="K792" i="1" s="1"/>
  <c r="K793" i="1" a="1"/>
  <c r="K793" i="1" s="1"/>
  <c r="K794" i="1" a="1"/>
  <c r="K794" i="1" s="1"/>
  <c r="K795" i="1" a="1"/>
  <c r="K795" i="1" s="1"/>
  <c r="K802" i="1" a="1"/>
  <c r="K802" i="1" s="1"/>
  <c r="K803" i="1" a="1"/>
  <c r="K803" i="1" s="1"/>
  <c r="K804" i="1" a="1"/>
  <c r="K804" i="1" s="1"/>
  <c r="K805" i="1" a="1"/>
  <c r="K805" i="1" s="1"/>
  <c r="K806" i="1" a="1"/>
  <c r="K806" i="1" s="1"/>
  <c r="K807" i="1" a="1"/>
  <c r="K807" i="1" s="1"/>
  <c r="K808" i="1" a="1"/>
  <c r="K808" i="1" s="1"/>
  <c r="K809" i="1" a="1"/>
  <c r="K809" i="1" s="1"/>
  <c r="K810" i="1" a="1"/>
  <c r="K810" i="1" s="1"/>
  <c r="K811" i="1" a="1"/>
  <c r="K811" i="1" s="1"/>
  <c r="K812" i="1" a="1"/>
  <c r="K812" i="1" s="1"/>
  <c r="K817" i="1" a="1"/>
  <c r="K817" i="1" s="1"/>
  <c r="K818" i="1" a="1"/>
  <c r="K818" i="1" s="1"/>
  <c r="K819" i="1" a="1"/>
  <c r="K819" i="1" s="1"/>
  <c r="K820" i="1" a="1"/>
  <c r="K820" i="1" s="1"/>
  <c r="K821" i="1" a="1"/>
  <c r="K821" i="1" s="1"/>
  <c r="K822" i="1" a="1"/>
  <c r="K822" i="1" s="1"/>
  <c r="K823" i="1" a="1"/>
  <c r="K823" i="1" s="1"/>
  <c r="K825" i="1" a="1"/>
  <c r="K825" i="1" s="1"/>
  <c r="K827" i="1" a="1"/>
  <c r="K827" i="1" s="1"/>
  <c r="K828" i="1" a="1"/>
  <c r="K828" i="1" s="1"/>
  <c r="K829" i="1" a="1"/>
  <c r="K829" i="1" s="1"/>
  <c r="K830" i="1" a="1"/>
  <c r="K830" i="1" s="1"/>
  <c r="K832" i="1" a="1"/>
  <c r="K832" i="1" s="1"/>
  <c r="K834" i="1" a="1"/>
  <c r="K834" i="1" s="1"/>
  <c r="K835" i="1" a="1"/>
  <c r="K835" i="1" s="1"/>
  <c r="K836" i="1" a="1"/>
  <c r="K836" i="1" s="1"/>
  <c r="K837" i="1" a="1"/>
  <c r="K837" i="1" s="1"/>
  <c r="K838" i="1" a="1"/>
  <c r="K838" i="1" s="1"/>
  <c r="K839" i="1" a="1"/>
  <c r="K839" i="1" s="1"/>
  <c r="K840" i="1" a="1"/>
  <c r="K840" i="1" s="1"/>
  <c r="K842" i="1" a="1"/>
  <c r="K842" i="1" s="1"/>
  <c r="K843" i="1" a="1"/>
  <c r="K843" i="1" s="1"/>
  <c r="K847" i="1" a="1"/>
  <c r="K847" i="1" s="1"/>
  <c r="K848" i="1" a="1"/>
  <c r="K848" i="1" s="1"/>
  <c r="K849" i="1" a="1"/>
  <c r="K849" i="1" s="1"/>
  <c r="K850" i="1" a="1"/>
  <c r="K850" i="1" s="1"/>
  <c r="K851" i="1" a="1"/>
  <c r="K851" i="1" s="1"/>
  <c r="K852" i="1" a="1"/>
  <c r="K852" i="1" s="1"/>
  <c r="K854" i="1" a="1"/>
  <c r="K854" i="1" s="1"/>
  <c r="K858" i="1" a="1"/>
  <c r="K858" i="1" s="1"/>
  <c r="K859" i="1" a="1"/>
  <c r="K859" i="1" s="1"/>
  <c r="K860" i="1" a="1"/>
  <c r="K860" i="1" s="1"/>
  <c r="K861" i="1" a="1"/>
  <c r="K861" i="1" s="1"/>
  <c r="K862" i="1" a="1"/>
  <c r="K862" i="1" s="1"/>
  <c r="K863" i="1" a="1"/>
  <c r="K863" i="1" s="1"/>
  <c r="K865" i="1" a="1"/>
  <c r="K865" i="1" s="1"/>
  <c r="K869" i="1" a="1"/>
  <c r="K869" i="1" s="1"/>
  <c r="K870" i="1" a="1"/>
  <c r="K870" i="1" s="1"/>
  <c r="K871" i="1" a="1"/>
  <c r="K871" i="1" s="1"/>
  <c r="K873" i="1" a="1"/>
  <c r="K873" i="1" s="1"/>
  <c r="K874" i="1" a="1"/>
  <c r="K874" i="1" s="1"/>
  <c r="K875" i="1" a="1"/>
  <c r="K875" i="1" s="1"/>
  <c r="K876" i="1" a="1"/>
  <c r="K876" i="1" s="1"/>
  <c r="K879" i="1" a="1"/>
  <c r="K879" i="1" s="1"/>
  <c r="K883" i="1" a="1"/>
  <c r="K883" i="1" s="1"/>
  <c r="K884" i="1" a="1"/>
  <c r="K884" i="1" s="1"/>
  <c r="K885" i="1" a="1"/>
  <c r="K885" i="1" s="1"/>
  <c r="K886" i="1" a="1"/>
  <c r="K886" i="1" s="1"/>
  <c r="K888" i="1" a="1"/>
  <c r="K888" i="1" s="1"/>
  <c r="K893" i="1" a="1"/>
  <c r="K893" i="1" s="1"/>
  <c r="K894" i="1" a="1"/>
  <c r="K894" i="1" s="1"/>
  <c r="K895" i="1" a="1"/>
  <c r="K895" i="1" s="1"/>
  <c r="K896" i="1" a="1"/>
  <c r="K896" i="1" s="1"/>
  <c r="K898" i="1" a="1"/>
  <c r="K898" i="1" s="1"/>
  <c r="K899" i="1" a="1"/>
  <c r="K899" i="1" s="1"/>
  <c r="K902" i="1" a="1"/>
  <c r="K902" i="1" s="1"/>
  <c r="K903" i="1" a="1"/>
  <c r="K903" i="1" s="1"/>
  <c r="K905" i="1" a="1"/>
  <c r="K905" i="1" s="1"/>
  <c r="K906" i="1" a="1"/>
  <c r="K906" i="1" s="1"/>
  <c r="K907" i="1" a="1"/>
  <c r="K907" i="1" s="1"/>
  <c r="K911" i="1" a="1"/>
  <c r="K911" i="1" s="1"/>
  <c r="K912" i="1" a="1"/>
  <c r="K912" i="1" s="1"/>
  <c r="K913" i="1" a="1"/>
  <c r="K913" i="1" s="1"/>
  <c r="K917" i="1" a="1"/>
  <c r="K917" i="1" s="1"/>
  <c r="K919" i="1" a="1"/>
  <c r="K919" i="1" s="1"/>
  <c r="K920" i="1" a="1"/>
  <c r="K920" i="1" s="1"/>
  <c r="K922" i="1" a="1"/>
  <c r="K922" i="1" s="1"/>
  <c r="K927" i="1" a="1"/>
  <c r="K927" i="1" s="1"/>
  <c r="K929" i="1" a="1"/>
  <c r="K929" i="1" s="1"/>
  <c r="K930" i="1" a="1"/>
  <c r="K930" i="1" s="1"/>
  <c r="K931" i="1" a="1"/>
  <c r="K931" i="1" s="1"/>
  <c r="K933" i="1" a="1"/>
  <c r="K933" i="1" s="1"/>
  <c r="K937" i="1" a="1"/>
  <c r="K937" i="1" s="1"/>
  <c r="K938" i="1" a="1"/>
  <c r="K938" i="1" s="1"/>
  <c r="K941" i="1" a="1"/>
  <c r="K941" i="1" s="1"/>
  <c r="K942" i="1" a="1"/>
  <c r="K942" i="1" s="1"/>
  <c r="K943" i="1" a="1"/>
  <c r="K943" i="1" s="1"/>
  <c r="K945" i="1" a="1"/>
  <c r="K945" i="1" s="1"/>
  <c r="K947" i="1" a="1"/>
  <c r="K947" i="1" s="1"/>
  <c r="K948" i="1" a="1"/>
  <c r="K948" i="1" s="1"/>
  <c r="K949" i="1" a="1"/>
  <c r="K949" i="1" s="1"/>
  <c r="K952" i="1" a="1"/>
  <c r="K952" i="1" s="1"/>
  <c r="K953" i="1" a="1"/>
  <c r="K953" i="1" s="1"/>
  <c r="K954" i="1" a="1"/>
  <c r="K954" i="1" s="1"/>
  <c r="K955" i="1" a="1"/>
  <c r="K955" i="1" s="1"/>
  <c r="K956" i="1" a="1"/>
  <c r="K956" i="1" s="1"/>
  <c r="K958" i="1" a="1"/>
  <c r="K958" i="1" s="1"/>
  <c r="K963" i="1" a="1"/>
  <c r="K963" i="1" s="1"/>
  <c r="K964" i="1" a="1"/>
  <c r="K964" i="1" s="1"/>
  <c r="K965" i="1" a="1"/>
  <c r="K965" i="1" s="1"/>
  <c r="K968" i="1" a="1"/>
  <c r="K968" i="1" s="1"/>
  <c r="K972" i="1" a="1"/>
  <c r="K972" i="1" s="1"/>
  <c r="K973" i="1" a="1"/>
  <c r="K973" i="1" s="1"/>
  <c r="K975" i="1" a="1"/>
  <c r="K975" i="1" s="1"/>
  <c r="K979" i="1" a="1"/>
  <c r="K979" i="1" s="1"/>
  <c r="K980" i="1" a="1"/>
  <c r="K980" i="1" s="1"/>
  <c r="K981" i="1" a="1"/>
  <c r="K981" i="1" s="1"/>
  <c r="K986" i="1" a="1"/>
  <c r="K986" i="1" s="1"/>
  <c r="K987" i="1" a="1"/>
  <c r="K987" i="1" s="1"/>
  <c r="K988" i="1" a="1"/>
  <c r="K988" i="1" s="1"/>
  <c r="K989" i="1" a="1"/>
  <c r="K989" i="1" s="1"/>
  <c r="K990" i="1" a="1"/>
  <c r="K990" i="1" s="1"/>
  <c r="K996" i="1" a="1"/>
  <c r="K996" i="1" s="1"/>
  <c r="K997" i="1" a="1"/>
  <c r="K997" i="1" s="1"/>
  <c r="K998" i="1" a="1"/>
  <c r="K998" i="1" s="1"/>
  <c r="K999" i="1" a="1"/>
  <c r="K999" i="1" s="1"/>
  <c r="K1000" i="1" a="1"/>
  <c r="K1000" i="1" s="1"/>
  <c r="K1005" i="1" a="1"/>
  <c r="K1005" i="1" s="1"/>
  <c r="K1007" i="1" a="1"/>
  <c r="K1007" i="1" s="1"/>
  <c r="K1008" i="1" a="1"/>
  <c r="K1008" i="1" s="1"/>
  <c r="K1009" i="1" a="1"/>
  <c r="K1009" i="1" s="1"/>
  <c r="K1012" i="1" a="1"/>
  <c r="K1012" i="1" s="1"/>
  <c r="K1017" i="1" a="1"/>
  <c r="K1017" i="1" s="1"/>
  <c r="K1018" i="1" a="1"/>
  <c r="K1018" i="1" s="1"/>
  <c r="K1019" i="1" a="1"/>
  <c r="K1019" i="1" s="1"/>
  <c r="K1020" i="1" a="1"/>
  <c r="K1020" i="1" s="1"/>
  <c r="K1021" i="1" a="1"/>
  <c r="K1021" i="1" s="1"/>
  <c r="K1026" i="1" a="1"/>
  <c r="K1026" i="1" s="1"/>
  <c r="K1027" i="1" a="1"/>
  <c r="K1027" i="1" s="1"/>
  <c r="K1029" i="1" a="1"/>
  <c r="K1029" i="1" s="1"/>
  <c r="K1030" i="1" a="1"/>
  <c r="K1030" i="1" s="1"/>
  <c r="K1031" i="1" a="1"/>
  <c r="K1031" i="1" s="1"/>
  <c r="K1035" i="1" a="1"/>
  <c r="K1035" i="1" s="1"/>
  <c r="K1036" i="1" a="1"/>
  <c r="K1036" i="1" s="1"/>
  <c r="K1037" i="1" a="1"/>
  <c r="K1037" i="1" s="1"/>
  <c r="K1040" i="1" a="1"/>
  <c r="K1040" i="1" s="1"/>
  <c r="K1041" i="1" a="1"/>
  <c r="K1041" i="1" s="1"/>
  <c r="K1042" i="1" a="1"/>
  <c r="K1042" i="1" s="1"/>
  <c r="K1043" i="1" a="1"/>
  <c r="K1043" i="1" s="1"/>
  <c r="K1045" i="1" a="1"/>
  <c r="K1045" i="1" s="1"/>
  <c r="K1046" i="1" a="1"/>
  <c r="K1046" i="1" s="1"/>
  <c r="K1047" i="1" a="1"/>
  <c r="K1047" i="1" s="1"/>
  <c r="K1051" i="1" a="1"/>
  <c r="K1051" i="1" s="1"/>
  <c r="K1054" i="1" a="1"/>
  <c r="K1054" i="1" s="1"/>
  <c r="K1055" i="1" a="1"/>
  <c r="K1055" i="1" s="1"/>
  <c r="K1056" i="1" a="1"/>
  <c r="K1056" i="1" s="1"/>
  <c r="K1062" i="1" a="1"/>
  <c r="K1062" i="1" s="1"/>
  <c r="K1063" i="1" a="1"/>
  <c r="K1063" i="1" s="1"/>
  <c r="K1064" i="1" a="1"/>
  <c r="K1064" i="1" s="1"/>
  <c r="K1072" i="1" a="1"/>
  <c r="K1072" i="1" s="1"/>
  <c r="K1073" i="1" a="1"/>
  <c r="K1073" i="1" s="1"/>
  <c r="K1074" i="1" a="1"/>
  <c r="K1074" i="1" s="1"/>
  <c r="K1080" i="1" a="1"/>
  <c r="K1080" i="1" s="1"/>
  <c r="K1081" i="1" a="1"/>
  <c r="K1081" i="1" s="1"/>
  <c r="K1083" i="1" a="1"/>
  <c r="K1083" i="1" s="1"/>
  <c r="K1084" i="1" a="1"/>
  <c r="K1084" i="1" s="1"/>
  <c r="K1086" i="1" a="1"/>
  <c r="K1086" i="1" s="1"/>
  <c r="K1088" i="1" a="1"/>
  <c r="K1088" i="1" s="1"/>
  <c r="K1089" i="1" a="1"/>
  <c r="K1089" i="1" s="1"/>
  <c r="K1092" i="1" a="1"/>
  <c r="K1092" i="1" s="1"/>
  <c r="K1093" i="1" a="1"/>
  <c r="K1093" i="1" s="1"/>
  <c r="K1094" i="1" a="1"/>
  <c r="K1094" i="1" s="1"/>
  <c r="K1095" i="1" a="1"/>
  <c r="K1095" i="1" s="1"/>
  <c r="K1096" i="1" a="1"/>
  <c r="K1096" i="1" s="1"/>
  <c r="K1097" i="1" a="1"/>
  <c r="K1097" i="1" s="1"/>
  <c r="K1102" i="1" a="1"/>
  <c r="K1102" i="1" s="1"/>
  <c r="K1103" i="1" a="1"/>
  <c r="K1103" i="1" s="1"/>
  <c r="K1104" i="1" a="1"/>
  <c r="K1104" i="1" s="1"/>
  <c r="K1106" i="1" a="1"/>
  <c r="K1106" i="1" s="1"/>
  <c r="K1107" i="1" a="1"/>
  <c r="K1107" i="1" s="1"/>
  <c r="K1111" i="1" a="1"/>
  <c r="K1111" i="1" s="1"/>
  <c r="K1112" i="1" a="1"/>
  <c r="K1112" i="1" s="1"/>
  <c r="K1113" i="1" a="1"/>
  <c r="K1113" i="1" s="1"/>
  <c r="K1115" i="1" a="1"/>
  <c r="K1115" i="1" s="1"/>
  <c r="K1117" i="1" a="1"/>
  <c r="K1117" i="1" s="1"/>
  <c r="K1121" i="1" a="1"/>
  <c r="K1121" i="1" s="1"/>
  <c r="K1122" i="1" a="1"/>
  <c r="K1122" i="1" s="1"/>
  <c r="K1123" i="1" a="1"/>
  <c r="K1123" i="1" s="1"/>
  <c r="K1125" i="1" a="1"/>
  <c r="K1125" i="1" s="1"/>
  <c r="K1131" i="1" a="1"/>
  <c r="K1131" i="1" s="1"/>
  <c r="K1133" i="1" a="1"/>
  <c r="K1133" i="1" s="1"/>
  <c r="K1134" i="1" a="1"/>
  <c r="K1134" i="1" s="1"/>
  <c r="K1135" i="1" a="1"/>
  <c r="K1135" i="1" s="1"/>
  <c r="K1142" i="1" a="1"/>
  <c r="K1142" i="1" s="1"/>
  <c r="K1143" i="1" a="1"/>
  <c r="K1143" i="1" s="1"/>
  <c r="K1144" i="1" a="1"/>
  <c r="K1144" i="1" s="1"/>
  <c r="K1145" i="1" a="1"/>
  <c r="K1145" i="1" s="1"/>
  <c r="K1146" i="1" a="1"/>
  <c r="K1146" i="1" s="1"/>
  <c r="K1151" i="1" a="1"/>
  <c r="K1151" i="1" s="1"/>
  <c r="K1152" i="1" a="1"/>
  <c r="K1152" i="1" s="1"/>
  <c r="K1155" i="1" a="1"/>
  <c r="K1155" i="1" s="1"/>
  <c r="K1156" i="1" a="1"/>
  <c r="K1156" i="1" s="1"/>
  <c r="K1160" i="1" a="1"/>
  <c r="K1160" i="1" s="1"/>
  <c r="K1161" i="1" a="1"/>
  <c r="K1161" i="1" s="1"/>
  <c r="K1163" i="1" a="1"/>
  <c r="K1163" i="1" s="1"/>
  <c r="K1165" i="1" a="1"/>
  <c r="K1165" i="1" s="1"/>
  <c r="K1170" i="1" a="1"/>
  <c r="K1170" i="1" s="1"/>
  <c r="K1171" i="1" a="1"/>
  <c r="K1171" i="1" s="1"/>
  <c r="K1172" i="1" a="1"/>
  <c r="K1172" i="1" s="1"/>
  <c r="K1179" i="1" a="1"/>
  <c r="K1179" i="1" s="1"/>
  <c r="K1181" i="1" a="1"/>
  <c r="K1181" i="1" s="1"/>
  <c r="K1182" i="1" a="1"/>
  <c r="K1182" i="1" s="1"/>
  <c r="K1183" i="1" a="1"/>
  <c r="K1183" i="1" s="1"/>
  <c r="K1187" i="1" a="1"/>
  <c r="K1187" i="1" s="1"/>
  <c r="K1190" i="1" a="1"/>
  <c r="K1190" i="1" s="1"/>
  <c r="K1191" i="1" a="1"/>
  <c r="K1191" i="1" s="1"/>
  <c r="K1193" i="1" a="1"/>
  <c r="K1193" i="1" s="1"/>
  <c r="K1194" i="1" a="1"/>
  <c r="K1194" i="1" s="1"/>
  <c r="K1199" i="1" a="1"/>
  <c r="K1199" i="1" s="1"/>
  <c r="K1200" i="1" a="1"/>
  <c r="K1200" i="1" s="1"/>
  <c r="K1201" i="1" a="1"/>
  <c r="K1201" i="1" s="1"/>
  <c r="K1202" i="1" a="1"/>
  <c r="K1202" i="1" s="1"/>
  <c r="K1205" i="1" a="1"/>
  <c r="K1205" i="1" s="1"/>
  <c r="K1209" i="1" a="1"/>
  <c r="K1209" i="1" s="1"/>
  <c r="K1211" i="1" a="1"/>
  <c r="K1211" i="1" s="1"/>
  <c r="K1212" i="1" a="1"/>
  <c r="K1212" i="1" s="1"/>
  <c r="K1213" i="1" a="1"/>
  <c r="K1213" i="1" s="1"/>
  <c r="K1215" i="1" a="1"/>
  <c r="K1215" i="1" s="1"/>
  <c r="K1219" i="1" a="1"/>
  <c r="K1219" i="1" s="1"/>
  <c r="K1220" i="1" a="1"/>
  <c r="K1220" i="1" s="1"/>
  <c r="K1221" i="1" a="1"/>
  <c r="K1221" i="1" s="1"/>
  <c r="K1224" i="1" a="1"/>
  <c r="K1224" i="1" s="1"/>
  <c r="K1229" i="1" a="1"/>
  <c r="K1229" i="1" s="1"/>
  <c r="K1231" i="1" a="1"/>
  <c r="K1231" i="1" s="1"/>
  <c r="K1237" i="1" a="1"/>
  <c r="K1237" i="1" s="1"/>
  <c r="K1241" i="1" a="1"/>
  <c r="K1241" i="1" s="1"/>
  <c r="K1242" i="1" a="1"/>
  <c r="K1242" i="1" s="1"/>
  <c r="K1245" i="1" a="1"/>
  <c r="K1245" i="1" s="1"/>
  <c r="K1251" i="1" a="1"/>
  <c r="K1251" i="1" s="1"/>
  <c r="K1253" i="1" a="1"/>
  <c r="K1253" i="1" s="1"/>
  <c r="K1257" i="1" a="1"/>
  <c r="K1257" i="1" s="1"/>
  <c r="K1259" i="1" a="1"/>
  <c r="K1259" i="1" s="1"/>
  <c r="K1260" i="1" a="1"/>
  <c r="K1260" i="1" s="1"/>
  <c r="K1266" i="1" a="1"/>
  <c r="K1266" i="1" s="1"/>
  <c r="K1267" i="1" a="1"/>
  <c r="K1267" i="1" s="1"/>
  <c r="K1275" i="1" a="1"/>
  <c r="K127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<sst xmlns="http://schemas.openxmlformats.org/spreadsheetml/2006/main" count="2465" uniqueCount="958">
  <si>
    <t>Year</t>
  </si>
  <si>
    <t>Player</t>
  </si>
  <si>
    <t>Tm</t>
  </si>
  <si>
    <t>MIN</t>
  </si>
  <si>
    <t>TEN</t>
  </si>
  <si>
    <t>SEA</t>
  </si>
  <si>
    <t>DET</t>
  </si>
  <si>
    <t>WAS</t>
  </si>
  <si>
    <t>PHI</t>
  </si>
  <si>
    <t>BAL</t>
  </si>
  <si>
    <t>NYG</t>
  </si>
  <si>
    <t>ARI</t>
  </si>
  <si>
    <t>IND</t>
  </si>
  <si>
    <t>CAR</t>
  </si>
  <si>
    <t>DEN</t>
  </si>
  <si>
    <t>LAC</t>
  </si>
  <si>
    <t>PIT</t>
  </si>
  <si>
    <t>ATL</t>
  </si>
  <si>
    <t>NYJ</t>
  </si>
  <si>
    <t>LAR</t>
  </si>
  <si>
    <t>MIA</t>
  </si>
  <si>
    <t>HOU</t>
  </si>
  <si>
    <t>CLE</t>
  </si>
  <si>
    <t>CIN</t>
  </si>
  <si>
    <t>BUF</t>
  </si>
  <si>
    <t>DAL</t>
  </si>
  <si>
    <t>CHI</t>
  </si>
  <si>
    <t>TM</t>
  </si>
  <si>
    <t>ATT</t>
  </si>
  <si>
    <t>RusYDS</t>
  </si>
  <si>
    <t>RusY/A</t>
  </si>
  <si>
    <t>RusTD</t>
  </si>
  <si>
    <t>Player (TM)</t>
  </si>
  <si>
    <t>James Cook III (BUF)</t>
  </si>
  <si>
    <t>Derrick Henry (BAL)</t>
  </si>
  <si>
    <t>Jonathan Taylor (IND)</t>
  </si>
  <si>
    <t>Bijan Robinson (ATL)</t>
  </si>
  <si>
    <t>De'Von Achane (MIA)</t>
  </si>
  <si>
    <t>Kyren Williams (LAR)</t>
  </si>
  <si>
    <t>Jahmyr Gibbs (DET)</t>
  </si>
  <si>
    <t>Christian McCaffrey (SF)</t>
  </si>
  <si>
    <t>Javonte Williams (DAL)</t>
  </si>
  <si>
    <t>Saquon Barkley (PHI)</t>
  </si>
  <si>
    <t>Travis Etienne Jr. (JAC)</t>
  </si>
  <si>
    <t>D'Andre Swift (CHI)</t>
  </si>
  <si>
    <t>Tony Pollard (TEN)</t>
  </si>
  <si>
    <t>Rico Dowdle (CAR)</t>
  </si>
  <si>
    <t>Breece Hall (NYJ)</t>
  </si>
  <si>
    <t>Kenneth Walker III (SEA)</t>
  </si>
  <si>
    <t>Chase Brown (CIN)</t>
  </si>
  <si>
    <t>Ashton Jeanty (LV)</t>
  </si>
  <si>
    <t>Jaylen Warren (PIT)</t>
  </si>
  <si>
    <t>Josh Jacobs (GB)</t>
  </si>
  <si>
    <t>TreVeyon Henderson (NE)</t>
  </si>
  <si>
    <t>Quinshon Judkins (CLE)</t>
  </si>
  <si>
    <t>Jacory Croskey-Merritt (WAS)</t>
  </si>
  <si>
    <t>Kyle Monangai (CHI)</t>
  </si>
  <si>
    <t>J.K. Dobbins (DEN)</t>
  </si>
  <si>
    <t>Jordan Mason (MIN)</t>
  </si>
  <si>
    <t>Blake Corum (LAR)</t>
  </si>
  <si>
    <t>Tyrone Tracy Jr. (NYG)</t>
  </si>
  <si>
    <t>Zach Charbonnet (SEA)</t>
  </si>
  <si>
    <t>David Montgomery (DET)</t>
  </si>
  <si>
    <t>Woody Marks (HOU)</t>
  </si>
  <si>
    <t>Kimani Vidal (LAC)</t>
  </si>
  <si>
    <t>Kareem Hunt (KC)</t>
  </si>
  <si>
    <t>Rhamondre Stevenson (NE)</t>
  </si>
  <si>
    <t>Bucky Irving (TB)</t>
  </si>
  <si>
    <t>Rachaad White (TB)</t>
  </si>
  <si>
    <t>Aaron Jones Sr. (MIN)</t>
  </si>
  <si>
    <t>Omarion Hampton (LAC)</t>
  </si>
  <si>
    <t>RJ Harvey (DEN)</t>
  </si>
  <si>
    <t>Kenny Gainwell (PIT)</t>
  </si>
  <si>
    <t>Tyler Allgeier (ATL)</t>
  </si>
  <si>
    <t>Chuba Hubbard (CAR)</t>
  </si>
  <si>
    <t>Nick Chubb (HOU)</t>
  </si>
  <si>
    <t>Chris Rodriguez Jr. (WAS)</t>
  </si>
  <si>
    <t>Emanuel Wilson (GB)</t>
  </si>
  <si>
    <t>Alvin Kamara (NO)</t>
  </si>
  <si>
    <t>Isiah Pacheco (KC)</t>
  </si>
  <si>
    <t>Devin Singletary (NYG)</t>
  </si>
  <si>
    <t>Cam Skattebo (NYG)</t>
  </si>
  <si>
    <t>Brian Robinson Jr. (SF)</t>
  </si>
  <si>
    <t>Samaje Perine (CIN)</t>
  </si>
  <si>
    <t>Tank Bigsby (PHI)</t>
  </si>
  <si>
    <t>Keaton Mitchell (BAL)</t>
  </si>
  <si>
    <t>Michael Carter (ARI)</t>
  </si>
  <si>
    <t>Sean Tucker (TB)</t>
  </si>
  <si>
    <t>Emari Demercado (ARI)</t>
  </si>
  <si>
    <t>Bhayshul Tuten (JAC)</t>
  </si>
  <si>
    <t>Jaylen Wright (MIA)</t>
  </si>
  <si>
    <t>Tyjae Spears (TEN)</t>
  </si>
  <si>
    <t>Ray Davis (BUF)</t>
  </si>
  <si>
    <t>Bam Knight (ARI)</t>
  </si>
  <si>
    <t>Malik Davis (DAL)</t>
  </si>
  <si>
    <t>Isaiah Davis (NYJ)</t>
  </si>
  <si>
    <t>Jeremy McNichols (WAS)</t>
  </si>
  <si>
    <t>Devin Neal (NO)</t>
  </si>
  <si>
    <t>Ty Johnson (BUF)</t>
  </si>
  <si>
    <t>Ollie Gordon II (MIA)</t>
  </si>
  <si>
    <t>Audric Estime (NO)</t>
  </si>
  <si>
    <t>Kendre Miller (NO)</t>
  </si>
  <si>
    <t>Jawhar Jordan (HOU)</t>
  </si>
  <si>
    <t>Jaleel McLaughlin (DEN)</t>
  </si>
  <si>
    <t>Dylan Sampson (CLE)</t>
  </si>
  <si>
    <t>Trey Benson (ARI)</t>
  </si>
  <si>
    <t>Jaret Patterson (LAC)</t>
  </si>
  <si>
    <t>Brashard Smith (KC)</t>
  </si>
  <si>
    <t>Jaydon Blue (DAL)</t>
  </si>
  <si>
    <t>Miles Sanders (DAL)</t>
  </si>
  <si>
    <t>Zavier Scott (MIN)</t>
  </si>
  <si>
    <t>Chris Brooks (GB)</t>
  </si>
  <si>
    <t>Antonio Gibson (NE)</t>
  </si>
  <si>
    <t>Raheem Mostert (LV)</t>
  </si>
  <si>
    <t>DJ Giddens (IND)</t>
  </si>
  <si>
    <t>James Conner (ARI)</t>
  </si>
  <si>
    <t>Trevor Etienne (CAR)</t>
  </si>
  <si>
    <t>LeQuint Allen Jr. (JAC)</t>
  </si>
  <si>
    <t>Justice Hill (BAL)</t>
  </si>
  <si>
    <t>Raheim Sanders (CLE)</t>
  </si>
  <si>
    <t>British Brooks (HOU)</t>
  </si>
  <si>
    <t>Braelon Allen (NYJ)</t>
  </si>
  <si>
    <t>Terrell Jennings (NE)</t>
  </si>
  <si>
    <t>Jerome Ford (CLE)</t>
  </si>
  <si>
    <t>George Holani (SEA)</t>
  </si>
  <si>
    <t>Hunter Luepke (DAL)</t>
  </si>
  <si>
    <t>Kaleb Johnson (PIT)</t>
  </si>
  <si>
    <t>Najee Harris (LAC)</t>
  </si>
  <si>
    <t>Nathan Carter (ATL)</t>
  </si>
  <si>
    <t>Ameer Abdullah (IND)</t>
  </si>
  <si>
    <t>AJ Dillon (PHI)</t>
  </si>
  <si>
    <t>Corey Kiner (ARI)</t>
  </si>
  <si>
    <t>Khalil Herbert (NYJ)</t>
  </si>
  <si>
    <t>Will Shipley (PHI)</t>
  </si>
  <si>
    <t>Kene Nwangwu (NYJ)</t>
  </si>
  <si>
    <t>Evan Hull (NO)</t>
  </si>
  <si>
    <t>Ty Chandler (MIN)</t>
  </si>
  <si>
    <t>Hassan Haskins (LAC)</t>
  </si>
  <si>
    <t>Ronnie Rivers (LAR)</t>
  </si>
  <si>
    <t>Tahj Brooks (CIN)</t>
  </si>
  <si>
    <t>Adam Prentice (DEN)</t>
  </si>
  <si>
    <t>Connor Heyward (PIT)</t>
  </si>
  <si>
    <t>Austin Ekeler (WAS)</t>
  </si>
  <si>
    <t>Julius Chestnut (TEN)</t>
  </si>
  <si>
    <t>Brittain Brown (CHI)</t>
  </si>
  <si>
    <t>Trayveon Williams (CLE)</t>
  </si>
  <si>
    <t>Dameon Pierce (KC)</t>
  </si>
  <si>
    <t>Zamir White (LV)</t>
  </si>
  <si>
    <t>Velus Jones Jr. (SEA)</t>
  </si>
  <si>
    <t>Dare Ogunbowale (HOU)</t>
  </si>
  <si>
    <t>D'Ernest Johnson (NE)</t>
  </si>
  <si>
    <t>Tyler Goodson (IND)</t>
  </si>
  <si>
    <t>Rasheen Ali (BAL)</t>
  </si>
  <si>
    <t>Tyler Badie (DEN)</t>
  </si>
  <si>
    <t>DeeJay Dallas (JAC)</t>
  </si>
  <si>
    <t>Jacardia Wright (SEA)</t>
  </si>
  <si>
    <t>Cam Akers (SEA)</t>
  </si>
  <si>
    <t>Phil Mafah (DAL)</t>
  </si>
  <si>
    <t>Roschon Johnson (CHI)</t>
  </si>
  <si>
    <t>Clyde Edwards-Helaire (KC)</t>
  </si>
  <si>
    <t>Josh Williams (TB)</t>
  </si>
  <si>
    <t>Jacob Saylors (DET)</t>
  </si>
  <si>
    <t>Dylan Laube (LV)</t>
  </si>
  <si>
    <t>Alec Ingold (MIA)</t>
  </si>
  <si>
    <t>Amar Johnson (LAC)</t>
  </si>
  <si>
    <t>Kalel Mullings (TEN)</t>
  </si>
  <si>
    <t>Owen Wright (TB)</t>
  </si>
  <si>
    <t>Myles Gaskin (SEA)</t>
  </si>
  <si>
    <t>C.J. Ham (MIN)</t>
  </si>
  <si>
    <t>Andrew Beck (NYJ)</t>
  </si>
  <si>
    <t>Sione Vaki (DET)</t>
  </si>
  <si>
    <t>Reggie Gilliam (BUF)</t>
  </si>
  <si>
    <t>Craig Reynolds (DET)</t>
  </si>
  <si>
    <t>Patrick Ricard (BAL)</t>
  </si>
  <si>
    <t>Kendall Milton (CIN)</t>
  </si>
  <si>
    <t>Xazavian Valladay (MIN)</t>
  </si>
  <si>
    <t>Ulysses Bentley IV (IND)</t>
  </si>
  <si>
    <t>Trey Sermon (PIT)</t>
  </si>
  <si>
    <t>Sincere McCormick (SF)</t>
  </si>
  <si>
    <t>Scott Matlock (LAC)</t>
  </si>
  <si>
    <t>Robbie Ouzts (SEA)</t>
  </si>
  <si>
    <t>Raheem Blackshear (PIT)</t>
  </si>
  <si>
    <t>Michael Burton (DEN)</t>
  </si>
  <si>
    <t>Lew Nichols III (PIT)</t>
  </si>
  <si>
    <t>Kye Robichaux (DET)</t>
  </si>
  <si>
    <t>Keilan Robinson (NYJ)</t>
  </si>
  <si>
    <t>Keaontay Ingram (KC)</t>
  </si>
  <si>
    <t>Jordan Mims (TEN)</t>
  </si>
  <si>
    <t>Jordan James (SF)</t>
  </si>
  <si>
    <t>Jeff Wilson Jr. (MIA)</t>
  </si>
  <si>
    <t>Jashaun Corbin (NE)</t>
  </si>
  <si>
    <t>Jakob Johnson (HOU)</t>
  </si>
  <si>
    <t>Jack Westover (NE)</t>
  </si>
  <si>
    <t>Isaac Guerendo (SF)</t>
  </si>
  <si>
    <t>Gary Brightwell (CIN)</t>
  </si>
  <si>
    <t>Eric Gray (NYG)</t>
  </si>
  <si>
    <t>Elijah Mitchell (KC)</t>
  </si>
  <si>
    <t>Deion Hankins (CHI)</t>
  </si>
  <si>
    <t>Chris Collier (LV)</t>
  </si>
  <si>
    <t>Chase Edmonds (WAS)</t>
  </si>
  <si>
    <t>Brady Russell (SEA)</t>
  </si>
  <si>
    <t>Avery Williams (NYJ)</t>
  </si>
  <si>
    <t>Alexander Mattison (MIA)</t>
  </si>
  <si>
    <t>Travis Homer (CHI)</t>
  </si>
  <si>
    <t>Nyheim Miller-Hines (NO)</t>
  </si>
  <si>
    <t>Kyle Juszczyk (SF)</t>
  </si>
  <si>
    <t>Joe Mixon (HOU)</t>
  </si>
  <si>
    <t>Najee Harris (PIT)</t>
  </si>
  <si>
    <t>J.K. Dobbins (LAC)</t>
  </si>
  <si>
    <t>Rico Dowdle (DAL)</t>
  </si>
  <si>
    <t>Brian Robinson Jr. (WAS)</t>
  </si>
  <si>
    <t>Tank Bigsby (JAC)</t>
  </si>
  <si>
    <t>Javonte Williams (DEN)</t>
  </si>
  <si>
    <t>Jordan Mason (SF)</t>
  </si>
  <si>
    <t>Alexander Mattison (LV)</t>
  </si>
  <si>
    <t>Ameer Abdullah (LV)</t>
  </si>
  <si>
    <t>Cam Akers (MIN)</t>
  </si>
  <si>
    <t>Gus Edwards (LAC)</t>
  </si>
  <si>
    <t>Zack Moss (CIN)</t>
  </si>
  <si>
    <t>Nick Chubb (CLE)</t>
  </si>
  <si>
    <t>Samaje Perine (KC)</t>
  </si>
  <si>
    <t>Miles Sanders (CAR)</t>
  </si>
  <si>
    <t>Raheem Mostert (MIA)</t>
  </si>
  <si>
    <t>Kenny Gainwell (PHI)</t>
  </si>
  <si>
    <t>Ezekiel Elliott (DAL)</t>
  </si>
  <si>
    <t>Audric Estime (DEN)</t>
  </si>
  <si>
    <t>Dameon Pierce (HOU)</t>
  </si>
  <si>
    <t>Trey Sermon (IND)</t>
  </si>
  <si>
    <t>Jamaal Williams (NO)</t>
  </si>
  <si>
    <t>Patrick Taylor Jr. (SF)</t>
  </si>
  <si>
    <t>D'Onta Foreman (CLE)</t>
  </si>
  <si>
    <t>Cordarrelle Patterson (PIT)</t>
  </si>
  <si>
    <t>D'Ernest Johnson (JAC)</t>
  </si>
  <si>
    <t>Khalil Herbert (CIN)</t>
  </si>
  <si>
    <t>Sincere McCormick (LV)</t>
  </si>
  <si>
    <t>Pierre Strong Jr. (CLE)</t>
  </si>
  <si>
    <t>Kenny McIntosh (SEA)</t>
  </si>
  <si>
    <t>JaMycal Hasty (NE)</t>
  </si>
  <si>
    <t>DeeJay Dallas (ARI)</t>
  </si>
  <si>
    <t>Carson Steele (KC)</t>
  </si>
  <si>
    <t>Jordan Mims (NO)</t>
  </si>
  <si>
    <t>Tony Jones Jr. (ARI)</t>
  </si>
  <si>
    <t>Deuce Vaughn (DAL)</t>
  </si>
  <si>
    <t>Raheem Blackshear (CAR)</t>
  </si>
  <si>
    <t>Clyde Edwards-Helaire (NO)</t>
  </si>
  <si>
    <t>Mike Boone (CAR)</t>
  </si>
  <si>
    <t>Jonathon Brooks (CAR)</t>
  </si>
  <si>
    <t>J.J. Taylor (HOU)</t>
  </si>
  <si>
    <t>Jacob Kibodi (CLE)</t>
  </si>
  <si>
    <t>Jermar Jefferson (DET)</t>
  </si>
  <si>
    <t>Jase McClellan (ATL)</t>
  </si>
  <si>
    <t>Dalvin Cook (DAL)</t>
  </si>
  <si>
    <t>Blake Watson (DEN)</t>
  </si>
  <si>
    <t>Jonathan Ward (PIT)</t>
  </si>
  <si>
    <t>MarShawn Lloyd (GB)</t>
  </si>
  <si>
    <t>Aaron Shampklin (PIT)</t>
  </si>
  <si>
    <t>Tyreik McAllister (LV)</t>
  </si>
  <si>
    <t>Myles Gaskin (MIN)</t>
  </si>
  <si>
    <t>Cody Schrader (LAR)</t>
  </si>
  <si>
    <t>Tyrion Davis-Price (PHI)</t>
  </si>
  <si>
    <t>Ke'Shawn Vaughn (SF)</t>
  </si>
  <si>
    <t>Darrynton Evans (CHI)</t>
  </si>
  <si>
    <t>Joshua Kelley (TEN)</t>
  </si>
  <si>
    <t>Nyheim Miller-Hines (CLE)</t>
  </si>
  <si>
    <t>John Kelly Jr. (BAL)</t>
  </si>
  <si>
    <t>Trayveon Williams (CIN)</t>
  </si>
  <si>
    <t>Jakob Johnson (NYG)</t>
  </si>
  <si>
    <t>Andrew Beck (HOU)</t>
  </si>
  <si>
    <t>Khari Blasingame (CHI)</t>
  </si>
  <si>
    <t>La'Mical Perine (PIT)</t>
  </si>
  <si>
    <t>Keilan Robinson (JAC)</t>
  </si>
  <si>
    <t>D.J. Williams (TB)</t>
  </si>
  <si>
    <t>Avery Williams (ATL)</t>
  </si>
  <si>
    <t>Gary Brightwell (CLE)</t>
  </si>
  <si>
    <t>Adam Prentice (NO)</t>
  </si>
  <si>
    <t>Velus Jones Jr. (CAR)</t>
  </si>
  <si>
    <t>Jabari Small (TEN)</t>
  </si>
  <si>
    <t>Troy Hairston II (HOU)</t>
  </si>
  <si>
    <t>Kazmeir Allen (WAS)</t>
  </si>
  <si>
    <t>Ben VanSumeren (PHI)</t>
  </si>
  <si>
    <t>Dante Miller (NYG)</t>
  </si>
  <si>
    <t>Derrick Henry (TEN)</t>
  </si>
  <si>
    <t>Joe Mixon (CIN)</t>
  </si>
  <si>
    <t>Saquon Barkley (NYG)</t>
  </si>
  <si>
    <t>Gus Edwards (BAL)</t>
  </si>
  <si>
    <t>Tony Pollard (DAL)</t>
  </si>
  <si>
    <t>D'Andre Swift (PHI)</t>
  </si>
  <si>
    <t>Josh Jacobs (LV)</t>
  </si>
  <si>
    <t>Zack Moss (IND)</t>
  </si>
  <si>
    <t>Devin Singletary (HOU)</t>
  </si>
  <si>
    <t>Austin Ekeler (LAC)</t>
  </si>
  <si>
    <t>Ezekiel Elliott (NE)</t>
  </si>
  <si>
    <t>Aaron Jones Sr. (GB)</t>
  </si>
  <si>
    <t>Kareem Hunt (CLE)</t>
  </si>
  <si>
    <t>Alexander Mattison (MIN)</t>
  </si>
  <si>
    <t>AJ Dillon (GB)</t>
  </si>
  <si>
    <t>Khalil Herbert (CHI)</t>
  </si>
  <si>
    <t>D'Onta Foreman (CHI)</t>
  </si>
  <si>
    <t>Antonio Gibson (WAS)</t>
  </si>
  <si>
    <t>Samaje Perine (DEN)</t>
  </si>
  <si>
    <t>Latavius Murray (BUF)</t>
  </si>
  <si>
    <t>Jerick McKinnon (KC)</t>
  </si>
  <si>
    <t>Joshua Kelley (LAC)</t>
  </si>
  <si>
    <t>Royce Freeman (LAR)</t>
  </si>
  <si>
    <t>Elijah Mitchell (SF)</t>
  </si>
  <si>
    <t>Darrell Henderson Jr. (LAR)</t>
  </si>
  <si>
    <t>Matt Breida (NYG)</t>
  </si>
  <si>
    <t>Cordarrelle Patterson (ATL)</t>
  </si>
  <si>
    <t>Salvon Ahmed (MIA)</t>
  </si>
  <si>
    <t>Chase Edmonds (TB)</t>
  </si>
  <si>
    <t>Dalvin Cook (NYJ)</t>
  </si>
  <si>
    <t>Darrynton Evans (MIA)</t>
  </si>
  <si>
    <t>Patrick Taylor Jr. (GB)</t>
  </si>
  <si>
    <t>Kevin Harris (NE)</t>
  </si>
  <si>
    <t>Damien Harris (BUF)</t>
  </si>
  <si>
    <t>Melvin Gordon III (BAL)</t>
  </si>
  <si>
    <t>Isaiah Spiller (LAC)</t>
  </si>
  <si>
    <t>Boston Scott (PHI)</t>
  </si>
  <si>
    <t>Brandon Bolden (LV)</t>
  </si>
  <si>
    <t>La'Mical Perine (KC)</t>
  </si>
  <si>
    <t>Chris Brooks (MIA)</t>
  </si>
  <si>
    <t>Keaontay Ingram (ARI)</t>
  </si>
  <si>
    <t>J.K. Dobbins (BAL)</t>
  </si>
  <si>
    <t>Israel Abanikanda (NYJ)</t>
  </si>
  <si>
    <t>Nick Bawden (NYJ)</t>
  </si>
  <si>
    <t>Gary Brightwell (NYG)</t>
  </si>
  <si>
    <t>Mike Boone (HOU)</t>
  </si>
  <si>
    <t>Damien Williams (ARI)</t>
  </si>
  <si>
    <t>Ty Montgomery II (NE)</t>
  </si>
  <si>
    <t>Ke'Shawn Vaughn (TB)</t>
  </si>
  <si>
    <t>Leonard Fournette (BUF)</t>
  </si>
  <si>
    <t>Rashaad Penny (PHI)</t>
  </si>
  <si>
    <t>Keith Smith (ATL)</t>
  </si>
  <si>
    <t>Derrick Gore (WAS)</t>
  </si>
  <si>
    <t>DeeJay Dallas (SEA)</t>
  </si>
  <si>
    <t>Jake Funk (IND)</t>
  </si>
  <si>
    <t>Tyrion Davis-Price (SF)</t>
  </si>
  <si>
    <t>Bam Knight (DET)</t>
  </si>
  <si>
    <t>Zach Evans (LAR)</t>
  </si>
  <si>
    <t>Elijah Dotson (LAC)</t>
  </si>
  <si>
    <t>Alex Armah Jr. (WAS)</t>
  </si>
  <si>
    <t>Devine Ozigbo (DET)</t>
  </si>
  <si>
    <t>Jashaun Corbin (NYG)</t>
  </si>
  <si>
    <t>Kene Nwangwu (MIN)</t>
  </si>
  <si>
    <t>Jakob Johnson (LV)</t>
  </si>
  <si>
    <t>Kenyan Drake (GB)</t>
  </si>
  <si>
    <t>Anthony McFarland Jr. (PIT)</t>
  </si>
  <si>
    <t>Jonathan Ward (TEN)</t>
  </si>
  <si>
    <t>Chris Evans (CIN)</t>
  </si>
  <si>
    <t>Evan Hull (IND)</t>
  </si>
  <si>
    <t>Dwayne Washington (DEN)</t>
  </si>
  <si>
    <t>Marlon Mack (ARI)</t>
  </si>
  <si>
    <t>Jeremy McNichols (SF)</t>
  </si>
  <si>
    <t>Corey Clement (ARI)</t>
  </si>
  <si>
    <t>Godwin Igwebuike (PIT)</t>
  </si>
  <si>
    <t>Jason Cabinda (DET)</t>
  </si>
  <si>
    <t>Patrick Laird (TB)</t>
  </si>
  <si>
    <t>Austin Walter (LV)</t>
  </si>
  <si>
    <t>JaMycal Hasty (JAC)</t>
  </si>
  <si>
    <t>James Robinson (GB)</t>
  </si>
  <si>
    <t>Kirk Merritt (NO)</t>
  </si>
  <si>
    <t>Mohamed Ibrahim (DET)</t>
  </si>
  <si>
    <t>Bryant Koback (PHI)</t>
  </si>
  <si>
    <t>Velus Jones Jr. (CHI)</t>
  </si>
  <si>
    <t>Brittain Brown (LV)</t>
  </si>
  <si>
    <t>Derek Parish (JAC)</t>
  </si>
  <si>
    <t>SaRodorick Thompson Jr. (SEA)</t>
  </si>
  <si>
    <t>Henry Pearson (GB)</t>
  </si>
  <si>
    <t>Jonathan Williams (WAS)</t>
  </si>
  <si>
    <t>Deon Jackson (NYG)</t>
  </si>
  <si>
    <t>Jamaal Williams (DET)</t>
  </si>
  <si>
    <t>Dalvin Cook (MIN)</t>
  </si>
  <si>
    <t>Miles Sanders (PHI)</t>
  </si>
  <si>
    <t>Leonard Fournette (TB)</t>
  </si>
  <si>
    <t>David Montgomery (CHI)</t>
  </si>
  <si>
    <t>D'Andre Swift (DET)</t>
  </si>
  <si>
    <t>Devin Singletary (BUF)</t>
  </si>
  <si>
    <t>Cam Akers (LAR)</t>
  </si>
  <si>
    <t>Latavius Murray (DEN)</t>
  </si>
  <si>
    <t>D'Onta Foreman (CAR)</t>
  </si>
  <si>
    <t>Kenyan Drake (BAL)</t>
  </si>
  <si>
    <t>Michael Carter (NYJ)</t>
  </si>
  <si>
    <t>James Robinson (NYJ)</t>
  </si>
  <si>
    <t>Damien Harris (NE)</t>
  </si>
  <si>
    <t>Eno Benjamin (NO)</t>
  </si>
  <si>
    <t>Melvin Gordon III (DEN)</t>
  </si>
  <si>
    <t>Chase Edmonds (DEN)</t>
  </si>
  <si>
    <t>Dontrell Hilliard (TEN)</t>
  </si>
  <si>
    <t>Deon Jackson (IND)</t>
  </si>
  <si>
    <t>Nyheim Miller-Hines (BUF)</t>
  </si>
  <si>
    <t>Rashaad Penny (SEA)</t>
  </si>
  <si>
    <t>Bam Knight (NYJ)</t>
  </si>
  <si>
    <t>Caleb Huntley (ATL)</t>
  </si>
  <si>
    <t>Justin Jackson (DET)</t>
  </si>
  <si>
    <t>Rex Burkhead (HOU)</t>
  </si>
  <si>
    <t>Mark Ingram II (NO)</t>
  </si>
  <si>
    <t>Ty Johnson (NYJ)</t>
  </si>
  <si>
    <t>Marlon Mack (DEN)</t>
  </si>
  <si>
    <t>J.D. McKissic (WAS)</t>
  </si>
  <si>
    <t>Travis Homer (SEA)</t>
  </si>
  <si>
    <t>Pierre Strong Jr. (NE)</t>
  </si>
  <si>
    <t>Mike Boone (DEN)</t>
  </si>
  <si>
    <t>Tevin Coleman (SF)</t>
  </si>
  <si>
    <t>Malcolm Brown (LAR)</t>
  </si>
  <si>
    <t>Darrel Williams (ARI)</t>
  </si>
  <si>
    <t>Benny Snell Jr. (PIT)</t>
  </si>
  <si>
    <t>Sony Michel (LAC)</t>
  </si>
  <si>
    <t>Derek Watt (PIT)</t>
  </si>
  <si>
    <t>Ronald Jones II (KC)</t>
  </si>
  <si>
    <t>Hassan Haskins (TEN)</t>
  </si>
  <si>
    <t>Zander Horvath (LAC)</t>
  </si>
  <si>
    <t>Royce Freeman (HOU)</t>
  </si>
  <si>
    <t>Snoop Conner (JAC)</t>
  </si>
  <si>
    <t>Phillip Lindsay (IND)</t>
  </si>
  <si>
    <t>Jordan Wilkins (IND)</t>
  </si>
  <si>
    <t>Jaret Patterson (WAS)</t>
  </si>
  <si>
    <t>Myles Gaskin (MIA)</t>
  </si>
  <si>
    <t>Tony Jones Jr. (SEA)</t>
  </si>
  <si>
    <t>Spencer Brown (CAR)</t>
  </si>
  <si>
    <t>David Johnson (NO)</t>
  </si>
  <si>
    <t>Dwayne Washington (NO)</t>
  </si>
  <si>
    <t>Trestan Ebner (CHI)</t>
  </si>
  <si>
    <t>Larry Rountree III (LAC)</t>
  </si>
  <si>
    <t>Giovani Bernard (TB)</t>
  </si>
  <si>
    <t>D'Ernest Johnson (CLE)</t>
  </si>
  <si>
    <t>Mike Davis (BAL)</t>
  </si>
  <si>
    <t>Trey Sermon (PHI)</t>
  </si>
  <si>
    <t>Michael Burton (KC)</t>
  </si>
  <si>
    <t>J.J. Taylor (NE)</t>
  </si>
  <si>
    <t>Reggie Bonnafon (WAS)</t>
  </si>
  <si>
    <t>Godwin Igwebuike (SEA)</t>
  </si>
  <si>
    <t>Devine Ozigbo (DEN)</t>
  </si>
  <si>
    <t>Kylin Hill (GB)</t>
  </si>
  <si>
    <t>Ty'Son Williams (ARI)</t>
  </si>
  <si>
    <t>Duke Johnson Jr. (BUF)</t>
  </si>
  <si>
    <t>Demetric Felton Jr. (CLE)</t>
  </si>
  <si>
    <t>Damien Williams (ATL)</t>
  </si>
  <si>
    <t>Jordan Howard (NO)</t>
  </si>
  <si>
    <t>Kenjon Barner (TB)</t>
  </si>
  <si>
    <t>J.P. Holtz (NO)</t>
  </si>
  <si>
    <t>Brandin Bryant (BUF)</t>
  </si>
  <si>
    <t>Trenton Cannon (TEN)</t>
  </si>
  <si>
    <t>Qadree Ollison (DAL)</t>
  </si>
  <si>
    <t>Cullen Gillaspia (SEA)</t>
  </si>
  <si>
    <t>Andrew Beck (DEN)</t>
  </si>
  <si>
    <t>La'Mical Perine (MIA)</t>
  </si>
  <si>
    <t>Sandro Platzgummer (NYG)</t>
  </si>
  <si>
    <t>Jake Funk (LAR)</t>
  </si>
  <si>
    <t>Ben Mason (BAL)</t>
  </si>
  <si>
    <t>Bryant Koback (MIN)</t>
  </si>
  <si>
    <t>John Lovett (CAR)</t>
  </si>
  <si>
    <t>Taiwan Jones (BUF)</t>
  </si>
  <si>
    <t>Darrel Williams (KC)</t>
  </si>
  <si>
    <t>James Robinson (JAC)</t>
  </si>
  <si>
    <t>Sony Michel (LAR)</t>
  </si>
  <si>
    <t>Devonta Freeman (BAL)</t>
  </si>
  <si>
    <t>Devontae Booker (NYG)</t>
  </si>
  <si>
    <t>Chase Edmonds (ARI)</t>
  </si>
  <si>
    <t>Mike Davis (ATL)</t>
  </si>
  <si>
    <t>Latavius Murray (BAL)</t>
  </si>
  <si>
    <t>Christian McCaffrey (CAR)</t>
  </si>
  <si>
    <t>D'Onta Foreman (TEN)</t>
  </si>
  <si>
    <t>Brandon Bolden (NE)</t>
  </si>
  <si>
    <t>Zack Moss (BUF)</t>
  </si>
  <si>
    <t>Nyheim Miller-Hines (IND)</t>
  </si>
  <si>
    <t>Kenyan Drake (LV)</t>
  </si>
  <si>
    <t>Ronald Jones II (TB)</t>
  </si>
  <si>
    <t>Justin Jackson (LAC)</t>
  </si>
  <si>
    <t>Jordan Howard (PHI)</t>
  </si>
  <si>
    <t>Alex Collins (SEA)</t>
  </si>
  <si>
    <t>Duke Johnson Jr. (MIA)</t>
  </si>
  <si>
    <t>Ameer Abdullah (CAR)</t>
  </si>
  <si>
    <t>David Johnson (HOU)</t>
  </si>
  <si>
    <t>Derrick Gore (KC)</t>
  </si>
  <si>
    <t>Jeremy McNichols (TEN)</t>
  </si>
  <si>
    <t>Damien Williams (CHI)</t>
  </si>
  <si>
    <t>Jeff Wilson Jr. (SF)</t>
  </si>
  <si>
    <t>Chris Carson (SEA)</t>
  </si>
  <si>
    <t>Phillip Lindsay (MIA)</t>
  </si>
  <si>
    <t>Tevin Coleman (NYJ)</t>
  </si>
  <si>
    <t>Peyton Barber (LV)</t>
  </si>
  <si>
    <t>Dare Ogunbowale (JAC)</t>
  </si>
  <si>
    <t>Matt Breida (BUF)</t>
  </si>
  <si>
    <t>Carlos Hyde (JAC)</t>
  </si>
  <si>
    <t>Le'Veon Bell (TB)</t>
  </si>
  <si>
    <t>Ty'Son Williams (BAL)</t>
  </si>
  <si>
    <t>Elijhaa Penny (NYG)</t>
  </si>
  <si>
    <t>JaMycal Hasty (SF)</t>
  </si>
  <si>
    <t>Trey Sermon (SF)</t>
  </si>
  <si>
    <t>Corey Clement (DAL)</t>
  </si>
  <si>
    <t>Adrian Peterson (SEA)</t>
  </si>
  <si>
    <t>Eno Benjamin (ARI)</t>
  </si>
  <si>
    <t>Godwin Igwebuike (DET)</t>
  </si>
  <si>
    <t>Malcolm Brown (MIA)</t>
  </si>
  <si>
    <t>James White (NE)</t>
  </si>
  <si>
    <t>Tony Jones Jr. (NO)</t>
  </si>
  <si>
    <t>Austin Walter (NYJ)</t>
  </si>
  <si>
    <t>Qadree Ollison (ATL)</t>
  </si>
  <si>
    <t>Alec Ingold (LV)</t>
  </si>
  <si>
    <t>Ty Montgomery II (NO)</t>
  </si>
  <si>
    <t>Wayne Gallman Jr. (MIN)</t>
  </si>
  <si>
    <t>Jalen Richard (LV)</t>
  </si>
  <si>
    <t>Marlon Mack (IND)</t>
  </si>
  <si>
    <t>Ryquell Armstead (JAC)</t>
  </si>
  <si>
    <t>Andy Janovich (CLE)</t>
  </si>
  <si>
    <t>JaQuan Hardy (DAL)</t>
  </si>
  <si>
    <t>Johnny Stanton IV (CLE)</t>
  </si>
  <si>
    <t>Jonathan Ward (ARI)</t>
  </si>
  <si>
    <t>Ito Smith (DAL)</t>
  </si>
  <si>
    <t>Jason Huntley (PHI)</t>
  </si>
  <si>
    <t>Rodney Smith (CAR)</t>
  </si>
  <si>
    <t>Wendell Smallwood (WAS)</t>
  </si>
  <si>
    <t>Kalen Ballage (PIT)</t>
  </si>
  <si>
    <t>Jakob Johnson (NE)</t>
  </si>
  <si>
    <t>La'Mical Perine (NYJ)</t>
  </si>
  <si>
    <t>Gabe Nabers (LAC)</t>
  </si>
  <si>
    <t>Jaylen Samuels (HOU)</t>
  </si>
  <si>
    <t>Scottie Phillips (HOU)</t>
  </si>
  <si>
    <t>Patrick Laird (MIA)</t>
  </si>
  <si>
    <t>Raheem Mostert (SF)</t>
  </si>
  <si>
    <t>Darrynton Evans (TEN)</t>
  </si>
  <si>
    <t>Reggie Bonnafon (CAR)</t>
  </si>
  <si>
    <t>Trey Ragas (LV)</t>
  </si>
  <si>
    <t>John Kelly Jr. (CLE)</t>
  </si>
  <si>
    <t>Jacques Patrick (SF)</t>
  </si>
  <si>
    <t>Buddy Howell (LAR)</t>
  </si>
  <si>
    <t>Mekhi Sargent (JAC)</t>
  </si>
  <si>
    <t>Ryan Nall (CHI)</t>
  </si>
  <si>
    <t>Damarea Crockett (DEN)</t>
  </si>
  <si>
    <t>Devine Ozigbo (JAC)</t>
  </si>
  <si>
    <t>Nathan Cottrell (JAC)</t>
  </si>
  <si>
    <t>J.P. Holtz (CHI)</t>
  </si>
  <si>
    <t>Brian Hill (SF)</t>
  </si>
  <si>
    <t>Tarik Cohen (CHI)</t>
  </si>
  <si>
    <t>Elijah McGuire (KC)</t>
  </si>
  <si>
    <t>Cethan Carter (MIA)</t>
  </si>
  <si>
    <t>Trey Edmunds (PIT)</t>
  </si>
  <si>
    <t>Jordan Wilkins (TEN)</t>
  </si>
  <si>
    <t>Darwin Thompson (TB)</t>
  </si>
  <si>
    <t>Sutton Smith (LV)</t>
  </si>
  <si>
    <t>Cullen Gillaspia (NYG)</t>
  </si>
  <si>
    <t>LeVante Bellamy (DEN)</t>
  </si>
  <si>
    <t>Darius Bradwell (LAC)</t>
  </si>
  <si>
    <t>Artavis Pierce (CHI)</t>
  </si>
  <si>
    <t>Sewo Olonilua (DAL)</t>
  </si>
  <si>
    <t>Kirk Merritt (MIA)</t>
  </si>
  <si>
    <t>Pooka Williams Jr. (CIN)</t>
  </si>
  <si>
    <t>Gerrid Doaks (MIA)</t>
  </si>
  <si>
    <t>Tory Carter (TEN)</t>
  </si>
  <si>
    <t>Nick Ralston (DAL)</t>
  </si>
  <si>
    <t>B.J. Emmons (SEA)</t>
  </si>
  <si>
    <t>Josh Johnson (SEA)</t>
  </si>
  <si>
    <t>Nate McCrary (BAL)</t>
  </si>
  <si>
    <t>Khari Blasingame (TEN)</t>
  </si>
  <si>
    <t>Trenton Cannon (SF)</t>
  </si>
  <si>
    <t>Kenyan Drake (ARI)</t>
  </si>
  <si>
    <t>Mike Davis (CAR)</t>
  </si>
  <si>
    <t>Todd Gurley II (ATL)</t>
  </si>
  <si>
    <t>James Conner (PIT)</t>
  </si>
  <si>
    <t>Wayne Gallman Jr. (NYG)</t>
  </si>
  <si>
    <t>Latavius Murray (NO)</t>
  </si>
  <si>
    <t>Adrian Peterson (DET)</t>
  </si>
  <si>
    <t>Giovani Bernard (CIN)</t>
  </si>
  <si>
    <t>Jamaal Williams (GB)</t>
  </si>
  <si>
    <t>Jerick McKinnon (SF)</t>
  </si>
  <si>
    <t>Frank Gore (NYJ)</t>
  </si>
  <si>
    <t>Rex Burkhead (NE)</t>
  </si>
  <si>
    <t>Brian Hill (ATL)</t>
  </si>
  <si>
    <t>Carlos Hyde (SEA)</t>
  </si>
  <si>
    <t>Devontae Booker (LV)</t>
  </si>
  <si>
    <t>Sony Michel (NE)</t>
  </si>
  <si>
    <t>Kalen Ballage (LAC)</t>
  </si>
  <si>
    <t>Phillip Lindsay (DEN)</t>
  </si>
  <si>
    <t>Le'Veon Bell (KC)</t>
  </si>
  <si>
    <t>Duke Johnson Jr. (HOU)</t>
  </si>
  <si>
    <t>Kerryon Johnson (DET)</t>
  </si>
  <si>
    <t>Peyton Barber (WAS)</t>
  </si>
  <si>
    <t>Mark Ingram II (BAL)</t>
  </si>
  <si>
    <t>Ito Smith (ATL)</t>
  </si>
  <si>
    <t>Dion Lewis (NYG)</t>
  </si>
  <si>
    <t>Alfred Morris (NYG)</t>
  </si>
  <si>
    <t>Cordarrelle Patterson (CHI)</t>
  </si>
  <si>
    <t>Matt Breida (MIA)</t>
  </si>
  <si>
    <t>Josh Adams (NYJ)</t>
  </si>
  <si>
    <t>Devonta Freeman (NYG)</t>
  </si>
  <si>
    <t>Darwin Thompson (KC)</t>
  </si>
  <si>
    <t>Royce Freeman (DEN)</t>
  </si>
  <si>
    <t>Chris Thompson (JAC)</t>
  </si>
  <si>
    <t>Ameer Abdullah (MIN)</t>
  </si>
  <si>
    <t>Antonio Williams (BUF)</t>
  </si>
  <si>
    <t>Corey Clement (PHI)</t>
  </si>
  <si>
    <t>T.J. Yeldon (BUF)</t>
  </si>
  <si>
    <t>Tyler Ervin (GB)</t>
  </si>
  <si>
    <t>LeSean McCoy (TB)</t>
  </si>
  <si>
    <t>Mike Boone (MIN)</t>
  </si>
  <si>
    <t>DeAndre Washington (MIA)</t>
  </si>
  <si>
    <t>Troymaine Pope (LAC)</t>
  </si>
  <si>
    <t>C.J. Prosise (HOU)</t>
  </si>
  <si>
    <t>Jaylen Samuels (PIT)</t>
  </si>
  <si>
    <t>Anthony Sherman (KC)</t>
  </si>
  <si>
    <t>Buddy Howell (HOU)</t>
  </si>
  <si>
    <t>Theo Riddick (LV)</t>
  </si>
  <si>
    <t>Dontrell Hilliard (HOU)</t>
  </si>
  <si>
    <t>Trenton Cannon (CAR)</t>
  </si>
  <si>
    <t>Michael Burton (NO)</t>
  </si>
  <si>
    <t>Bo Scarbrough (SEA)</t>
  </si>
  <si>
    <t>Austin Walter (SF)</t>
  </si>
  <si>
    <t>Alex Armah Jr. (CAR)</t>
  </si>
  <si>
    <t>Senorise Perry (TEN)</t>
  </si>
  <si>
    <t>D.J. Foster (ARI)</t>
  </si>
  <si>
    <t>Chandler Cox (MIA)</t>
  </si>
  <si>
    <t>Dexter Williams (GB)</t>
  </si>
  <si>
    <t>Craig Reynolds (JAC)</t>
  </si>
  <si>
    <t>Lamar Miller (CHI)</t>
  </si>
  <si>
    <t>Jonathan Williams (DET)</t>
  </si>
  <si>
    <t>Cullen Gillaspia (HOU)</t>
  </si>
  <si>
    <t>Tony Brooks-James (ATL)</t>
  </si>
  <si>
    <t>Bruce Miller (JAC)</t>
  </si>
  <si>
    <t>Wendell Smallwood (PIT)</t>
  </si>
  <si>
    <t>Cethan Carter (CIN)</t>
  </si>
  <si>
    <t>Elijah Holyfield (PHI)</t>
  </si>
  <si>
    <t>John Lovett (GB)</t>
  </si>
  <si>
    <t>Jeremy Cox (DEN)</t>
  </si>
  <si>
    <t>Michael Warren II (WAS)</t>
  </si>
  <si>
    <t>Javon Leake (WAS)</t>
  </si>
  <si>
    <t>Xavier Jones (LAR)</t>
  </si>
  <si>
    <t>Raymond Calais (LAR)</t>
  </si>
  <si>
    <t>Jake Bargas (MIN)</t>
  </si>
  <si>
    <t>Adrian Killins Jr. (PHI)</t>
  </si>
  <si>
    <t>Todd Gurley II (LAR)</t>
  </si>
  <si>
    <t>Leonard Fournette (JAC)</t>
  </si>
  <si>
    <t>Josh Jacobs (OAK)</t>
  </si>
  <si>
    <t>Le'Veon Bell (NYJ)</t>
  </si>
  <si>
    <t>Carlos Hyde (HOU)</t>
  </si>
  <si>
    <t>Melvin Gordon III (LAC)</t>
  </si>
  <si>
    <t>Devonta Freeman (ATL)</t>
  </si>
  <si>
    <t>Adrian Peterson (WAS)</t>
  </si>
  <si>
    <t>Damien Williams (KC)</t>
  </si>
  <si>
    <t>David Johnson (ARI)</t>
  </si>
  <si>
    <t>Peyton Barber (TB)</t>
  </si>
  <si>
    <t>LeSean McCoy (KC)</t>
  </si>
  <si>
    <t>DeAndre Washington (OAK)</t>
  </si>
  <si>
    <t>Matt Breida (SF)</t>
  </si>
  <si>
    <t>Frank Gore (BUF)</t>
  </si>
  <si>
    <t>Chris Thompson (WAS)</t>
  </si>
  <si>
    <t>Derrius Guice (WAS)</t>
  </si>
  <si>
    <t>J.D. McKissic (DET)</t>
  </si>
  <si>
    <t>Jalen Richard (OAK)</t>
  </si>
  <si>
    <t>Bo Scarbrough (DET)</t>
  </si>
  <si>
    <t>Dion Lewis (TEN)</t>
  </si>
  <si>
    <t>Dare Ogunbowale (TB)</t>
  </si>
  <si>
    <t>Kalen Ballage (MIA)</t>
  </si>
  <si>
    <t>Ty Johnson (DET)</t>
  </si>
  <si>
    <t>Jonathan Williams (IND)</t>
  </si>
  <si>
    <t>Mark Walton (MIA)</t>
  </si>
  <si>
    <t>Bilal Powell (NYJ)</t>
  </si>
  <si>
    <t>Dontrell Hilliard (CLE)</t>
  </si>
  <si>
    <t>Ty Montgomery II (NYJ)</t>
  </si>
  <si>
    <t>C.J. Prosise (SEA)</t>
  </si>
  <si>
    <t>Wes Hills (DET)</t>
  </si>
  <si>
    <t>Kerrith Whyte Jr. (PIT)</t>
  </si>
  <si>
    <t>Alec Ingold (OAK)</t>
  </si>
  <si>
    <t>Darren Sproles (PHI)</t>
  </si>
  <si>
    <t>Javorius Allen (NYG)</t>
  </si>
  <si>
    <t>Andy Janovich (DEN)</t>
  </si>
  <si>
    <t>Derek Watt (LAC)</t>
  </si>
  <si>
    <t>Danny Vitale (GB)</t>
  </si>
  <si>
    <t>Marshawn Lynch (SEA)</t>
  </si>
  <si>
    <t>Kenjon Barner (ATL)</t>
  </si>
  <si>
    <t>Spencer Ware (KC)</t>
  </si>
  <si>
    <t>Devontae Booker (DEN)</t>
  </si>
  <si>
    <t>Tra Carson (DET)</t>
  </si>
  <si>
    <t>Zach Line (NO)</t>
  </si>
  <si>
    <t>Jon Hilliman (NYG)</t>
  </si>
  <si>
    <t>Taiwan Jones (HOU)</t>
  </si>
  <si>
    <t>Patrick DiMarco (BUF)</t>
  </si>
  <si>
    <t>C.J. Anderson (DET)</t>
  </si>
  <si>
    <t>Paul Perkins (DET)</t>
  </si>
  <si>
    <t>Jay Ajayi (PHI)</t>
  </si>
  <si>
    <t>Dalyn Dawkins (TEN)</t>
  </si>
  <si>
    <t>T.J. Logan (TB)</t>
  </si>
  <si>
    <t>Zach Zenner (MIA)</t>
  </si>
  <si>
    <t>Nick Bawden (DET)</t>
  </si>
  <si>
    <t>Samaje Perine (MIA)</t>
  </si>
  <si>
    <t>Josh Ferguson (WAS)</t>
  </si>
  <si>
    <t>John Kelly Jr. (LAR)</t>
  </si>
  <si>
    <t>Jordan Scarlett (CAR)</t>
  </si>
  <si>
    <t>Ricky Ortiz (NO)</t>
  </si>
  <si>
    <t>Tony Brooks-James (PIT)</t>
  </si>
  <si>
    <t>De'Lance Turner (MIA)</t>
  </si>
  <si>
    <t>Alfred Morris (ARI)</t>
  </si>
  <si>
    <t>Senorise Perry (BUF)</t>
  </si>
  <si>
    <t>Roosevelt Nix (PIT)</t>
  </si>
  <si>
    <t>James Develin (NE)</t>
  </si>
  <si>
    <t>Jamaal Charles (JAC)</t>
  </si>
  <si>
    <t>Jonathan Stewart (NYG)</t>
  </si>
  <si>
    <t>LeGarrette Blount (DET)</t>
  </si>
  <si>
    <t>Chris Ivory (BUF)</t>
  </si>
  <si>
    <t>Stevan Ridley (PIT)</t>
  </si>
  <si>
    <t>DuJuan Harris (CIN)</t>
  </si>
  <si>
    <t>Lamar Miller (HOU)</t>
  </si>
  <si>
    <t>Robert Turbin (SEA)</t>
  </si>
  <si>
    <t>Travaris Cadet (CAR)</t>
  </si>
  <si>
    <t>Jamize Olawale (DAL)</t>
  </si>
  <si>
    <t>Mike Gillislee (NO)</t>
  </si>
  <si>
    <t>Christine Michael (IND)</t>
  </si>
  <si>
    <t>Derrick Coleman (ARI)</t>
  </si>
  <si>
    <t>Jeremy Hill (NE)</t>
  </si>
  <si>
    <t>David Fluellen (TEN)</t>
  </si>
  <si>
    <t>Cameron Artis-Payne (CAR)</t>
  </si>
  <si>
    <t>Jeremy Langford (ATL)</t>
  </si>
  <si>
    <t>Michael Burton (WAS)</t>
  </si>
  <si>
    <t>Rod Smith (OAK)</t>
  </si>
  <si>
    <t>Alex Collins (BAL)</t>
  </si>
  <si>
    <t>Kenneth Dixon (BAL)</t>
  </si>
  <si>
    <t>Brandin Bryant (CLE)</t>
  </si>
  <si>
    <t>Tre Madden (SEA)</t>
  </si>
  <si>
    <t>Jeremy McNichols (JAC)</t>
  </si>
  <si>
    <t>Joe Williams (NO)</t>
  </si>
  <si>
    <t>Justin Davis (LAR)</t>
  </si>
  <si>
    <t>Lavon Coleman (GB)</t>
  </si>
  <si>
    <t>Trenton Cannon (NYJ)</t>
  </si>
  <si>
    <t>Detrez Newsome (LAC)</t>
  </si>
  <si>
    <t>Jordan Chunn (DAL)</t>
  </si>
  <si>
    <t>Donnie Ernsberger (TB)</t>
  </si>
  <si>
    <t>Bryce Love (WAS)</t>
  </si>
  <si>
    <t>Austin Walter (NYG)</t>
  </si>
  <si>
    <t>Craig Reynolds (WAS)</t>
  </si>
  <si>
    <t>Tevin Coleman (ATL)</t>
  </si>
  <si>
    <t>Jordan Howard (CHI)</t>
  </si>
  <si>
    <t>Kenyan Drake (MIA)</t>
  </si>
  <si>
    <t>Isaiah Crowell (NYJ)</t>
  </si>
  <si>
    <t>T.J. Yeldon (JAC)</t>
  </si>
  <si>
    <t>Latavius Murray (MIN)</t>
  </si>
  <si>
    <t>Mike Davis (SEA)</t>
  </si>
  <si>
    <t>Doug Martin (OAK)</t>
  </si>
  <si>
    <t>LeSean McCoy (BUF)</t>
  </si>
  <si>
    <t>Frank Gore (MIA)</t>
  </si>
  <si>
    <t>Wendell Smallwood (PHI)</t>
  </si>
  <si>
    <t>Duke Johnson Jr. (CLE)</t>
  </si>
  <si>
    <t>Alfred Blue (HOU)</t>
  </si>
  <si>
    <t>Josh Adams (PHI)</t>
  </si>
  <si>
    <t>Elijah McGuire (NYJ)</t>
  </si>
  <si>
    <t>Marshawn Lynch (OAK)</t>
  </si>
  <si>
    <t>C.J. Anderson (LAR)</t>
  </si>
  <si>
    <t>Alfred Morris (SF)</t>
  </si>
  <si>
    <t>Javorius Allen (BAL)</t>
  </si>
  <si>
    <t>Theo Riddick (DET)</t>
  </si>
  <si>
    <t>Zach Zenner (DET)</t>
  </si>
  <si>
    <t>Cordarrelle Patterson (NE)</t>
  </si>
  <si>
    <t>Ty Montgomery II (BAL)</t>
  </si>
  <si>
    <t>Kapri Bibbs (GB)</t>
  </si>
  <si>
    <t>Jacquizz Rodgers (TB)</t>
  </si>
  <si>
    <t>Marcus Murphy (BUF)</t>
  </si>
  <si>
    <t>Brandon Bolden (MIA)</t>
  </si>
  <si>
    <t>Rod Smith (DAL)</t>
  </si>
  <si>
    <t>Taquan Mizzell (CHI)</t>
  </si>
  <si>
    <t>Corey Grant (JAC)</t>
  </si>
  <si>
    <t>Keith Ford (BUF)</t>
  </si>
  <si>
    <t>Charcandrick West (KC)</t>
  </si>
  <si>
    <t>D'Onta Foreman (HOU)</t>
  </si>
  <si>
    <t>Mark Walton (CIN)</t>
  </si>
  <si>
    <t>Kenjon Barner (CAR)</t>
  </si>
  <si>
    <t>Ryan Hewitt (IND)</t>
  </si>
  <si>
    <t>Roc Thomas (MIN)</t>
  </si>
  <si>
    <t>Tommy Bohanon (JAC)</t>
  </si>
  <si>
    <t>Byron Marshall (WAS)</t>
  </si>
  <si>
    <t>T.J. Logan (ARI)</t>
  </si>
  <si>
    <t>Samaje Perine (WAS)</t>
  </si>
  <si>
    <t>David Williams (JAC)</t>
  </si>
  <si>
    <t>Tyler Ervin (HOU)</t>
  </si>
  <si>
    <t>Shaun Wilson (TB)</t>
  </si>
  <si>
    <t>Benny Cunningham Jr. (CHI)</t>
  </si>
  <si>
    <t>Keith Smith (OAK)</t>
  </si>
  <si>
    <t>De'Lance Turner (BAL)</t>
  </si>
  <si>
    <t>Darius Jackson (DAL)</t>
  </si>
  <si>
    <t>Brandon Wilds (JAC)</t>
  </si>
  <si>
    <t>Ricky Ortiz (ATL)</t>
  </si>
  <si>
    <t>Robert Kelley (WAS)</t>
  </si>
  <si>
    <t>J.D. McKissic (SEA)</t>
  </si>
  <si>
    <t>Michael Burton (CHI)</t>
  </si>
  <si>
    <t>Jeremy McNichols (IND)</t>
  </si>
  <si>
    <t>Jonathan Williams (NO)</t>
  </si>
  <si>
    <t>Senorise Perry (MIA)</t>
  </si>
  <si>
    <t>Thomas Rawls (CIN)</t>
  </si>
  <si>
    <t>Tra Carson (GB)</t>
  </si>
  <si>
    <t>Matt Dayes (SF)</t>
  </si>
  <si>
    <t>Shane Smith (NYG)</t>
  </si>
  <si>
    <t>Godwin Igwebuike (SF)</t>
  </si>
  <si>
    <t>Jason Cabinda (OAK)</t>
  </si>
  <si>
    <t>De'Angelo Henderson Sr. (NYJ)</t>
  </si>
  <si>
    <t>Robert Turbin (IND)</t>
  </si>
  <si>
    <t>RBWR</t>
  </si>
  <si>
    <t>GB</t>
  </si>
  <si>
    <t>JAC</t>
  </si>
  <si>
    <t>KC</t>
  </si>
  <si>
    <t>LV</t>
  </si>
  <si>
    <t>NE</t>
  </si>
  <si>
    <t>NO</t>
  </si>
  <si>
    <t>SF</t>
  </si>
  <si>
    <t>TB</t>
  </si>
  <si>
    <t>TmRBWR</t>
  </si>
  <si>
    <t>FL</t>
  </si>
  <si>
    <t>G</t>
  </si>
  <si>
    <t>RYOE</t>
  </si>
  <si>
    <t>RYOE/ATT</t>
  </si>
  <si>
    <t>ROE%</t>
  </si>
  <si>
    <t>D'Andre Swift</t>
  </si>
  <si>
    <t>Cam Skattebo</t>
  </si>
  <si>
    <t>Kyren Williams</t>
  </si>
  <si>
    <t>Chase Brown</t>
  </si>
  <si>
    <t>Omarion Hampton</t>
  </si>
  <si>
    <t>Javonte Williams</t>
  </si>
  <si>
    <t>J.K. Dobbins</t>
  </si>
  <si>
    <t>Rhamondre Stevenson</t>
  </si>
  <si>
    <t>Kareem Hunt</t>
  </si>
  <si>
    <t>Jaylen Warren</t>
  </si>
  <si>
    <t>Bijan Robinson</t>
  </si>
  <si>
    <t>Jordan Mason</t>
  </si>
  <si>
    <t>Blake Corum</t>
  </si>
  <si>
    <t>Rico Dowdle</t>
  </si>
  <si>
    <t>Breece Hall</t>
  </si>
  <si>
    <t>Derrick Henry</t>
  </si>
  <si>
    <t>Zach Charbonnet</t>
  </si>
  <si>
    <t>Kyle Monangai</t>
  </si>
  <si>
    <t>Tyler Allgeier</t>
  </si>
  <si>
    <t>Josh Jacobs</t>
  </si>
  <si>
    <t>Tony Pollard</t>
  </si>
  <si>
    <t>Woody Marks</t>
  </si>
  <si>
    <t>TreVeyon Henderson</t>
  </si>
  <si>
    <t>Nick Chubb</t>
  </si>
  <si>
    <t>Isiah Pacheco</t>
  </si>
  <si>
    <t>Chuba Hubbard</t>
  </si>
  <si>
    <t>Quinshon Judkins</t>
  </si>
  <si>
    <t>Emanuel Wilson</t>
  </si>
  <si>
    <t>Jacory Croskey-Merritt</t>
  </si>
  <si>
    <t>Saquon Barkley</t>
  </si>
  <si>
    <t>JAX</t>
  </si>
  <si>
    <t>David Montgomery</t>
  </si>
  <si>
    <t>Jonathan Taylor</t>
  </si>
  <si>
    <t>Kenneth Walker III</t>
  </si>
  <si>
    <t>Devin Singletary</t>
  </si>
  <si>
    <t>Bucky Irving</t>
  </si>
  <si>
    <t>Jahmyr Gibbs</t>
  </si>
  <si>
    <t>Kimani Vidal</t>
  </si>
  <si>
    <t>Rachaad White</t>
  </si>
  <si>
    <t>Ashton Jeanty</t>
  </si>
  <si>
    <t>Christian McCaffrey</t>
  </si>
  <si>
    <t>Alvin Kamara</t>
  </si>
  <si>
    <t>Michael Carter</t>
  </si>
  <si>
    <t>AZ</t>
  </si>
  <si>
    <t>James Conner</t>
  </si>
  <si>
    <t>Najee Harris</t>
  </si>
  <si>
    <t>Joe Mixon</t>
  </si>
  <si>
    <t>Tank Bigsby</t>
  </si>
  <si>
    <t>Jerome Ford</t>
  </si>
  <si>
    <t>Antonio Gibson</t>
  </si>
  <si>
    <t>Jaleel McLaughlin</t>
  </si>
  <si>
    <t>Cam Akers</t>
  </si>
  <si>
    <t>Ray Davis</t>
  </si>
  <si>
    <t>Alexander Mattison</t>
  </si>
  <si>
    <t>Gus Edwards</t>
  </si>
  <si>
    <t>Braelon Allen</t>
  </si>
  <si>
    <t>Raheem Mostert</t>
  </si>
  <si>
    <t>Zack Moss</t>
  </si>
  <si>
    <t>Ezekiel Elliott</t>
  </si>
  <si>
    <t>Austin Ekeler</t>
  </si>
  <si>
    <t>Khalil Herbert</t>
  </si>
  <si>
    <t>Tyjae Spears</t>
  </si>
  <si>
    <t>Zamir White</t>
  </si>
  <si>
    <t>Miles Sanders</t>
  </si>
  <si>
    <t>D'Onta Foreman</t>
  </si>
  <si>
    <t>Dameon Pierce</t>
  </si>
  <si>
    <t>Ty Chandler</t>
  </si>
  <si>
    <t>Joshua Kelley</t>
  </si>
  <si>
    <t>Jamaal Williams</t>
  </si>
  <si>
    <t>Dalvin Cook</t>
  </si>
  <si>
    <t>Latavius Murray</t>
  </si>
  <si>
    <t>Cordarrelle Patterson</t>
  </si>
  <si>
    <t>Leonard Fournette</t>
  </si>
  <si>
    <t>Kenyan Drake</t>
  </si>
  <si>
    <t>Damien Harris</t>
  </si>
  <si>
    <t>James Robinson</t>
  </si>
  <si>
    <t>Samaje Perine</t>
  </si>
  <si>
    <t>Elijah Mitchell</t>
  </si>
  <si>
    <t>Sony Michel</t>
  </si>
  <si>
    <t>NFC</t>
  </si>
  <si>
    <t>Rashaad Penny</t>
  </si>
  <si>
    <t>Myles Gaskin</t>
  </si>
  <si>
    <t>Devontae Booker</t>
  </si>
  <si>
    <t>Chase Edmonds</t>
  </si>
  <si>
    <t>Devonta Freeman</t>
  </si>
  <si>
    <t>Darrel Williams</t>
  </si>
  <si>
    <t>D'Ernest Johnson</t>
  </si>
  <si>
    <t>Clyde Edwards-Helaire</t>
  </si>
  <si>
    <t>Mike Davis</t>
  </si>
  <si>
    <t>Rex Burkhead</t>
  </si>
  <si>
    <t>Alex Collins</t>
  </si>
  <si>
    <t>David Johnson</t>
  </si>
  <si>
    <t>Chris Carson</t>
  </si>
  <si>
    <t>Frank Gore</t>
  </si>
  <si>
    <t>Adrian Peterson</t>
  </si>
  <si>
    <t>Phillip Lindsay</t>
  </si>
  <si>
    <t>Brian Hill</t>
  </si>
  <si>
    <t>Malcolm Brown</t>
  </si>
  <si>
    <t>Giovani Bernard</t>
  </si>
  <si>
    <t>J.D. McKissic</t>
  </si>
  <si>
    <t>Kalen Ballage</t>
  </si>
  <si>
    <t>Peyton Barber</t>
  </si>
  <si>
    <t>Marlon Mack</t>
  </si>
  <si>
    <t>Carlos Hyde</t>
  </si>
  <si>
    <t>Le'Veon Bell</t>
  </si>
  <si>
    <t>Matt Breida</t>
  </si>
  <si>
    <t>Tevin Coleman</t>
  </si>
  <si>
    <t>Jordan Howard</t>
  </si>
  <si>
    <t>Damien Williams</t>
  </si>
  <si>
    <t>Royce Freeman</t>
  </si>
  <si>
    <t>LeSean McCoy</t>
  </si>
  <si>
    <t>Kerryon Johnson</t>
  </si>
  <si>
    <t>DeAndre Washington</t>
  </si>
  <si>
    <t>Bo Scarbrough</t>
  </si>
  <si>
    <t>Lamar Miller</t>
  </si>
  <si>
    <t>Doug Martin</t>
  </si>
  <si>
    <t>Isaiah Crowell</t>
  </si>
  <si>
    <t>Dion Lewis</t>
  </si>
  <si>
    <t>Josh Adams</t>
  </si>
  <si>
    <t>Alfred Blue</t>
  </si>
  <si>
    <t>Tarik Cohen</t>
  </si>
  <si>
    <t>Alfred Morris</t>
  </si>
  <si>
    <t>James White</t>
  </si>
  <si>
    <t>LeGarrette Blount</t>
  </si>
  <si>
    <t>T.J. Yeldon</t>
  </si>
  <si>
    <t>Chris Ivory</t>
  </si>
  <si>
    <t>Marshawn Lynch</t>
  </si>
  <si>
    <t>Wendell Smallwood</t>
  </si>
  <si>
    <t>Ito Smith</t>
  </si>
  <si>
    <t>Elijah McGuire</t>
  </si>
  <si>
    <t>RYOE%</t>
  </si>
  <si>
    <t>James Cook III</t>
  </si>
  <si>
    <t>De'Von Achane</t>
  </si>
  <si>
    <t>Travis Etienne Jr.</t>
  </si>
  <si>
    <t>Tyrone Tracy Jr.</t>
  </si>
  <si>
    <t>Aaron Jones Sr.</t>
  </si>
  <si>
    <t>RJ Harvey</t>
  </si>
  <si>
    <t>Kenny Gainwell</t>
  </si>
  <si>
    <t>Chris Rodriguez Jr.</t>
  </si>
  <si>
    <t>Brian Robinson Jr.</t>
  </si>
  <si>
    <t>AJ Dillon</t>
  </si>
  <si>
    <t>Kenneth Walker III III</t>
  </si>
  <si>
    <t>Jeff Wilson Jr.</t>
  </si>
  <si>
    <t>Melvin Gordon III</t>
  </si>
  <si>
    <t>Darrell Henderson Jr.</t>
  </si>
  <si>
    <t>Mark Ingram II</t>
  </si>
  <si>
    <t>Ronald Jones II</t>
  </si>
  <si>
    <t>Todd Gurley II</t>
  </si>
  <si>
    <t>Nyheim Miller-Hines</t>
  </si>
  <si>
    <t>Wayne Gallman Jr.</t>
  </si>
  <si>
    <t>Benny Snell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</si>
</sst>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1F2D3D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2" xfId="0" applyFill="1" applyBorder="1"/>
    <xf numFmtId="0" fontId="0" fillId="0" borderId="2" xfId="0" applyBorder="1"/>
    <xf numFmtId="0" fontId="1" fillId="2" borderId="2" xfId="0" applyFont="1" applyFill="1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3" borderId="3" xfId="0" applyFill="1" applyBorder="1"/>
    <xf numFmtId="0" fontId="0" fillId="0" borderId="3" xfId="0" applyBorder="1"/>
    <xf numFmtId="0" fontId="1" fillId="2" borderId="3" xfId="0" applyFont="1" applyFill="1" applyBorder="1"/>
    <xf numFmtId="0" fontId="1" fillId="2" borderId="0" xfId="0" applyFont="1" applyFill="1"/>
    <xf numFmtId="0" fontId="2" fillId="0" borderId="0" xfId="0" applyFont="1"/>
    <xf numFmtId="0" fontId="3" fillId="4" borderId="0" xfId="0" applyFont="1" applyFill="1" applyAlignment="1">
      <alignment horizontal="center" vertical="center"/>
    </xf>
    <xf numFmtId="0" fontId="2" fillId="5" borderId="0" xfId="0" applyFont="1" applyFill="1"/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D41A63-20B7-4B4A-924B-D57B393FFFEE}" name="Table3" displayName="Table3" ref="A1:N1441" totalsRowShown="0" headerRowDxfId="19">
  <autoFilter ref="A1:N1441" xr:uid="{8BD41A63-20B7-4B4A-924B-D57B393FFFEE}"/>
  <tableColumns count="14">
    <tableColumn id="1" xr3:uid="{470FC662-44DF-4A05-A712-AF9871655008}" name="Year" dataDxfId="18"/>
    <tableColumn id="2" xr3:uid="{16B9915E-7690-4CCF-8CFB-44EAEBC13D5E}" name="Player (TM)" dataDxfId="17"/>
    <tableColumn id="3" xr3:uid="{6CE2AE52-5FE4-4237-AE06-A4CEB3F786B2}" name="Player" dataDxfId="16">
      <calculatedColumnFormula>TRIM(LEFT(B2, LEN(B2) - LEN(TRIM(RIGHT(SUBSTITUTE(TRIM(B2)," ",REPT(" ",100)),100)))))</calculatedColumnFormula>
    </tableColumn>
    <tableColumn id="4" xr3:uid="{904D7DD2-38C6-4D04-AE58-E8F6000B4C6D}" name="TM" dataDxfId="15">
      <calculatedColumnFormula>MID(B2, FIND("(", B2) + 1, FIND(")", B2) - FIND("(", B2) - 1)</calculatedColumnFormula>
    </tableColumn>
    <tableColumn id="5" xr3:uid="{562A43AD-85DE-4B46-8B81-A33E10288ADF}" name="ATT" dataDxfId="14"/>
    <tableColumn id="6" xr3:uid="{8045DEC0-8D39-4073-9A79-A5E9D09540E6}" name="RusYDS" dataDxfId="13"/>
    <tableColumn id="7" xr3:uid="{23A77CB6-D3F5-4AFB-8696-D24EF0E58668}" name="RusY/A" dataDxfId="12"/>
    <tableColumn id="8" xr3:uid="{E8388028-E950-444E-831D-6F23771E9609}" name="RusTD" dataDxfId="11"/>
    <tableColumn id="11" xr3:uid="{ABBB2B07-A879-49DA-9E58-54418C9081B2}" name="FL"/>
    <tableColumn id="10" xr3:uid="{0D292A7B-F76C-41F5-B976-ACD6DF1CE35F}" name="G"/>
    <tableColumn id="9" xr3:uid="{A5D1A8DE-712C-49FB-99D8-E7CEE0D20C45}" name="TmRBWR" dataDxfId="10">
      <calculatedColumnFormula array="1">IFERROR(_xlfn.XLOOKUP(D2&amp;A2, RBWR!A:A&amp;RBWR!C:C, RBWR!B:B), "N/A")</calculatedColumnFormula>
    </tableColumn>
    <tableColumn id="12" xr3:uid="{8EBD8FB3-9D20-4C03-BBAE-D3EBB3F21467}" name="RYOE" dataDxfId="9">
      <calculatedColumnFormula array="1">IFERROR(_xlfn.XLOOKUP(C2&amp;A2, RYOE!A:A&amp;RYOE!F:F, RYOE!C:C), "N/A")</calculatedColumnFormula>
    </tableColumn>
    <tableColumn id="13" xr3:uid="{5169B3E0-573E-4C5F-B970-E1B381480E4B}" name="RYOE/ATT" dataDxfId="8">
      <calculatedColumnFormula array="1">IFERROR(_xlfn.XLOOKUP(C2&amp;A2, RYOE!A:A&amp;RYOE!F:F, RYOE!D:D), "N/A")</calculatedColumnFormula>
    </tableColumn>
    <tableColumn id="14" xr3:uid="{5D7E342D-B910-4F19-AA92-523FAA6F27AB}" name="RYOE%" dataDxfId="7">
      <calculatedColumnFormula array="1">IFERROR(_xlfn.XLOOKUP(C2&amp;A2, RYOE!A:A&amp;RYOE!F:F, RYOE!E:E), "N/A")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23E5F8-4476-478B-9C2E-828AFB933BB8}" name="Table34" displayName="Table34" ref="A1:F406" totalsRowShown="0" dataDxfId="6">
  <autoFilter ref="A1:F406" xr:uid="{B423E5F8-4476-478B-9C2E-828AFB933BB8}"/>
  <tableColumns count="6">
    <tableColumn id="1" xr3:uid="{EC8E6C77-A8B3-4199-9923-335FDF204AFB}" name="Player" dataDxfId="5"/>
    <tableColumn id="2" xr3:uid="{9FC8AFC6-740E-45F7-9E89-9C1DEF39A4E9}" name="Tm" dataDxfId="4"/>
    <tableColumn id="3" xr3:uid="{EC221DCB-4BB7-4280-8B09-D699094CB735}" name="RYOE" dataDxfId="3"/>
    <tableColumn id="4" xr3:uid="{831300DA-17C4-4731-A676-5D8022A2FE55}" name="RYOE/ATT" dataDxfId="2"/>
    <tableColumn id="5" xr3:uid="{3030D945-5B16-4007-828E-8FFD8F837842}" name="ROE%" dataDxfId="1"/>
    <tableColumn id="6" xr3:uid="{E8CD1B6B-E2E9-4634-929F-A10D93D49369}" name="Year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FB75B-D4E4-40D1-8584-51D4911C1443}" name="Table2" displayName="Table2" ref="A1:C193" totalsRowShown="0">
  <autoFilter ref="A1:C193" xr:uid="{0E9FB75B-D4E4-40D1-8584-51D4911C1443}"/>
  <tableColumns count="3">
    <tableColumn id="1" xr3:uid="{206614A6-8A72-423A-8A22-8BA0166650A4}" name="Tm"/>
    <tableColumn id="2" xr3:uid="{A0F352F9-B65B-48B7-8713-249263668F8F}" name="RBWR"/>
    <tableColumn id="3" xr3:uid="{5226DCF2-3DCB-4688-9379-4ED61161C5C5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A29B-3ADC-460E-95A4-42873CCEA8F2}">
  <dimension ref="A1:N1441"/>
  <sheetViews>
    <sheetView tabSelected="1" workbookViewId="0">
      <selection activeCell="R10" sqref="R10"/>
    </sheetView>
  </sheetViews>
  <sheetFormatPr defaultRowHeight="15" customHeight="1" x14ac:dyDescent="0.45"/>
  <cols>
    <col min="2" max="2" width="18.59765625" customWidth="1"/>
    <col min="3" max="3" width="17.1328125" customWidth="1"/>
    <col min="4" max="4" width="6.59765625" customWidth="1"/>
    <col min="5" max="5" width="5.3984375" customWidth="1"/>
    <col min="6" max="6" width="8.86328125" customWidth="1"/>
    <col min="7" max="7" width="8.33203125" customWidth="1"/>
    <col min="8" max="8" width="7.6640625" customWidth="1"/>
    <col min="9" max="9" width="4.73046875" customWidth="1"/>
    <col min="10" max="10" width="5.33203125" customWidth="1"/>
    <col min="15" max="15" width="7.53125" customWidth="1"/>
  </cols>
  <sheetData>
    <row r="1" spans="1:14" ht="15" customHeight="1" x14ac:dyDescent="0.45">
      <c r="A1" s="9" t="s">
        <v>0</v>
      </c>
      <c r="B1" s="4" t="s">
        <v>32</v>
      </c>
      <c r="C1" s="3" t="s">
        <v>1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10" t="s">
        <v>802</v>
      </c>
      <c r="J1" s="10" t="s">
        <v>803</v>
      </c>
      <c r="K1" s="10" t="s">
        <v>801</v>
      </c>
      <c r="L1" s="10" t="s">
        <v>804</v>
      </c>
      <c r="M1" s="10" t="s">
        <v>805</v>
      </c>
      <c r="N1" s="10" t="s">
        <v>937</v>
      </c>
    </row>
    <row r="2" spans="1:14" ht="15" customHeight="1" x14ac:dyDescent="0.45">
      <c r="A2" s="7">
        <v>2025</v>
      </c>
      <c r="B2" s="5" t="s">
        <v>33</v>
      </c>
      <c r="C2" s="1" t="str">
        <f t="shared" ref="C2:C65" si="0">TRIM(LEFT(B2, LEN(B2) - LEN(TRIM(RIGHT(SUBSTITUTE(TRIM(B2)," ",REPT(" ",100)),100)))))</f>
        <v>James Cook III</v>
      </c>
      <c r="D2" s="1" t="str">
        <f t="shared" ref="D2:D65" si="1">MID(B2, FIND("(", B2) + 1, FIND(")", B2) - FIND("(", B2) - 1)</f>
        <v>BUF</v>
      </c>
      <c r="E2" s="1">
        <v>309</v>
      </c>
      <c r="F2" s="1">
        <v>1621</v>
      </c>
      <c r="G2" s="1">
        <v>5.2</v>
      </c>
      <c r="H2" s="1">
        <v>12</v>
      </c>
      <c r="I2">
        <v>3</v>
      </c>
      <c r="J2">
        <v>17</v>
      </c>
      <c r="K2" cm="1">
        <f t="array" ref="K2">IFERROR(_xlfn.XLOOKUP(D2&amp;A2, RBWR!A:A&amp;RBWR!C:C, RBWR!B:B), "N/A")</f>
        <v>75</v>
      </c>
      <c r="L2" cm="1">
        <f t="array" ref="L2">IFERROR(_xlfn.XLOOKUP(C2&amp;A2, RYOE!A:A&amp;RYOE!F:F, RYOE!C:C), "N/A")</f>
        <v>358</v>
      </c>
      <c r="M2" cm="1">
        <f t="array" ref="M2">IFERROR(_xlfn.XLOOKUP(C2&amp;A2, RYOE!A:A&amp;RYOE!F:F, RYOE!D:D), "N/A")</f>
        <v>1.17</v>
      </c>
      <c r="N2" cm="1">
        <f t="array" ref="N2">IFERROR(_xlfn.XLOOKUP(C2&amp;A2, RYOE!A:A&amp;RYOE!F:F, RYOE!E:E), "N/A")</f>
        <v>46.9</v>
      </c>
    </row>
    <row r="3" spans="1:14" ht="15" customHeight="1" x14ac:dyDescent="0.45">
      <c r="A3" s="8">
        <v>2025</v>
      </c>
      <c r="B3" s="6" t="s">
        <v>34</v>
      </c>
      <c r="C3" s="2" t="str">
        <f t="shared" si="0"/>
        <v>Derrick Henry</v>
      </c>
      <c r="D3" s="2" t="str">
        <f t="shared" si="1"/>
        <v>BAL</v>
      </c>
      <c r="E3" s="2">
        <v>307</v>
      </c>
      <c r="F3" s="2">
        <v>1595</v>
      </c>
      <c r="G3" s="2">
        <v>5.2</v>
      </c>
      <c r="H3" s="2">
        <v>16</v>
      </c>
      <c r="I3">
        <v>3</v>
      </c>
      <c r="J3">
        <v>17</v>
      </c>
      <c r="K3" cm="1">
        <f t="array" ref="K3">IFERROR(_xlfn.XLOOKUP(D3&amp;A3, RBWR!A:A&amp;RBWR!C:C, RBWR!B:B), "N/A")</f>
        <v>71</v>
      </c>
      <c r="L3" cm="1">
        <f t="array" ref="L3">IFERROR(_xlfn.XLOOKUP(C3&amp;A3, RYOE!A:A&amp;RYOE!F:F, RYOE!C:C), "N/A")</f>
        <v>338</v>
      </c>
      <c r="M3" cm="1">
        <f t="array" ref="M3">IFERROR(_xlfn.XLOOKUP(C3&amp;A3, RYOE!A:A&amp;RYOE!F:F, RYOE!D:D), "N/A")</f>
        <v>1.1100000000000001</v>
      </c>
      <c r="N3" cm="1">
        <f t="array" ref="N3">IFERROR(_xlfn.XLOOKUP(C3&amp;A3, RYOE!A:A&amp;RYOE!F:F, RYOE!E:E), "N/A")</f>
        <v>42.1</v>
      </c>
    </row>
    <row r="4" spans="1:14" ht="15" customHeight="1" x14ac:dyDescent="0.45">
      <c r="A4" s="7">
        <v>2025</v>
      </c>
      <c r="B4" s="5" t="s">
        <v>35</v>
      </c>
      <c r="C4" s="1" t="str">
        <f t="shared" si="0"/>
        <v>Jonathan Taylor</v>
      </c>
      <c r="D4" s="1" t="str">
        <f t="shared" si="1"/>
        <v>IND</v>
      </c>
      <c r="E4" s="1">
        <v>323</v>
      </c>
      <c r="F4" s="1">
        <v>1585</v>
      </c>
      <c r="G4" s="1">
        <v>4.9000000000000004</v>
      </c>
      <c r="H4" s="1">
        <v>18</v>
      </c>
      <c r="I4">
        <v>1</v>
      </c>
      <c r="J4">
        <v>17</v>
      </c>
      <c r="K4" cm="1">
        <f t="array" ref="K4">IFERROR(_xlfn.XLOOKUP(D4&amp;A4, RBWR!A:A&amp;RBWR!C:C, RBWR!B:B), "N/A")</f>
        <v>73</v>
      </c>
      <c r="L4" cm="1">
        <f t="array" ref="L4">IFERROR(_xlfn.XLOOKUP(C4&amp;A4, RYOE!A:A&amp;RYOE!F:F, RYOE!C:C), "N/A")</f>
        <v>195</v>
      </c>
      <c r="M4" cm="1">
        <f t="array" ref="M4">IFERROR(_xlfn.XLOOKUP(C4&amp;A4, RYOE!A:A&amp;RYOE!F:F, RYOE!D:D), "N/A")</f>
        <v>0.61</v>
      </c>
      <c r="N4" cm="1">
        <f t="array" ref="N4">IFERROR(_xlfn.XLOOKUP(C4&amp;A4, RYOE!A:A&amp;RYOE!F:F, RYOE!E:E), "N/A")</f>
        <v>37.4</v>
      </c>
    </row>
    <row r="5" spans="1:14" ht="15" customHeight="1" x14ac:dyDescent="0.45">
      <c r="A5" s="8">
        <v>2025</v>
      </c>
      <c r="B5" s="6" t="s">
        <v>36</v>
      </c>
      <c r="C5" s="2" t="str">
        <f t="shared" si="0"/>
        <v>Bijan Robinson</v>
      </c>
      <c r="D5" s="2" t="str">
        <f t="shared" si="1"/>
        <v>ATL</v>
      </c>
      <c r="E5" s="2">
        <v>287</v>
      </c>
      <c r="F5" s="2">
        <v>1478</v>
      </c>
      <c r="G5" s="2">
        <v>5.0999999999999996</v>
      </c>
      <c r="H5" s="2">
        <v>7</v>
      </c>
      <c r="I5">
        <v>3</v>
      </c>
      <c r="J5">
        <v>17</v>
      </c>
      <c r="K5" cm="1">
        <f t="array" ref="K5">IFERROR(_xlfn.XLOOKUP(D5&amp;A5, RBWR!A:A&amp;RBWR!C:C, RBWR!B:B), "N/A")</f>
        <v>70</v>
      </c>
      <c r="L5" cm="1">
        <f t="array" ref="L5">IFERROR(_xlfn.XLOOKUP(C5&amp;A5, RYOE!A:A&amp;RYOE!F:F, RYOE!C:C), "N/A")</f>
        <v>257</v>
      </c>
      <c r="M5" cm="1">
        <f t="array" ref="M5">IFERROR(_xlfn.XLOOKUP(C5&amp;A5, RYOE!A:A&amp;RYOE!F:F, RYOE!D:D), "N/A")</f>
        <v>0.91</v>
      </c>
      <c r="N5" cm="1">
        <f t="array" ref="N5">IFERROR(_xlfn.XLOOKUP(C5&amp;A5, RYOE!A:A&amp;RYOE!F:F, RYOE!E:E), "N/A")</f>
        <v>44.2</v>
      </c>
    </row>
    <row r="6" spans="1:14" ht="15" customHeight="1" x14ac:dyDescent="0.45">
      <c r="A6" s="7">
        <v>2025</v>
      </c>
      <c r="B6" s="5" t="s">
        <v>37</v>
      </c>
      <c r="C6" s="1" t="str">
        <f t="shared" si="0"/>
        <v>De'Von Achane</v>
      </c>
      <c r="D6" s="1" t="str">
        <f t="shared" si="1"/>
        <v>MIA</v>
      </c>
      <c r="E6" s="1">
        <v>238</v>
      </c>
      <c r="F6" s="1">
        <v>1350</v>
      </c>
      <c r="G6" s="1">
        <v>5.7</v>
      </c>
      <c r="H6" s="1">
        <v>8</v>
      </c>
      <c r="I6">
        <v>0</v>
      </c>
      <c r="J6">
        <v>16</v>
      </c>
      <c r="K6" cm="1">
        <f t="array" ref="K6">IFERROR(_xlfn.XLOOKUP(D6&amp;A6, RBWR!A:A&amp;RBWR!C:C, RBWR!B:B), "N/A")</f>
        <v>70</v>
      </c>
      <c r="L6" cm="1">
        <f t="array" ref="L6">IFERROR(_xlfn.XLOOKUP(C6&amp;A6, RYOE!A:A&amp;RYOE!F:F, RYOE!C:C), "N/A")</f>
        <v>242</v>
      </c>
      <c r="M6" cm="1">
        <f t="array" ref="M6">IFERROR(_xlfn.XLOOKUP(C6&amp;A6, RYOE!A:A&amp;RYOE!F:F, RYOE!D:D), "N/A")</f>
        <v>1.03</v>
      </c>
      <c r="N6" cm="1">
        <f t="array" ref="N6">IFERROR(_xlfn.XLOOKUP(C6&amp;A6, RYOE!A:A&amp;RYOE!F:F, RYOE!E:E), "N/A")</f>
        <v>37.9</v>
      </c>
    </row>
    <row r="7" spans="1:14" ht="15" customHeight="1" x14ac:dyDescent="0.45">
      <c r="A7" s="8">
        <v>2025</v>
      </c>
      <c r="B7" s="6" t="s">
        <v>38</v>
      </c>
      <c r="C7" s="2" t="str">
        <f t="shared" si="0"/>
        <v>Kyren Williams</v>
      </c>
      <c r="D7" s="2" t="str">
        <f t="shared" si="1"/>
        <v>LAR</v>
      </c>
      <c r="E7" s="2">
        <v>259</v>
      </c>
      <c r="F7" s="2">
        <v>1252</v>
      </c>
      <c r="G7" s="2">
        <v>4.8</v>
      </c>
      <c r="H7" s="2">
        <v>10</v>
      </c>
      <c r="I7">
        <v>2</v>
      </c>
      <c r="J7">
        <v>17</v>
      </c>
      <c r="K7" cm="1">
        <f t="array" ref="K7">IFERROR(_xlfn.XLOOKUP(D7&amp;A7, RBWR!A:A&amp;RBWR!C:C, RBWR!B:B), "N/A")</f>
        <v>74</v>
      </c>
      <c r="L7" cm="1">
        <f t="array" ref="L7">IFERROR(_xlfn.XLOOKUP(C7&amp;A7, RYOE!A:A&amp;RYOE!F:F, RYOE!C:C), "N/A")</f>
        <v>145</v>
      </c>
      <c r="M7" cm="1">
        <f t="array" ref="M7">IFERROR(_xlfn.XLOOKUP(C7&amp;A7, RYOE!A:A&amp;RYOE!F:F, RYOE!D:D), "N/A")</f>
        <v>0.56999999999999995</v>
      </c>
      <c r="N7" cm="1">
        <f t="array" ref="N7">IFERROR(_xlfn.XLOOKUP(C7&amp;A7, RYOE!A:A&amp;RYOE!F:F, RYOE!E:E), "N/A")</f>
        <v>45.5</v>
      </c>
    </row>
    <row r="8" spans="1:14" ht="15" customHeight="1" x14ac:dyDescent="0.45">
      <c r="A8" s="7">
        <v>2025</v>
      </c>
      <c r="B8" s="5" t="s">
        <v>39</v>
      </c>
      <c r="C8" s="1" t="str">
        <f t="shared" si="0"/>
        <v>Jahmyr Gibbs</v>
      </c>
      <c r="D8" s="1" t="str">
        <f t="shared" si="1"/>
        <v>DET</v>
      </c>
      <c r="E8" s="1">
        <v>243</v>
      </c>
      <c r="F8" s="1">
        <v>1223</v>
      </c>
      <c r="G8" s="1">
        <v>5</v>
      </c>
      <c r="H8" s="1">
        <v>13</v>
      </c>
      <c r="I8">
        <v>1</v>
      </c>
      <c r="J8">
        <v>17</v>
      </c>
      <c r="K8" cm="1">
        <f t="array" ref="K8">IFERROR(_xlfn.XLOOKUP(D8&amp;A8, RBWR!A:A&amp;RBWR!C:C, RBWR!B:B), "N/A")</f>
        <v>71</v>
      </c>
      <c r="L8" cm="1">
        <f t="array" ref="L8">IFERROR(_xlfn.XLOOKUP(C8&amp;A8, RYOE!A:A&amp;RYOE!F:F, RYOE!C:C), "N/A")</f>
        <v>167</v>
      </c>
      <c r="M8" cm="1">
        <f t="array" ref="M8">IFERROR(_xlfn.XLOOKUP(C8&amp;A8, RYOE!A:A&amp;RYOE!F:F, RYOE!D:D), "N/A")</f>
        <v>0.7</v>
      </c>
      <c r="N8" cm="1">
        <f t="array" ref="N8">IFERROR(_xlfn.XLOOKUP(C8&amp;A8, RYOE!A:A&amp;RYOE!F:F, RYOE!E:E), "N/A")</f>
        <v>36.299999999999997</v>
      </c>
    </row>
    <row r="9" spans="1:14" ht="15" customHeight="1" x14ac:dyDescent="0.45">
      <c r="A9" s="8">
        <v>2025</v>
      </c>
      <c r="B9" s="6" t="s">
        <v>40</v>
      </c>
      <c r="C9" s="2" t="str">
        <f t="shared" si="0"/>
        <v>Christian McCaffrey</v>
      </c>
      <c r="D9" s="2" t="str">
        <f t="shared" si="1"/>
        <v>SF</v>
      </c>
      <c r="E9" s="2">
        <v>311</v>
      </c>
      <c r="F9" s="2">
        <v>1202</v>
      </c>
      <c r="G9" s="2">
        <v>3.9</v>
      </c>
      <c r="H9" s="2">
        <v>10</v>
      </c>
      <c r="I9">
        <v>0</v>
      </c>
      <c r="J9">
        <v>17</v>
      </c>
      <c r="K9" cm="1">
        <f t="array" ref="K9">IFERROR(_xlfn.XLOOKUP(D9&amp;A9, RBWR!A:A&amp;RBWR!C:C, RBWR!B:B), "N/A")</f>
        <v>72</v>
      </c>
      <c r="L9" cm="1">
        <f t="array" ref="L9">IFERROR(_xlfn.XLOOKUP(C9&amp;A9, RYOE!A:A&amp;RYOE!F:F, RYOE!C:C), "N/A")</f>
        <v>-166</v>
      </c>
      <c r="M9" cm="1">
        <f t="array" ref="M9">IFERROR(_xlfn.XLOOKUP(C9&amp;A9, RYOE!A:A&amp;RYOE!F:F, RYOE!D:D), "N/A")</f>
        <v>-0.54</v>
      </c>
      <c r="N9" cm="1">
        <f t="array" ref="N9">IFERROR(_xlfn.XLOOKUP(C9&amp;A9, RYOE!A:A&amp;RYOE!F:F, RYOE!E:E), "N/A")</f>
        <v>34.4</v>
      </c>
    </row>
    <row r="10" spans="1:14" ht="15" customHeight="1" x14ac:dyDescent="0.45">
      <c r="A10" s="7">
        <v>2025</v>
      </c>
      <c r="B10" s="5" t="s">
        <v>41</v>
      </c>
      <c r="C10" s="1" t="str">
        <f t="shared" si="0"/>
        <v>Javonte Williams</v>
      </c>
      <c r="D10" s="1" t="str">
        <f t="shared" si="1"/>
        <v>DAL</v>
      </c>
      <c r="E10" s="1">
        <v>252</v>
      </c>
      <c r="F10" s="1">
        <v>1201</v>
      </c>
      <c r="G10" s="1">
        <v>4.8</v>
      </c>
      <c r="H10" s="1">
        <v>11</v>
      </c>
      <c r="I10">
        <v>2</v>
      </c>
      <c r="J10">
        <v>16</v>
      </c>
      <c r="K10" cm="1">
        <f t="array" ref="K10">IFERROR(_xlfn.XLOOKUP(D10&amp;A10, RBWR!A:A&amp;RBWR!C:C, RBWR!B:B), "N/A")</f>
        <v>72</v>
      </c>
      <c r="L10" cm="1">
        <f t="array" ref="L10">IFERROR(_xlfn.XLOOKUP(C10&amp;A10, RYOE!A:A&amp;RYOE!F:F, RYOE!C:C), "N/A")</f>
        <v>156</v>
      </c>
      <c r="M10" cm="1">
        <f t="array" ref="M10">IFERROR(_xlfn.XLOOKUP(C10&amp;A10, RYOE!A:A&amp;RYOE!F:F, RYOE!D:D), "N/A")</f>
        <v>0.62</v>
      </c>
      <c r="N10" cm="1">
        <f t="array" ref="N10">IFERROR(_xlfn.XLOOKUP(C10&amp;A10, RYOE!A:A&amp;RYOE!F:F, RYOE!E:E), "N/A")</f>
        <v>45</v>
      </c>
    </row>
    <row r="11" spans="1:14" ht="15" customHeight="1" x14ac:dyDescent="0.45">
      <c r="A11" s="8">
        <v>2025</v>
      </c>
      <c r="B11" s="6" t="s">
        <v>42</v>
      </c>
      <c r="C11" s="2" t="str">
        <f t="shared" si="0"/>
        <v>Saquon Barkley</v>
      </c>
      <c r="D11" s="2" t="str">
        <f t="shared" si="1"/>
        <v>PHI</v>
      </c>
      <c r="E11" s="2">
        <v>280</v>
      </c>
      <c r="F11" s="2">
        <v>1140</v>
      </c>
      <c r="G11" s="2">
        <v>4.0999999999999996</v>
      </c>
      <c r="H11" s="2">
        <v>7</v>
      </c>
      <c r="I11">
        <v>1</v>
      </c>
      <c r="J11">
        <v>16</v>
      </c>
      <c r="K11" cm="1">
        <f t="array" ref="K11">IFERROR(_xlfn.XLOOKUP(D11&amp;A11, RBWR!A:A&amp;RBWR!C:C, RBWR!B:B), "N/A")</f>
        <v>71</v>
      </c>
      <c r="L11" cm="1">
        <f t="array" ref="L11">IFERROR(_xlfn.XLOOKUP(C11&amp;A11, RYOE!A:A&amp;RYOE!F:F, RYOE!C:C), "N/A")</f>
        <v>76</v>
      </c>
      <c r="M11" cm="1">
        <f t="array" ref="M11">IFERROR(_xlfn.XLOOKUP(C11&amp;A11, RYOE!A:A&amp;RYOE!F:F, RYOE!D:D), "N/A")</f>
        <v>0.28000000000000003</v>
      </c>
      <c r="N11" cm="1">
        <f t="array" ref="N11">IFERROR(_xlfn.XLOOKUP(C11&amp;A11, RYOE!A:A&amp;RYOE!F:F, RYOE!E:E), "N/A")</f>
        <v>38.200000000000003</v>
      </c>
    </row>
    <row r="12" spans="1:14" ht="15" customHeight="1" x14ac:dyDescent="0.45">
      <c r="A12" s="7">
        <v>2025</v>
      </c>
      <c r="B12" s="5" t="s">
        <v>43</v>
      </c>
      <c r="C12" s="1" t="str">
        <f t="shared" si="0"/>
        <v>Travis Etienne Jr.</v>
      </c>
      <c r="D12" s="1" t="str">
        <f t="shared" si="1"/>
        <v>JAC</v>
      </c>
      <c r="E12" s="1">
        <v>260</v>
      </c>
      <c r="F12" s="1">
        <v>1107</v>
      </c>
      <c r="G12" s="1">
        <v>4.3</v>
      </c>
      <c r="H12" s="1">
        <v>7</v>
      </c>
      <c r="I12">
        <v>0</v>
      </c>
      <c r="J12">
        <v>17</v>
      </c>
      <c r="K12" cm="1">
        <f t="array" ref="K12">IFERROR(_xlfn.XLOOKUP(D12&amp;A12, RBWR!A:A&amp;RBWR!C:C, RBWR!B:B), "N/A")</f>
        <v>73</v>
      </c>
      <c r="L12" cm="1">
        <f t="array" ref="L12">IFERROR(_xlfn.XLOOKUP(C12&amp;A12, RYOE!A:A&amp;RYOE!F:F, RYOE!C:C), "N/A")</f>
        <v>44</v>
      </c>
      <c r="M12" cm="1">
        <f t="array" ref="M12">IFERROR(_xlfn.XLOOKUP(C12&amp;A12, RYOE!A:A&amp;RYOE!F:F, RYOE!D:D), "N/A")</f>
        <v>0.17</v>
      </c>
      <c r="N12" cm="1">
        <f t="array" ref="N12">IFERROR(_xlfn.XLOOKUP(C12&amp;A12, RYOE!A:A&amp;RYOE!F:F, RYOE!E:E), "N/A")</f>
        <v>37.799999999999997</v>
      </c>
    </row>
    <row r="13" spans="1:14" ht="15" customHeight="1" x14ac:dyDescent="0.45">
      <c r="A13" s="8">
        <v>2025</v>
      </c>
      <c r="B13" s="6" t="s">
        <v>44</v>
      </c>
      <c r="C13" s="2" t="str">
        <f t="shared" si="0"/>
        <v>D'Andre Swift</v>
      </c>
      <c r="D13" s="2" t="str">
        <f t="shared" si="1"/>
        <v>CHI</v>
      </c>
      <c r="E13" s="2">
        <v>223</v>
      </c>
      <c r="F13" s="2">
        <v>1087</v>
      </c>
      <c r="G13" s="2">
        <v>4.9000000000000004</v>
      </c>
      <c r="H13" s="2">
        <v>9</v>
      </c>
      <c r="I13">
        <v>2</v>
      </c>
      <c r="J13">
        <v>16</v>
      </c>
      <c r="K13" cm="1">
        <f t="array" ref="K13">IFERROR(_xlfn.XLOOKUP(D13&amp;A13, RBWR!A:A&amp;RBWR!C:C, RBWR!B:B), "N/A")</f>
        <v>74</v>
      </c>
      <c r="L13" cm="1">
        <f t="array" ref="L13">IFERROR(_xlfn.XLOOKUP(C13&amp;A13, RYOE!A:A&amp;RYOE!F:F, RYOE!C:C), "N/A")</f>
        <v>128</v>
      </c>
      <c r="M13" cm="1">
        <f t="array" ref="M13">IFERROR(_xlfn.XLOOKUP(C13&amp;A13, RYOE!A:A&amp;RYOE!F:F, RYOE!D:D), "N/A")</f>
        <v>0.57999999999999996</v>
      </c>
      <c r="N13" cm="1">
        <f t="array" ref="N13">IFERROR(_xlfn.XLOOKUP(C13&amp;A13, RYOE!A:A&amp;RYOE!F:F, RYOE!E:E), "N/A")</f>
        <v>48.6</v>
      </c>
    </row>
    <row r="14" spans="1:14" ht="15" customHeight="1" x14ac:dyDescent="0.45">
      <c r="A14" s="7">
        <v>2025</v>
      </c>
      <c r="B14" s="5" t="s">
        <v>45</v>
      </c>
      <c r="C14" s="1" t="str">
        <f t="shared" si="0"/>
        <v>Tony Pollard</v>
      </c>
      <c r="D14" s="1" t="str">
        <f t="shared" si="1"/>
        <v>TEN</v>
      </c>
      <c r="E14" s="1">
        <v>242</v>
      </c>
      <c r="F14" s="1">
        <v>1082</v>
      </c>
      <c r="G14" s="1">
        <v>4.5</v>
      </c>
      <c r="H14" s="1">
        <v>5</v>
      </c>
      <c r="I14">
        <v>3</v>
      </c>
      <c r="J14">
        <v>17</v>
      </c>
      <c r="K14" cm="1">
        <f t="array" ref="K14">IFERROR(_xlfn.XLOOKUP(D14&amp;A14, RBWR!A:A&amp;RBWR!C:C, RBWR!B:B), "N/A")</f>
        <v>70</v>
      </c>
      <c r="L14" cm="1">
        <f t="array" ref="L14">IFERROR(_xlfn.XLOOKUP(C14&amp;A14, RYOE!A:A&amp;RYOE!F:F, RYOE!C:C), "N/A")</f>
        <v>113</v>
      </c>
      <c r="M14" cm="1">
        <f t="array" ref="M14">IFERROR(_xlfn.XLOOKUP(C14&amp;A14, RYOE!A:A&amp;RYOE!F:F, RYOE!D:D), "N/A")</f>
        <v>0.47</v>
      </c>
      <c r="N14" cm="1">
        <f t="array" ref="N14">IFERROR(_xlfn.XLOOKUP(C14&amp;A14, RYOE!A:A&amp;RYOE!F:F, RYOE!E:E), "N/A")</f>
        <v>40.200000000000003</v>
      </c>
    </row>
    <row r="15" spans="1:14" ht="15" customHeight="1" x14ac:dyDescent="0.45">
      <c r="A15" s="8">
        <v>2025</v>
      </c>
      <c r="B15" s="6" t="s">
        <v>46</v>
      </c>
      <c r="C15" s="2" t="str">
        <f t="shared" si="0"/>
        <v>Rico Dowdle</v>
      </c>
      <c r="D15" s="2" t="str">
        <f t="shared" si="1"/>
        <v>CAR</v>
      </c>
      <c r="E15" s="2">
        <v>236</v>
      </c>
      <c r="F15" s="2">
        <v>1076</v>
      </c>
      <c r="G15" s="2">
        <v>4.5999999999999996</v>
      </c>
      <c r="H15" s="2">
        <v>6</v>
      </c>
      <c r="I15">
        <v>1</v>
      </c>
      <c r="J15">
        <v>17</v>
      </c>
      <c r="K15" cm="1">
        <f t="array" ref="K15">IFERROR(_xlfn.XLOOKUP(D15&amp;A15, RBWR!A:A&amp;RBWR!C:C, RBWR!B:B), "N/A")</f>
        <v>70</v>
      </c>
      <c r="L15" cm="1">
        <f t="array" ref="L15">IFERROR(_xlfn.XLOOKUP(C15&amp;A15, RYOE!A:A&amp;RYOE!F:F, RYOE!C:C), "N/A")</f>
        <v>146</v>
      </c>
      <c r="M15" cm="1">
        <f t="array" ref="M15">IFERROR(_xlfn.XLOOKUP(C15&amp;A15, RYOE!A:A&amp;RYOE!F:F, RYOE!D:D), "N/A")</f>
        <v>0.63</v>
      </c>
      <c r="N15" cm="1">
        <f t="array" ref="N15">IFERROR(_xlfn.XLOOKUP(C15&amp;A15, RYOE!A:A&amp;RYOE!F:F, RYOE!E:E), "N/A")</f>
        <v>43.5</v>
      </c>
    </row>
    <row r="16" spans="1:14" ht="15" customHeight="1" x14ac:dyDescent="0.45">
      <c r="A16" s="7">
        <v>2025</v>
      </c>
      <c r="B16" s="5" t="s">
        <v>47</v>
      </c>
      <c r="C16" s="1" t="str">
        <f t="shared" si="0"/>
        <v>Breece Hall</v>
      </c>
      <c r="D16" s="1" t="str">
        <f t="shared" si="1"/>
        <v>NYJ</v>
      </c>
      <c r="E16" s="1">
        <v>243</v>
      </c>
      <c r="F16" s="1">
        <v>1065</v>
      </c>
      <c r="G16" s="1">
        <v>4.4000000000000004</v>
      </c>
      <c r="H16" s="1">
        <v>4</v>
      </c>
      <c r="I16">
        <v>2</v>
      </c>
      <c r="J16">
        <v>16</v>
      </c>
      <c r="K16" cm="1">
        <f t="array" ref="K16">IFERROR(_xlfn.XLOOKUP(D16&amp;A16, RBWR!A:A&amp;RBWR!C:C, RBWR!B:B), "N/A")</f>
        <v>71</v>
      </c>
      <c r="L16" cm="1">
        <f t="array" ref="L16">IFERROR(_xlfn.XLOOKUP(C16&amp;A16, RYOE!A:A&amp;RYOE!F:F, RYOE!C:C), "N/A")</f>
        <v>142</v>
      </c>
      <c r="M16" cm="1">
        <f t="array" ref="M16">IFERROR(_xlfn.XLOOKUP(C16&amp;A16, RYOE!A:A&amp;RYOE!F:F, RYOE!D:D), "N/A")</f>
        <v>0.59</v>
      </c>
      <c r="N16" cm="1">
        <f t="array" ref="N16">IFERROR(_xlfn.XLOOKUP(C16&amp;A16, RYOE!A:A&amp;RYOE!F:F, RYOE!E:E), "N/A")</f>
        <v>42.1</v>
      </c>
    </row>
    <row r="17" spans="1:14" ht="15" customHeight="1" x14ac:dyDescent="0.45">
      <c r="A17" s="8">
        <v>2025</v>
      </c>
      <c r="B17" s="6" t="s">
        <v>48</v>
      </c>
      <c r="C17" s="2" t="str">
        <f t="shared" si="0"/>
        <v>Kenneth Walker III</v>
      </c>
      <c r="D17" s="2" t="str">
        <f t="shared" si="1"/>
        <v>SEA</v>
      </c>
      <c r="E17" s="2">
        <v>221</v>
      </c>
      <c r="F17" s="2">
        <v>1027</v>
      </c>
      <c r="G17" s="2">
        <v>4.5999999999999996</v>
      </c>
      <c r="H17" s="2">
        <v>5</v>
      </c>
      <c r="I17">
        <v>0</v>
      </c>
      <c r="J17">
        <v>17</v>
      </c>
      <c r="K17" cm="1">
        <f t="array" ref="K17">IFERROR(_xlfn.XLOOKUP(D17&amp;A17, RBWR!A:A&amp;RBWR!C:C, RBWR!B:B), "N/A")</f>
        <v>73</v>
      </c>
      <c r="L17" cm="1">
        <f t="array" ref="L17">IFERROR(_xlfn.XLOOKUP(C17&amp;A17, RYOE!A:A&amp;RYOE!F:F, RYOE!C:C), "N/A")</f>
        <v>39</v>
      </c>
      <c r="M17" cm="1">
        <f t="array" ref="M17">IFERROR(_xlfn.XLOOKUP(C17&amp;A17, RYOE!A:A&amp;RYOE!F:F, RYOE!D:D), "N/A")</f>
        <v>0.18</v>
      </c>
      <c r="N17" cm="1">
        <f t="array" ref="N17">IFERROR(_xlfn.XLOOKUP(C17&amp;A17, RYOE!A:A&amp;RYOE!F:F, RYOE!E:E), "N/A")</f>
        <v>37.4</v>
      </c>
    </row>
    <row r="18" spans="1:14" ht="15" customHeight="1" x14ac:dyDescent="0.45">
      <c r="A18" s="7">
        <v>2025</v>
      </c>
      <c r="B18" s="5" t="s">
        <v>49</v>
      </c>
      <c r="C18" s="1" t="str">
        <f t="shared" si="0"/>
        <v>Chase Brown</v>
      </c>
      <c r="D18" s="1" t="str">
        <f t="shared" si="1"/>
        <v>CIN</v>
      </c>
      <c r="E18" s="1">
        <v>232</v>
      </c>
      <c r="F18" s="1">
        <v>1019</v>
      </c>
      <c r="G18" s="1">
        <v>4.4000000000000004</v>
      </c>
      <c r="H18" s="1">
        <v>6</v>
      </c>
      <c r="I18">
        <v>0</v>
      </c>
      <c r="J18">
        <v>17</v>
      </c>
      <c r="K18" cm="1">
        <f t="array" ref="K18">IFERROR(_xlfn.XLOOKUP(D18&amp;A18, RBWR!A:A&amp;RBWR!C:C, RBWR!B:B), "N/A")</f>
        <v>72</v>
      </c>
      <c r="L18" cm="1">
        <f t="array" ref="L18">IFERROR(_xlfn.XLOOKUP(C18&amp;A18, RYOE!A:A&amp;RYOE!F:F, RYOE!C:C), "N/A")</f>
        <v>78</v>
      </c>
      <c r="M18" cm="1">
        <f t="array" ref="M18">IFERROR(_xlfn.XLOOKUP(C18&amp;A18, RYOE!A:A&amp;RYOE!F:F, RYOE!D:D), "N/A")</f>
        <v>0.34</v>
      </c>
      <c r="N18" cm="1">
        <f t="array" ref="N18">IFERROR(_xlfn.XLOOKUP(C18&amp;A18, RYOE!A:A&amp;RYOE!F:F, RYOE!E:E), "N/A")</f>
        <v>45.3</v>
      </c>
    </row>
    <row r="19" spans="1:14" ht="15" customHeight="1" x14ac:dyDescent="0.45">
      <c r="A19" s="8">
        <v>2025</v>
      </c>
      <c r="B19" s="6" t="s">
        <v>50</v>
      </c>
      <c r="C19" s="2" t="str">
        <f t="shared" si="0"/>
        <v>Ashton Jeanty</v>
      </c>
      <c r="D19" s="2" t="str">
        <f t="shared" si="1"/>
        <v>LV</v>
      </c>
      <c r="E19" s="2">
        <v>266</v>
      </c>
      <c r="F19" s="2">
        <v>975</v>
      </c>
      <c r="G19" s="2">
        <v>3.7</v>
      </c>
      <c r="H19" s="2">
        <v>5</v>
      </c>
      <c r="I19">
        <v>1</v>
      </c>
      <c r="J19">
        <v>17</v>
      </c>
      <c r="K19" cm="1">
        <f t="array" ref="K19">IFERROR(_xlfn.XLOOKUP(D19&amp;A19, RBWR!A:A&amp;RBWR!C:C, RBWR!B:B), "N/A")</f>
        <v>70</v>
      </c>
      <c r="L19" cm="1">
        <f t="array" ref="L19">IFERROR(_xlfn.XLOOKUP(C19&amp;A19, RYOE!A:A&amp;RYOE!F:F, RYOE!C:C), "N/A")</f>
        <v>-51</v>
      </c>
      <c r="M19" cm="1">
        <f t="array" ref="M19">IFERROR(_xlfn.XLOOKUP(C19&amp;A19, RYOE!A:A&amp;RYOE!F:F, RYOE!D:D), "N/A")</f>
        <v>-0.19</v>
      </c>
      <c r="N19" cm="1">
        <f t="array" ref="N19">IFERROR(_xlfn.XLOOKUP(C19&amp;A19, RYOE!A:A&amp;RYOE!F:F, RYOE!E:E), "N/A")</f>
        <v>34.9</v>
      </c>
    </row>
    <row r="20" spans="1:14" ht="15" customHeight="1" x14ac:dyDescent="0.45">
      <c r="A20" s="7">
        <v>2025</v>
      </c>
      <c r="B20" s="5" t="s">
        <v>51</v>
      </c>
      <c r="C20" s="1" t="str">
        <f t="shared" si="0"/>
        <v>Jaylen Warren</v>
      </c>
      <c r="D20" s="1" t="str">
        <f t="shared" si="1"/>
        <v>PIT</v>
      </c>
      <c r="E20" s="1">
        <v>211</v>
      </c>
      <c r="F20" s="1">
        <v>958</v>
      </c>
      <c r="G20" s="1">
        <v>4.5</v>
      </c>
      <c r="H20" s="1">
        <v>6</v>
      </c>
      <c r="I20">
        <v>0</v>
      </c>
      <c r="J20">
        <v>16</v>
      </c>
      <c r="K20" cm="1">
        <f t="array" ref="K20">IFERROR(_xlfn.XLOOKUP(D20&amp;A20, RBWR!A:A&amp;RBWR!C:C, RBWR!B:B), "N/A")</f>
        <v>72</v>
      </c>
      <c r="L20" cm="1">
        <f t="array" ref="L20">IFERROR(_xlfn.XLOOKUP(C20&amp;A20, RYOE!A:A&amp;RYOE!F:F, RYOE!C:C), "N/A")</f>
        <v>181</v>
      </c>
      <c r="M20" cm="1">
        <f t="array" ref="M20">IFERROR(_xlfn.XLOOKUP(C20&amp;A20, RYOE!A:A&amp;RYOE!F:F, RYOE!D:D), "N/A")</f>
        <v>0.86</v>
      </c>
      <c r="N20" cm="1">
        <f t="array" ref="N20">IFERROR(_xlfn.XLOOKUP(C20&amp;A20, RYOE!A:A&amp;RYOE!F:F, RYOE!E:E), "N/A")</f>
        <v>44.5</v>
      </c>
    </row>
    <row r="21" spans="1:14" ht="15" customHeight="1" x14ac:dyDescent="0.45">
      <c r="A21" s="8">
        <v>2025</v>
      </c>
      <c r="B21" s="6" t="s">
        <v>52</v>
      </c>
      <c r="C21" s="2" t="str">
        <f t="shared" si="0"/>
        <v>Josh Jacobs</v>
      </c>
      <c r="D21" s="2" t="str">
        <f t="shared" si="1"/>
        <v>GB</v>
      </c>
      <c r="E21" s="2">
        <v>234</v>
      </c>
      <c r="F21" s="2">
        <v>929</v>
      </c>
      <c r="G21" s="2">
        <v>4</v>
      </c>
      <c r="H21" s="2">
        <v>13</v>
      </c>
      <c r="I21">
        <v>2</v>
      </c>
      <c r="J21">
        <v>15</v>
      </c>
      <c r="K21" cm="1">
        <f t="array" ref="K21">IFERROR(_xlfn.XLOOKUP(D21&amp;A21, RBWR!A:A&amp;RBWR!C:C, RBWR!B:B), "N/A")</f>
        <v>71</v>
      </c>
      <c r="L21" cm="1">
        <f t="array" ref="L21">IFERROR(_xlfn.XLOOKUP(C21&amp;A21, RYOE!A:A&amp;RYOE!F:F, RYOE!C:C), "N/A")</f>
        <v>-7</v>
      </c>
      <c r="M21" cm="1">
        <f t="array" ref="M21">IFERROR(_xlfn.XLOOKUP(C21&amp;A21, RYOE!A:A&amp;RYOE!F:F, RYOE!D:D), "N/A")</f>
        <v>-0.03</v>
      </c>
      <c r="N21" cm="1">
        <f t="array" ref="N21">IFERROR(_xlfn.XLOOKUP(C21&amp;A21, RYOE!A:A&amp;RYOE!F:F, RYOE!E:E), "N/A")</f>
        <v>40.299999999999997</v>
      </c>
    </row>
    <row r="22" spans="1:14" ht="15" customHeight="1" x14ac:dyDescent="0.45">
      <c r="A22" s="7">
        <v>2025</v>
      </c>
      <c r="B22" s="5" t="s">
        <v>53</v>
      </c>
      <c r="C22" s="1" t="str">
        <f t="shared" si="0"/>
        <v>TreVeyon Henderson</v>
      </c>
      <c r="D22" s="1" t="str">
        <f t="shared" si="1"/>
        <v>NE</v>
      </c>
      <c r="E22" s="1">
        <v>180</v>
      </c>
      <c r="F22" s="1">
        <v>911</v>
      </c>
      <c r="G22" s="1">
        <v>5.0999999999999996</v>
      </c>
      <c r="H22" s="1">
        <v>9</v>
      </c>
      <c r="I22">
        <v>1</v>
      </c>
      <c r="J22">
        <v>17</v>
      </c>
      <c r="K22" cm="1">
        <f t="array" ref="K22">IFERROR(_xlfn.XLOOKUP(D22&amp;A22, RBWR!A:A&amp;RBWR!C:C, RBWR!B:B), "N/A")</f>
        <v>72</v>
      </c>
      <c r="L22" cm="1">
        <f t="array" ref="L22">IFERROR(_xlfn.XLOOKUP(C22&amp;A22, RYOE!A:A&amp;RYOE!F:F, RYOE!C:C), "N/A")</f>
        <v>149</v>
      </c>
      <c r="M22" cm="1">
        <f t="array" ref="M22">IFERROR(_xlfn.XLOOKUP(C22&amp;A22, RYOE!A:A&amp;RYOE!F:F, RYOE!D:D), "N/A")</f>
        <v>0.85</v>
      </c>
      <c r="N22" cm="1">
        <f t="array" ref="N22">IFERROR(_xlfn.XLOOKUP(C22&amp;A22, RYOE!A:A&amp;RYOE!F:F, RYOE!E:E), "N/A")</f>
        <v>39.799999999999997</v>
      </c>
    </row>
    <row r="23" spans="1:14" ht="15" customHeight="1" x14ac:dyDescent="0.45">
      <c r="A23" s="8">
        <v>2025</v>
      </c>
      <c r="B23" s="6" t="s">
        <v>54</v>
      </c>
      <c r="C23" s="2" t="str">
        <f t="shared" si="0"/>
        <v>Quinshon Judkins</v>
      </c>
      <c r="D23" s="2" t="str">
        <f t="shared" si="1"/>
        <v>CLE</v>
      </c>
      <c r="E23" s="2">
        <v>230</v>
      </c>
      <c r="F23" s="2">
        <v>827</v>
      </c>
      <c r="G23" s="2">
        <v>3.6</v>
      </c>
      <c r="H23" s="2">
        <v>7</v>
      </c>
      <c r="I23">
        <v>0</v>
      </c>
      <c r="J23">
        <v>14</v>
      </c>
      <c r="K23" cm="1">
        <f t="array" ref="K23">IFERROR(_xlfn.XLOOKUP(D23&amp;A23, RBWR!A:A&amp;RBWR!C:C, RBWR!B:B), "N/A")</f>
        <v>70</v>
      </c>
      <c r="L23" cm="1">
        <f t="array" ref="L23">IFERROR(_xlfn.XLOOKUP(C23&amp;A23, RYOE!A:A&amp;RYOE!F:F, RYOE!C:C), "N/A")</f>
        <v>69</v>
      </c>
      <c r="M23" cm="1">
        <f t="array" ref="M23">IFERROR(_xlfn.XLOOKUP(C23&amp;A23, RYOE!A:A&amp;RYOE!F:F, RYOE!D:D), "N/A")</f>
        <v>0.3</v>
      </c>
      <c r="N23" cm="1">
        <f t="array" ref="N23">IFERROR(_xlfn.XLOOKUP(C23&amp;A23, RYOE!A:A&amp;RYOE!F:F, RYOE!E:E), "N/A")</f>
        <v>38.5</v>
      </c>
    </row>
    <row r="24" spans="1:14" ht="15" customHeight="1" x14ac:dyDescent="0.45">
      <c r="A24" s="7">
        <v>2025</v>
      </c>
      <c r="B24" s="5" t="s">
        <v>55</v>
      </c>
      <c r="C24" s="1" t="str">
        <f t="shared" si="0"/>
        <v>Jacory Croskey-Merritt</v>
      </c>
      <c r="D24" s="1" t="str">
        <f t="shared" si="1"/>
        <v>WAS</v>
      </c>
      <c r="E24" s="1">
        <v>175</v>
      </c>
      <c r="F24" s="1">
        <v>805</v>
      </c>
      <c r="G24" s="1">
        <v>4.5999999999999996</v>
      </c>
      <c r="H24" s="1">
        <v>8</v>
      </c>
      <c r="I24">
        <v>2</v>
      </c>
      <c r="J24">
        <v>17</v>
      </c>
      <c r="K24" cm="1">
        <f t="array" ref="K24">IFERROR(_xlfn.XLOOKUP(D24&amp;A24, RBWR!A:A&amp;RBWR!C:C, RBWR!B:B), "N/A")</f>
        <v>70</v>
      </c>
      <c r="L24" cm="1">
        <f t="array" ref="L24">IFERROR(_xlfn.XLOOKUP(C24&amp;A24, RYOE!A:A&amp;RYOE!F:F, RYOE!C:C), "N/A")</f>
        <v>138</v>
      </c>
      <c r="M24" cm="1">
        <f t="array" ref="M24">IFERROR(_xlfn.XLOOKUP(C24&amp;A24, RYOE!A:A&amp;RYOE!F:F, RYOE!D:D), "N/A")</f>
        <v>0.79</v>
      </c>
      <c r="N24" cm="1">
        <f t="array" ref="N24">IFERROR(_xlfn.XLOOKUP(C24&amp;A24, RYOE!A:A&amp;RYOE!F:F, RYOE!E:E), "N/A")</f>
        <v>38.299999999999997</v>
      </c>
    </row>
    <row r="25" spans="1:14" ht="15" customHeight="1" x14ac:dyDescent="0.45">
      <c r="A25" s="8">
        <v>2025</v>
      </c>
      <c r="B25" s="6" t="s">
        <v>56</v>
      </c>
      <c r="C25" s="2" t="str">
        <f t="shared" si="0"/>
        <v>Kyle Monangai</v>
      </c>
      <c r="D25" s="2" t="str">
        <f t="shared" si="1"/>
        <v>CHI</v>
      </c>
      <c r="E25" s="2">
        <v>169</v>
      </c>
      <c r="F25" s="2">
        <v>783</v>
      </c>
      <c r="G25" s="2">
        <v>4.5999999999999996</v>
      </c>
      <c r="H25" s="2">
        <v>5</v>
      </c>
      <c r="I25">
        <v>0</v>
      </c>
      <c r="J25">
        <v>17</v>
      </c>
      <c r="K25" cm="1">
        <f t="array" ref="K25">IFERROR(_xlfn.XLOOKUP(D25&amp;A25, RBWR!A:A&amp;RBWR!C:C, RBWR!B:B), "N/A")</f>
        <v>74</v>
      </c>
      <c r="L25" cm="1">
        <f t="array" ref="L25">IFERROR(_xlfn.XLOOKUP(C25&amp;A25, RYOE!A:A&amp;RYOE!F:F, RYOE!C:C), "N/A")</f>
        <v>47</v>
      </c>
      <c r="M25" cm="1">
        <f t="array" ref="M25">IFERROR(_xlfn.XLOOKUP(C25&amp;A25, RYOE!A:A&amp;RYOE!F:F, RYOE!D:D), "N/A")</f>
        <v>0.28999999999999998</v>
      </c>
      <c r="N25" cm="1">
        <f t="array" ref="N25">IFERROR(_xlfn.XLOOKUP(C25&amp;A25, RYOE!A:A&amp;RYOE!F:F, RYOE!E:E), "N/A")</f>
        <v>40.9</v>
      </c>
    </row>
    <row r="26" spans="1:14" ht="15" customHeight="1" x14ac:dyDescent="0.45">
      <c r="A26" s="7">
        <v>2025</v>
      </c>
      <c r="B26" s="5" t="s">
        <v>57</v>
      </c>
      <c r="C26" s="1" t="str">
        <f t="shared" si="0"/>
        <v>J.K. Dobbins</v>
      </c>
      <c r="D26" s="1" t="str">
        <f t="shared" si="1"/>
        <v>DEN</v>
      </c>
      <c r="E26" s="1">
        <v>153</v>
      </c>
      <c r="F26" s="1">
        <v>772</v>
      </c>
      <c r="G26" s="1">
        <v>5</v>
      </c>
      <c r="H26" s="1">
        <v>4</v>
      </c>
      <c r="I26">
        <v>0</v>
      </c>
      <c r="J26">
        <v>10</v>
      </c>
      <c r="K26" cm="1">
        <f t="array" ref="K26">IFERROR(_xlfn.XLOOKUP(D26&amp;A26, RBWR!A:A&amp;RBWR!C:C, RBWR!B:B), "N/A")</f>
        <v>74</v>
      </c>
      <c r="L26" cm="1">
        <f t="array" ref="L26">IFERROR(_xlfn.XLOOKUP(C26&amp;A26, RYOE!A:A&amp;RYOE!F:F, RYOE!C:C), "N/A")</f>
        <v>161</v>
      </c>
      <c r="M26" cm="1">
        <f t="array" ref="M26">IFERROR(_xlfn.XLOOKUP(C26&amp;A26, RYOE!A:A&amp;RYOE!F:F, RYOE!D:D), "N/A")</f>
        <v>1.08</v>
      </c>
      <c r="N26" cm="1">
        <f t="array" ref="N26">IFERROR(_xlfn.XLOOKUP(C26&amp;A26, RYOE!A:A&amp;RYOE!F:F, RYOE!E:E), "N/A")</f>
        <v>45</v>
      </c>
    </row>
    <row r="27" spans="1:14" ht="15" customHeight="1" x14ac:dyDescent="0.45">
      <c r="A27" s="8">
        <v>2025</v>
      </c>
      <c r="B27" s="6" t="s">
        <v>58</v>
      </c>
      <c r="C27" s="2" t="str">
        <f t="shared" si="0"/>
        <v>Jordan Mason</v>
      </c>
      <c r="D27" s="2" t="str">
        <f t="shared" si="1"/>
        <v>MIN</v>
      </c>
      <c r="E27" s="2">
        <v>159</v>
      </c>
      <c r="F27" s="2">
        <v>758</v>
      </c>
      <c r="G27" s="2">
        <v>4.8</v>
      </c>
      <c r="H27" s="2">
        <v>6</v>
      </c>
      <c r="I27">
        <v>1</v>
      </c>
      <c r="J27">
        <v>16</v>
      </c>
      <c r="K27" cm="1">
        <f t="array" ref="K27">IFERROR(_xlfn.XLOOKUP(D27&amp;A27, RBWR!A:A&amp;RBWR!C:C, RBWR!B:B), "N/A")</f>
        <v>74</v>
      </c>
      <c r="L27" cm="1">
        <f t="array" ref="L27">IFERROR(_xlfn.XLOOKUP(C27&amp;A27, RYOE!A:A&amp;RYOE!F:F, RYOE!C:C), "N/A")</f>
        <v>158</v>
      </c>
      <c r="M27" cm="1">
        <f t="array" ref="M27">IFERROR(_xlfn.XLOOKUP(C27&amp;A27, RYOE!A:A&amp;RYOE!F:F, RYOE!D:D), "N/A")</f>
        <v>1.02</v>
      </c>
      <c r="N27" cm="1">
        <f t="array" ref="N27">IFERROR(_xlfn.XLOOKUP(C27&amp;A27, RYOE!A:A&amp;RYOE!F:F, RYOE!E:E), "N/A")</f>
        <v>43.9</v>
      </c>
    </row>
    <row r="28" spans="1:14" ht="15" customHeight="1" x14ac:dyDescent="0.45">
      <c r="A28" s="7">
        <v>2025</v>
      </c>
      <c r="B28" s="5" t="s">
        <v>59</v>
      </c>
      <c r="C28" s="1" t="str">
        <f t="shared" si="0"/>
        <v>Blake Corum</v>
      </c>
      <c r="D28" s="1" t="str">
        <f t="shared" si="1"/>
        <v>LAR</v>
      </c>
      <c r="E28" s="1">
        <v>145</v>
      </c>
      <c r="F28" s="1">
        <v>746</v>
      </c>
      <c r="G28" s="1">
        <v>5.0999999999999996</v>
      </c>
      <c r="H28" s="1">
        <v>6</v>
      </c>
      <c r="I28">
        <v>0</v>
      </c>
      <c r="J28">
        <v>17</v>
      </c>
      <c r="K28" cm="1">
        <f t="array" ref="K28">IFERROR(_xlfn.XLOOKUP(D28&amp;A28, RBWR!A:A&amp;RBWR!C:C, RBWR!B:B), "N/A")</f>
        <v>74</v>
      </c>
      <c r="L28" cm="1">
        <f t="array" ref="L28">IFERROR(_xlfn.XLOOKUP(C28&amp;A28, RYOE!A:A&amp;RYOE!F:F, RYOE!C:C), "N/A")</f>
        <v>123</v>
      </c>
      <c r="M28" cm="1">
        <f t="array" ref="M28">IFERROR(_xlfn.XLOOKUP(C28&amp;A28, RYOE!A:A&amp;RYOE!F:F, RYOE!D:D), "N/A")</f>
        <v>0.85</v>
      </c>
      <c r="N28" cm="1">
        <f t="array" ref="N28">IFERROR(_xlfn.XLOOKUP(C28&amp;A28, RYOE!A:A&amp;RYOE!F:F, RYOE!E:E), "N/A")</f>
        <v>43.8</v>
      </c>
    </row>
    <row r="29" spans="1:14" ht="15" customHeight="1" x14ac:dyDescent="0.45">
      <c r="A29" s="8">
        <v>2025</v>
      </c>
      <c r="B29" s="6" t="s">
        <v>60</v>
      </c>
      <c r="C29" s="2" t="str">
        <f t="shared" si="0"/>
        <v>Tyrone Tracy Jr.</v>
      </c>
      <c r="D29" s="2" t="str">
        <f t="shared" si="1"/>
        <v>NYG</v>
      </c>
      <c r="E29" s="2">
        <v>176</v>
      </c>
      <c r="F29" s="2">
        <v>740</v>
      </c>
      <c r="G29" s="2">
        <v>4.2</v>
      </c>
      <c r="H29" s="2">
        <v>2</v>
      </c>
      <c r="I29">
        <v>1</v>
      </c>
      <c r="J29">
        <v>15</v>
      </c>
      <c r="K29" cm="1">
        <f t="array" ref="K29">IFERROR(_xlfn.XLOOKUP(D29&amp;A29, RBWR!A:A&amp;RBWR!C:C, RBWR!B:B), "N/A")</f>
        <v>71</v>
      </c>
      <c r="L29" cm="1">
        <f t="array" ref="L29">IFERROR(_xlfn.XLOOKUP(C29&amp;A29, RYOE!A:A&amp;RYOE!F:F, RYOE!C:C), "N/A")</f>
        <v>15</v>
      </c>
      <c r="M29" cm="1">
        <f t="array" ref="M29">IFERROR(_xlfn.XLOOKUP(C29&amp;A29, RYOE!A:A&amp;RYOE!F:F, RYOE!D:D), "N/A")</f>
        <v>0.09</v>
      </c>
      <c r="N29" cm="1">
        <f t="array" ref="N29">IFERROR(_xlfn.XLOOKUP(C29&amp;A29, RYOE!A:A&amp;RYOE!F:F, RYOE!E:E), "N/A")</f>
        <v>38.799999999999997</v>
      </c>
    </row>
    <row r="30" spans="1:14" ht="15" customHeight="1" x14ac:dyDescent="0.45">
      <c r="A30" s="7">
        <v>2025</v>
      </c>
      <c r="B30" s="5" t="s">
        <v>61</v>
      </c>
      <c r="C30" s="1" t="str">
        <f t="shared" si="0"/>
        <v>Zach Charbonnet</v>
      </c>
      <c r="D30" s="1" t="str">
        <f t="shared" si="1"/>
        <v>SEA</v>
      </c>
      <c r="E30" s="1">
        <v>184</v>
      </c>
      <c r="F30" s="1">
        <v>730</v>
      </c>
      <c r="G30" s="1">
        <v>4</v>
      </c>
      <c r="H30" s="1">
        <v>12</v>
      </c>
      <c r="I30">
        <v>0</v>
      </c>
      <c r="J30">
        <v>16</v>
      </c>
      <c r="K30" cm="1">
        <f t="array" ref="K30">IFERROR(_xlfn.XLOOKUP(D30&amp;A30, RBWR!A:A&amp;RBWR!C:C, RBWR!B:B), "N/A")</f>
        <v>73</v>
      </c>
      <c r="L30" cm="1">
        <f t="array" ref="L30">IFERROR(_xlfn.XLOOKUP(C30&amp;A30, RYOE!A:A&amp;RYOE!F:F, RYOE!C:C), "N/A")</f>
        <v>59</v>
      </c>
      <c r="M30" cm="1">
        <f t="array" ref="M30">IFERROR(_xlfn.XLOOKUP(C30&amp;A30, RYOE!A:A&amp;RYOE!F:F, RYOE!D:D), "N/A")</f>
        <v>0.33</v>
      </c>
      <c r="N30" cm="1">
        <f t="array" ref="N30">IFERROR(_xlfn.XLOOKUP(C30&amp;A30, RYOE!A:A&amp;RYOE!F:F, RYOE!E:E), "N/A")</f>
        <v>41.3</v>
      </c>
    </row>
    <row r="31" spans="1:14" ht="15" customHeight="1" x14ac:dyDescent="0.45">
      <c r="A31" s="8">
        <v>2025</v>
      </c>
      <c r="B31" s="6" t="s">
        <v>62</v>
      </c>
      <c r="C31" s="2" t="str">
        <f t="shared" si="0"/>
        <v>David Montgomery</v>
      </c>
      <c r="D31" s="2" t="str">
        <f t="shared" si="1"/>
        <v>DET</v>
      </c>
      <c r="E31" s="2">
        <v>158</v>
      </c>
      <c r="F31" s="2">
        <v>716</v>
      </c>
      <c r="G31" s="2">
        <v>4.5</v>
      </c>
      <c r="H31" s="2">
        <v>8</v>
      </c>
      <c r="I31">
        <v>1</v>
      </c>
      <c r="J31">
        <v>17</v>
      </c>
      <c r="K31" cm="1">
        <f t="array" ref="K31">IFERROR(_xlfn.XLOOKUP(D31&amp;A31, RBWR!A:A&amp;RBWR!C:C, RBWR!B:B), "N/A")</f>
        <v>71</v>
      </c>
      <c r="L31" cm="1">
        <f t="array" ref="L31">IFERROR(_xlfn.XLOOKUP(C31&amp;A31, RYOE!A:A&amp;RYOE!F:F, RYOE!C:C), "N/A")</f>
        <v>125</v>
      </c>
      <c r="M31" cm="1">
        <f t="array" ref="M31">IFERROR(_xlfn.XLOOKUP(C31&amp;A31, RYOE!A:A&amp;RYOE!F:F, RYOE!D:D), "N/A")</f>
        <v>0.8</v>
      </c>
      <c r="N31" cm="1">
        <f t="array" ref="N31">IFERROR(_xlfn.XLOOKUP(C31&amp;A31, RYOE!A:A&amp;RYOE!F:F, RYOE!E:E), "N/A")</f>
        <v>37.6</v>
      </c>
    </row>
    <row r="32" spans="1:14" ht="15" customHeight="1" x14ac:dyDescent="0.45">
      <c r="A32" s="7">
        <v>2025</v>
      </c>
      <c r="B32" s="5" t="s">
        <v>63</v>
      </c>
      <c r="C32" s="1" t="str">
        <f t="shared" si="0"/>
        <v>Woody Marks</v>
      </c>
      <c r="D32" s="1" t="str">
        <f t="shared" si="1"/>
        <v>HOU</v>
      </c>
      <c r="E32" s="1">
        <v>196</v>
      </c>
      <c r="F32" s="1">
        <v>703</v>
      </c>
      <c r="G32" s="1">
        <v>3.6</v>
      </c>
      <c r="H32" s="1">
        <v>2</v>
      </c>
      <c r="I32">
        <v>0</v>
      </c>
      <c r="J32">
        <v>16</v>
      </c>
      <c r="K32" cm="1">
        <f t="array" ref="K32">IFERROR(_xlfn.XLOOKUP(D32&amp;A32, RBWR!A:A&amp;RBWR!C:C, RBWR!B:B), "N/A")</f>
        <v>68</v>
      </c>
      <c r="L32" cm="1">
        <f t="array" ref="L32">IFERROR(_xlfn.XLOOKUP(C32&amp;A32, RYOE!A:A&amp;RYOE!F:F, RYOE!C:C), "N/A")</f>
        <v>31</v>
      </c>
      <c r="M32" cm="1">
        <f t="array" ref="M32">IFERROR(_xlfn.XLOOKUP(C32&amp;A32, RYOE!A:A&amp;RYOE!F:F, RYOE!D:D), "N/A")</f>
        <v>0.16</v>
      </c>
      <c r="N32" cm="1">
        <f t="array" ref="N32">IFERROR(_xlfn.XLOOKUP(C32&amp;A32, RYOE!A:A&amp;RYOE!F:F, RYOE!E:E), "N/A")</f>
        <v>40.1</v>
      </c>
    </row>
    <row r="33" spans="1:14" ht="15" customHeight="1" x14ac:dyDescent="0.45">
      <c r="A33" s="8">
        <v>2025</v>
      </c>
      <c r="B33" s="6" t="s">
        <v>64</v>
      </c>
      <c r="C33" s="2" t="str">
        <f t="shared" si="0"/>
        <v>Kimani Vidal</v>
      </c>
      <c r="D33" s="2" t="str">
        <f t="shared" si="1"/>
        <v>LAC</v>
      </c>
      <c r="E33" s="2">
        <v>155</v>
      </c>
      <c r="F33" s="2">
        <v>643</v>
      </c>
      <c r="G33" s="2">
        <v>4.0999999999999996</v>
      </c>
      <c r="H33" s="2">
        <v>3</v>
      </c>
      <c r="I33">
        <v>0</v>
      </c>
      <c r="J33">
        <v>13</v>
      </c>
      <c r="K33" cm="1">
        <f t="array" ref="K33">IFERROR(_xlfn.XLOOKUP(D33&amp;A33, RBWR!A:A&amp;RBWR!C:C, RBWR!B:B), "N/A")</f>
        <v>69</v>
      </c>
      <c r="L33" cm="1">
        <f t="array" ref="L33">IFERROR(_xlfn.XLOOKUP(C33&amp;A33, RYOE!A:A&amp;RYOE!F:F, RYOE!C:C), "N/A")</f>
        <v>75</v>
      </c>
      <c r="M33" cm="1">
        <f t="array" ref="M33">IFERROR(_xlfn.XLOOKUP(C33&amp;A33, RYOE!A:A&amp;RYOE!F:F, RYOE!D:D), "N/A")</f>
        <v>0.5</v>
      </c>
      <c r="N33" cm="1">
        <f t="array" ref="N33">IFERROR(_xlfn.XLOOKUP(C33&amp;A33, RYOE!A:A&amp;RYOE!F:F, RYOE!E:E), "N/A")</f>
        <v>36</v>
      </c>
    </row>
    <row r="34" spans="1:14" ht="15" customHeight="1" x14ac:dyDescent="0.45">
      <c r="A34" s="7">
        <v>2025</v>
      </c>
      <c r="B34" s="5" t="s">
        <v>65</v>
      </c>
      <c r="C34" s="1" t="str">
        <f t="shared" si="0"/>
        <v>Kareem Hunt</v>
      </c>
      <c r="D34" s="1" t="str">
        <f t="shared" si="1"/>
        <v>KC</v>
      </c>
      <c r="E34" s="1">
        <v>163</v>
      </c>
      <c r="F34" s="1">
        <v>611</v>
      </c>
      <c r="G34" s="1">
        <v>3.7</v>
      </c>
      <c r="H34" s="1">
        <v>8</v>
      </c>
      <c r="I34">
        <v>1</v>
      </c>
      <c r="J34">
        <v>17</v>
      </c>
      <c r="K34" cm="1">
        <f t="array" ref="K34">IFERROR(_xlfn.XLOOKUP(D34&amp;A34, RBWR!A:A&amp;RBWR!C:C, RBWR!B:B), "N/A")</f>
        <v>70</v>
      </c>
      <c r="L34" cm="1">
        <f t="array" ref="L34">IFERROR(_xlfn.XLOOKUP(C34&amp;A34, RYOE!A:A&amp;RYOE!F:F, RYOE!C:C), "N/A")</f>
        <v>18</v>
      </c>
      <c r="M34" cm="1">
        <f t="array" ref="M34">IFERROR(_xlfn.XLOOKUP(C34&amp;A34, RYOE!A:A&amp;RYOE!F:F, RYOE!D:D), "N/A")</f>
        <v>0.11</v>
      </c>
      <c r="N34" cm="1">
        <f t="array" ref="N34">IFERROR(_xlfn.XLOOKUP(C34&amp;A34, RYOE!A:A&amp;RYOE!F:F, RYOE!E:E), "N/A")</f>
        <v>44.7</v>
      </c>
    </row>
    <row r="35" spans="1:14" ht="15" customHeight="1" x14ac:dyDescent="0.45">
      <c r="A35" s="8">
        <v>2025</v>
      </c>
      <c r="B35" s="6" t="s">
        <v>66</v>
      </c>
      <c r="C35" s="2" t="str">
        <f t="shared" si="0"/>
        <v>Rhamondre Stevenson</v>
      </c>
      <c r="D35" s="2" t="str">
        <f t="shared" si="1"/>
        <v>NE</v>
      </c>
      <c r="E35" s="2">
        <v>130</v>
      </c>
      <c r="F35" s="2">
        <v>603</v>
      </c>
      <c r="G35" s="2">
        <v>4.5999999999999996</v>
      </c>
      <c r="H35" s="2">
        <v>7</v>
      </c>
      <c r="I35">
        <v>3</v>
      </c>
      <c r="J35">
        <v>14</v>
      </c>
      <c r="K35" cm="1">
        <f t="array" ref="K35">IFERROR(_xlfn.XLOOKUP(D35&amp;A35, RBWR!A:A&amp;RBWR!C:C, RBWR!B:B), "N/A")</f>
        <v>72</v>
      </c>
      <c r="L35" cm="1">
        <f t="array" ref="L35">IFERROR(_xlfn.XLOOKUP(C35&amp;A35, RYOE!A:A&amp;RYOE!F:F, RYOE!C:C), "N/A")</f>
        <v>176</v>
      </c>
      <c r="M35" cm="1">
        <f t="array" ref="M35">IFERROR(_xlfn.XLOOKUP(C35&amp;A35, RYOE!A:A&amp;RYOE!F:F, RYOE!D:D), "N/A")</f>
        <v>1.36</v>
      </c>
      <c r="N35" cm="1">
        <f t="array" ref="N35">IFERROR(_xlfn.XLOOKUP(C35&amp;A35, RYOE!A:A&amp;RYOE!F:F, RYOE!E:E), "N/A")</f>
        <v>45</v>
      </c>
    </row>
    <row r="36" spans="1:14" ht="15" customHeight="1" x14ac:dyDescent="0.45">
      <c r="A36" s="7">
        <v>2025</v>
      </c>
      <c r="B36" s="5" t="s">
        <v>67</v>
      </c>
      <c r="C36" s="1" t="str">
        <f t="shared" si="0"/>
        <v>Bucky Irving</v>
      </c>
      <c r="D36" s="1" t="str">
        <f t="shared" si="1"/>
        <v>TB</v>
      </c>
      <c r="E36" s="1">
        <v>173</v>
      </c>
      <c r="F36" s="1">
        <v>588</v>
      </c>
      <c r="G36" s="1">
        <v>3.4</v>
      </c>
      <c r="H36" s="1">
        <v>1</v>
      </c>
      <c r="I36">
        <v>1</v>
      </c>
      <c r="J36">
        <v>10</v>
      </c>
      <c r="K36" cm="1">
        <f t="array" ref="K36">IFERROR(_xlfn.XLOOKUP(D36&amp;A36, RBWR!A:A&amp;RBWR!C:C, RBWR!B:B), "N/A")</f>
        <v>70</v>
      </c>
      <c r="L36" cm="1">
        <f t="array" ref="L36">IFERROR(_xlfn.XLOOKUP(C36&amp;A36, RYOE!A:A&amp;RYOE!F:F, RYOE!C:C), "N/A")</f>
        <v>-126</v>
      </c>
      <c r="M36" cm="1">
        <f t="array" ref="M36">IFERROR(_xlfn.XLOOKUP(C36&amp;A36, RYOE!A:A&amp;RYOE!F:F, RYOE!D:D), "N/A")</f>
        <v>-0.74</v>
      </c>
      <c r="N36" cm="1">
        <f t="array" ref="N36">IFERROR(_xlfn.XLOOKUP(C36&amp;A36, RYOE!A:A&amp;RYOE!F:F, RYOE!E:E), "N/A")</f>
        <v>37.1</v>
      </c>
    </row>
    <row r="37" spans="1:14" ht="15" customHeight="1" x14ac:dyDescent="0.45">
      <c r="A37" s="8">
        <v>2025</v>
      </c>
      <c r="B37" s="6" t="s">
        <v>68</v>
      </c>
      <c r="C37" s="2" t="str">
        <f t="shared" si="0"/>
        <v>Rachaad White</v>
      </c>
      <c r="D37" s="2" t="str">
        <f t="shared" si="1"/>
        <v>TB</v>
      </c>
      <c r="E37" s="2">
        <v>132</v>
      </c>
      <c r="F37" s="2">
        <v>572</v>
      </c>
      <c r="G37" s="2">
        <v>4.3</v>
      </c>
      <c r="H37" s="2">
        <v>4</v>
      </c>
      <c r="I37">
        <v>0</v>
      </c>
      <c r="J37">
        <v>17</v>
      </c>
      <c r="K37" cm="1">
        <f t="array" ref="K37">IFERROR(_xlfn.XLOOKUP(D37&amp;A37, RBWR!A:A&amp;RBWR!C:C, RBWR!B:B), "N/A")</f>
        <v>70</v>
      </c>
      <c r="L37" cm="1">
        <f t="array" ref="L37">IFERROR(_xlfn.XLOOKUP(C37&amp;A37, RYOE!A:A&amp;RYOE!F:F, RYOE!C:C), "N/A")</f>
        <v>-28</v>
      </c>
      <c r="M37" cm="1">
        <f t="array" ref="M37">IFERROR(_xlfn.XLOOKUP(C37&amp;A37, RYOE!A:A&amp;RYOE!F:F, RYOE!D:D), "N/A")</f>
        <v>-0.22</v>
      </c>
      <c r="N37" cm="1">
        <f t="array" ref="N37">IFERROR(_xlfn.XLOOKUP(C37&amp;A37, RYOE!A:A&amp;RYOE!F:F, RYOE!E:E), "N/A")</f>
        <v>35.4</v>
      </c>
    </row>
    <row r="38" spans="1:14" ht="15" customHeight="1" x14ac:dyDescent="0.45">
      <c r="A38" s="7">
        <v>2025</v>
      </c>
      <c r="B38" s="5" t="s">
        <v>69</v>
      </c>
      <c r="C38" s="1" t="str">
        <f t="shared" si="0"/>
        <v>Aaron Jones Sr.</v>
      </c>
      <c r="D38" s="1" t="str">
        <f t="shared" si="1"/>
        <v>MIN</v>
      </c>
      <c r="E38" s="1">
        <v>132</v>
      </c>
      <c r="F38" s="1">
        <v>548</v>
      </c>
      <c r="G38" s="1">
        <v>4.2</v>
      </c>
      <c r="H38" s="1">
        <v>2</v>
      </c>
      <c r="I38">
        <v>1</v>
      </c>
      <c r="J38">
        <v>12</v>
      </c>
      <c r="K38" cm="1">
        <f t="array" ref="K38">IFERROR(_xlfn.XLOOKUP(D38&amp;A38, RBWR!A:A&amp;RBWR!C:C, RBWR!B:B), "N/A")</f>
        <v>74</v>
      </c>
      <c r="L38" cm="1">
        <f t="array" ref="L38">IFERROR(_xlfn.XLOOKUP(C38&amp;A38, RYOE!A:A&amp;RYOE!F:F, RYOE!C:C), "N/A")</f>
        <v>-15</v>
      </c>
      <c r="M38" cm="1">
        <f t="array" ref="M38">IFERROR(_xlfn.XLOOKUP(C38&amp;A38, RYOE!A:A&amp;RYOE!F:F, RYOE!D:D), "N/A")</f>
        <v>-0.12</v>
      </c>
      <c r="N38" cm="1">
        <f t="array" ref="N38">IFERROR(_xlfn.XLOOKUP(C38&amp;A38, RYOE!A:A&amp;RYOE!F:F, RYOE!E:E), "N/A")</f>
        <v>35.700000000000003</v>
      </c>
    </row>
    <row r="39" spans="1:14" ht="15" customHeight="1" x14ac:dyDescent="0.45">
      <c r="A39" s="8">
        <v>2025</v>
      </c>
      <c r="B39" s="6" t="s">
        <v>70</v>
      </c>
      <c r="C39" s="2" t="str">
        <f t="shared" si="0"/>
        <v>Omarion Hampton</v>
      </c>
      <c r="D39" s="2" t="str">
        <f t="shared" si="1"/>
        <v>LAC</v>
      </c>
      <c r="E39" s="2">
        <v>124</v>
      </c>
      <c r="F39" s="2">
        <v>545</v>
      </c>
      <c r="G39" s="2">
        <v>4.4000000000000004</v>
      </c>
      <c r="H39" s="2">
        <v>4</v>
      </c>
      <c r="I39">
        <v>0</v>
      </c>
      <c r="J39">
        <v>9</v>
      </c>
      <c r="K39" cm="1">
        <f t="array" ref="K39">IFERROR(_xlfn.XLOOKUP(D39&amp;A39, RBWR!A:A&amp;RBWR!C:C, RBWR!B:B), "N/A")</f>
        <v>69</v>
      </c>
      <c r="L39" cm="1">
        <f t="array" ref="L39">IFERROR(_xlfn.XLOOKUP(C39&amp;A39, RYOE!A:A&amp;RYOE!F:F, RYOE!C:C), "N/A")</f>
        <v>82</v>
      </c>
      <c r="M39" cm="1">
        <f t="array" ref="M39">IFERROR(_xlfn.XLOOKUP(C39&amp;A39, RYOE!A:A&amp;RYOE!F:F, RYOE!D:D), "N/A")</f>
        <v>0.66</v>
      </c>
      <c r="N39" cm="1">
        <f t="array" ref="N39">IFERROR(_xlfn.XLOOKUP(C39&amp;A39, RYOE!A:A&amp;RYOE!F:F, RYOE!E:E), "N/A")</f>
        <v>45.2</v>
      </c>
    </row>
    <row r="40" spans="1:14" ht="15" customHeight="1" x14ac:dyDescent="0.45">
      <c r="A40" s="7">
        <v>2025</v>
      </c>
      <c r="B40" s="5" t="s">
        <v>71</v>
      </c>
      <c r="C40" s="1" t="str">
        <f t="shared" si="0"/>
        <v>RJ Harvey</v>
      </c>
      <c r="D40" s="1" t="str">
        <f t="shared" si="1"/>
        <v>DEN</v>
      </c>
      <c r="E40" s="1">
        <v>146</v>
      </c>
      <c r="F40" s="1">
        <v>540</v>
      </c>
      <c r="G40" s="1">
        <v>3.7</v>
      </c>
      <c r="H40" s="1">
        <v>7</v>
      </c>
      <c r="I40">
        <v>1</v>
      </c>
      <c r="J40">
        <v>17</v>
      </c>
      <c r="K40" cm="1">
        <f t="array" ref="K40">IFERROR(_xlfn.XLOOKUP(D40&amp;A40, RBWR!A:A&amp;RBWR!C:C, RBWR!B:B), "N/A")</f>
        <v>74</v>
      </c>
      <c r="L40" cm="1">
        <f t="array" ref="L40">IFERROR(_xlfn.XLOOKUP(C40&amp;A40, RYOE!A:A&amp;RYOE!F:F, RYOE!C:C), "N/A")</f>
        <v>-91</v>
      </c>
      <c r="M40" cm="1">
        <f t="array" ref="M40">IFERROR(_xlfn.XLOOKUP(C40&amp;A40, RYOE!A:A&amp;RYOE!F:F, RYOE!D:D), "N/A")</f>
        <v>-0.64</v>
      </c>
      <c r="N40" cm="1">
        <f t="array" ref="N40">IFERROR(_xlfn.XLOOKUP(C40&amp;A40, RYOE!A:A&amp;RYOE!F:F, RYOE!E:E), "N/A")</f>
        <v>31.2</v>
      </c>
    </row>
    <row r="41" spans="1:14" ht="15" customHeight="1" x14ac:dyDescent="0.45">
      <c r="A41" s="8">
        <v>2025</v>
      </c>
      <c r="B41" s="6" t="s">
        <v>72</v>
      </c>
      <c r="C41" s="2" t="str">
        <f t="shared" si="0"/>
        <v>Kenny Gainwell</v>
      </c>
      <c r="D41" s="2" t="str">
        <f t="shared" si="1"/>
        <v>PIT</v>
      </c>
      <c r="E41" s="2">
        <v>114</v>
      </c>
      <c r="F41" s="2">
        <v>537</v>
      </c>
      <c r="G41" s="2">
        <v>4.7</v>
      </c>
      <c r="H41" s="2">
        <v>5</v>
      </c>
      <c r="I41">
        <v>1</v>
      </c>
      <c r="J41">
        <v>17</v>
      </c>
      <c r="K41" cm="1">
        <f t="array" ref="K41">IFERROR(_xlfn.XLOOKUP(D41&amp;A41, RBWR!A:A&amp;RBWR!C:C, RBWR!B:B), "N/A")</f>
        <v>72</v>
      </c>
      <c r="L41" cm="1">
        <f t="array" ref="L41">IFERROR(_xlfn.XLOOKUP(C41&amp;A41, RYOE!A:A&amp;RYOE!F:F, RYOE!C:C), "N/A")</f>
        <v>63</v>
      </c>
      <c r="M41" cm="1">
        <f t="array" ref="M41">IFERROR(_xlfn.XLOOKUP(C41&amp;A41, RYOE!A:A&amp;RYOE!F:F, RYOE!D:D), "N/A")</f>
        <v>0.57999999999999996</v>
      </c>
      <c r="N41" cm="1">
        <f t="array" ref="N41">IFERROR(_xlfn.XLOOKUP(C41&amp;A41, RYOE!A:A&amp;RYOE!F:F, RYOE!E:E), "N/A")</f>
        <v>42.6</v>
      </c>
    </row>
    <row r="42" spans="1:14" ht="15" customHeight="1" x14ac:dyDescent="0.45">
      <c r="A42" s="7">
        <v>2025</v>
      </c>
      <c r="B42" s="5" t="s">
        <v>73</v>
      </c>
      <c r="C42" s="1" t="str">
        <f t="shared" si="0"/>
        <v>Tyler Allgeier</v>
      </c>
      <c r="D42" s="1" t="str">
        <f t="shared" si="1"/>
        <v>ATL</v>
      </c>
      <c r="E42" s="1">
        <v>143</v>
      </c>
      <c r="F42" s="1">
        <v>514</v>
      </c>
      <c r="G42" s="1">
        <v>3.6</v>
      </c>
      <c r="H42" s="1">
        <v>8</v>
      </c>
      <c r="I42">
        <v>0</v>
      </c>
      <c r="J42">
        <v>17</v>
      </c>
      <c r="K42" cm="1">
        <f t="array" ref="K42">IFERROR(_xlfn.XLOOKUP(D42&amp;A42, RBWR!A:A&amp;RBWR!C:C, RBWR!B:B), "N/A")</f>
        <v>70</v>
      </c>
      <c r="L42" cm="1">
        <f t="array" ref="L42">IFERROR(_xlfn.XLOOKUP(C42&amp;A42, RYOE!A:A&amp;RYOE!F:F, RYOE!C:C), "N/A")</f>
        <v>-25</v>
      </c>
      <c r="M42" cm="1">
        <f t="array" ref="M42">IFERROR(_xlfn.XLOOKUP(C42&amp;A42, RYOE!A:A&amp;RYOE!F:F, RYOE!D:D), "N/A")</f>
        <v>-0.18</v>
      </c>
      <c r="N42" cm="1">
        <f t="array" ref="N42">IFERROR(_xlfn.XLOOKUP(C42&amp;A42, RYOE!A:A&amp;RYOE!F:F, RYOE!E:E), "N/A")</f>
        <v>40.799999999999997</v>
      </c>
    </row>
    <row r="43" spans="1:14" ht="15" customHeight="1" x14ac:dyDescent="0.45">
      <c r="A43" s="8">
        <v>2025</v>
      </c>
      <c r="B43" s="6" t="s">
        <v>74</v>
      </c>
      <c r="C43" s="2" t="str">
        <f t="shared" si="0"/>
        <v>Chuba Hubbard</v>
      </c>
      <c r="D43" s="2" t="str">
        <f t="shared" si="1"/>
        <v>CAR</v>
      </c>
      <c r="E43" s="2">
        <v>134</v>
      </c>
      <c r="F43" s="2">
        <v>511</v>
      </c>
      <c r="G43" s="2">
        <v>3.8</v>
      </c>
      <c r="H43" s="2">
        <v>1</v>
      </c>
      <c r="I43">
        <v>1</v>
      </c>
      <c r="J43">
        <v>15</v>
      </c>
      <c r="K43" cm="1">
        <f t="array" ref="K43">IFERROR(_xlfn.XLOOKUP(D43&amp;A43, RBWR!A:A&amp;RBWR!C:C, RBWR!B:B), "N/A")</f>
        <v>70</v>
      </c>
      <c r="L43" cm="1">
        <f t="array" ref="L43">IFERROR(_xlfn.XLOOKUP(C43&amp;A43, RYOE!A:A&amp;RYOE!F:F, RYOE!C:C), "N/A")</f>
        <v>-39</v>
      </c>
      <c r="M43" cm="1">
        <f t="array" ref="M43">IFERROR(_xlfn.XLOOKUP(C43&amp;A43, RYOE!A:A&amp;RYOE!F:F, RYOE!D:D), "N/A")</f>
        <v>-0.3</v>
      </c>
      <c r="N43" cm="1">
        <f t="array" ref="N43">IFERROR(_xlfn.XLOOKUP(C43&amp;A43, RYOE!A:A&amp;RYOE!F:F, RYOE!E:E), "N/A")</f>
        <v>38.6</v>
      </c>
    </row>
    <row r="44" spans="1:14" ht="15" customHeight="1" x14ac:dyDescent="0.45">
      <c r="A44" s="7">
        <v>2025</v>
      </c>
      <c r="B44" s="5" t="s">
        <v>75</v>
      </c>
      <c r="C44" s="1" t="str">
        <f t="shared" si="0"/>
        <v>Nick Chubb</v>
      </c>
      <c r="D44" s="1" t="str">
        <f t="shared" si="1"/>
        <v>HOU</v>
      </c>
      <c r="E44" s="1">
        <v>122</v>
      </c>
      <c r="F44" s="1">
        <v>506</v>
      </c>
      <c r="G44" s="1">
        <v>4.0999999999999996</v>
      </c>
      <c r="H44" s="1">
        <v>3</v>
      </c>
      <c r="I44">
        <v>0</v>
      </c>
      <c r="J44">
        <v>15</v>
      </c>
      <c r="K44" cm="1">
        <f t="array" ref="K44">IFERROR(_xlfn.XLOOKUP(D44&amp;A44, RBWR!A:A&amp;RBWR!C:C, RBWR!B:B), "N/A")</f>
        <v>68</v>
      </c>
      <c r="L44" cm="1">
        <f t="array" ref="L44">IFERROR(_xlfn.XLOOKUP(C44&amp;A44, RYOE!A:A&amp;RYOE!F:F, RYOE!C:C), "N/A")</f>
        <v>64</v>
      </c>
      <c r="M44" cm="1">
        <f t="array" ref="M44">IFERROR(_xlfn.XLOOKUP(C44&amp;A44, RYOE!A:A&amp;RYOE!F:F, RYOE!D:D), "N/A")</f>
        <v>0.54</v>
      </c>
      <c r="N44" cm="1">
        <f t="array" ref="N44">IFERROR(_xlfn.XLOOKUP(C44&amp;A44, RYOE!A:A&amp;RYOE!F:F, RYOE!E:E), "N/A")</f>
        <v>39.200000000000003</v>
      </c>
    </row>
    <row r="45" spans="1:14" ht="15" customHeight="1" x14ac:dyDescent="0.45">
      <c r="A45" s="8">
        <v>2025</v>
      </c>
      <c r="B45" s="6" t="s">
        <v>76</v>
      </c>
      <c r="C45" s="2" t="str">
        <f t="shared" si="0"/>
        <v>Chris Rodriguez Jr.</v>
      </c>
      <c r="D45" s="2" t="str">
        <f t="shared" si="1"/>
        <v>WAS</v>
      </c>
      <c r="E45" s="2">
        <v>112</v>
      </c>
      <c r="F45" s="2">
        <v>500</v>
      </c>
      <c r="G45" s="2">
        <v>4.5</v>
      </c>
      <c r="H45" s="2">
        <v>6</v>
      </c>
      <c r="I45">
        <v>0</v>
      </c>
      <c r="J45">
        <v>13</v>
      </c>
      <c r="K45" cm="1">
        <f t="array" ref="K45">IFERROR(_xlfn.XLOOKUP(D45&amp;A45, RBWR!A:A&amp;RBWR!C:C, RBWR!B:B), "N/A")</f>
        <v>70</v>
      </c>
      <c r="L45" cm="1">
        <f t="array" ref="L45">IFERROR(_xlfn.XLOOKUP(C45&amp;A45, RYOE!A:A&amp;RYOE!F:F, RYOE!C:C), "N/A")</f>
        <v>78</v>
      </c>
      <c r="M45" cm="1">
        <f t="array" ref="M45">IFERROR(_xlfn.XLOOKUP(C45&amp;A45, RYOE!A:A&amp;RYOE!F:F, RYOE!D:D), "N/A")</f>
        <v>0.7</v>
      </c>
      <c r="N45" cm="1">
        <f t="array" ref="N45">IFERROR(_xlfn.XLOOKUP(C45&amp;A45, RYOE!A:A&amp;RYOE!F:F, RYOE!E:E), "N/A")</f>
        <v>45.5</v>
      </c>
    </row>
    <row r="46" spans="1:14" ht="15" customHeight="1" x14ac:dyDescent="0.45">
      <c r="A46" s="7">
        <v>2025</v>
      </c>
      <c r="B46" s="5" t="s">
        <v>77</v>
      </c>
      <c r="C46" s="1" t="str">
        <f t="shared" si="0"/>
        <v>Emanuel Wilson</v>
      </c>
      <c r="D46" s="1" t="str">
        <f t="shared" si="1"/>
        <v>GB</v>
      </c>
      <c r="E46" s="1">
        <v>125</v>
      </c>
      <c r="F46" s="1">
        <v>496</v>
      </c>
      <c r="G46" s="1">
        <v>4</v>
      </c>
      <c r="H46" s="1">
        <v>3</v>
      </c>
      <c r="I46">
        <v>0</v>
      </c>
      <c r="J46">
        <v>17</v>
      </c>
      <c r="K46" cm="1">
        <f t="array" ref="K46">IFERROR(_xlfn.XLOOKUP(D46&amp;A46, RBWR!A:A&amp;RBWR!C:C, RBWR!B:B), "N/A")</f>
        <v>71</v>
      </c>
      <c r="L46" cm="1">
        <f t="array" ref="L46">IFERROR(_xlfn.XLOOKUP(C46&amp;A46, RYOE!A:A&amp;RYOE!F:F, RYOE!C:C), "N/A")</f>
        <v>-27</v>
      </c>
      <c r="M46" cm="1">
        <f t="array" ref="M46">IFERROR(_xlfn.XLOOKUP(C46&amp;A46, RYOE!A:A&amp;RYOE!F:F, RYOE!D:D), "N/A")</f>
        <v>-0.21</v>
      </c>
      <c r="N46" cm="1">
        <f t="array" ref="N46">IFERROR(_xlfn.XLOOKUP(C46&amp;A46, RYOE!A:A&amp;RYOE!F:F, RYOE!E:E), "N/A")</f>
        <v>38.4</v>
      </c>
    </row>
    <row r="47" spans="1:14" ht="15" customHeight="1" x14ac:dyDescent="0.45">
      <c r="A47" s="8">
        <v>2025</v>
      </c>
      <c r="B47" s="6" t="s">
        <v>78</v>
      </c>
      <c r="C47" s="2" t="str">
        <f t="shared" si="0"/>
        <v>Alvin Kamara</v>
      </c>
      <c r="D47" s="2" t="str">
        <f t="shared" si="1"/>
        <v>NO</v>
      </c>
      <c r="E47" s="2">
        <v>131</v>
      </c>
      <c r="F47" s="2">
        <v>471</v>
      </c>
      <c r="G47" s="2">
        <v>3.6</v>
      </c>
      <c r="H47" s="2">
        <v>1</v>
      </c>
      <c r="I47">
        <v>2</v>
      </c>
      <c r="J47">
        <v>11</v>
      </c>
      <c r="K47" cm="1">
        <f t="array" ref="K47">IFERROR(_xlfn.XLOOKUP(D47&amp;A47, RBWR!A:A&amp;RBWR!C:C, RBWR!B:B), "N/A")</f>
        <v>70</v>
      </c>
      <c r="L47" cm="1">
        <f t="array" ref="L47">IFERROR(_xlfn.XLOOKUP(C47&amp;A47, RYOE!A:A&amp;RYOE!F:F, RYOE!C:C), "N/A")</f>
        <v>-95</v>
      </c>
      <c r="M47" cm="1">
        <f t="array" ref="M47">IFERROR(_xlfn.XLOOKUP(C47&amp;A47, RYOE!A:A&amp;RYOE!F:F, RYOE!D:D), "N/A")</f>
        <v>-0.73</v>
      </c>
      <c r="N47" cm="1">
        <f t="array" ref="N47">IFERROR(_xlfn.XLOOKUP(C47&amp;A47, RYOE!A:A&amp;RYOE!F:F, RYOE!E:E), "N/A")</f>
        <v>30</v>
      </c>
    </row>
    <row r="48" spans="1:14" ht="15" customHeight="1" x14ac:dyDescent="0.45">
      <c r="A48" s="7">
        <v>2025</v>
      </c>
      <c r="B48" s="5" t="s">
        <v>79</v>
      </c>
      <c r="C48" s="1" t="str">
        <f t="shared" si="0"/>
        <v>Isiah Pacheco</v>
      </c>
      <c r="D48" s="1" t="str">
        <f t="shared" si="1"/>
        <v>KC</v>
      </c>
      <c r="E48" s="1">
        <v>118</v>
      </c>
      <c r="F48" s="1">
        <v>462</v>
      </c>
      <c r="G48" s="1">
        <v>3.9</v>
      </c>
      <c r="H48" s="1">
        <v>1</v>
      </c>
      <c r="I48">
        <v>0</v>
      </c>
      <c r="J48">
        <v>13</v>
      </c>
      <c r="K48" cm="1">
        <f t="array" ref="K48">IFERROR(_xlfn.XLOOKUP(D48&amp;A48, RBWR!A:A&amp;RBWR!C:C, RBWR!B:B), "N/A")</f>
        <v>70</v>
      </c>
      <c r="L48" cm="1">
        <f t="array" ref="L48">IFERROR(_xlfn.XLOOKUP(C48&amp;A48, RYOE!A:A&amp;RYOE!F:F, RYOE!C:C), "N/A")</f>
        <v>-48</v>
      </c>
      <c r="M48" cm="1">
        <f t="array" ref="M48">IFERROR(_xlfn.XLOOKUP(C48&amp;A48, RYOE!A:A&amp;RYOE!F:F, RYOE!D:D), "N/A")</f>
        <v>-0.41</v>
      </c>
      <c r="N48" cm="1">
        <f t="array" ref="N48">IFERROR(_xlfn.XLOOKUP(C48&amp;A48, RYOE!A:A&amp;RYOE!F:F, RYOE!E:E), "N/A")</f>
        <v>38.799999999999997</v>
      </c>
    </row>
    <row r="49" spans="1:14" ht="15" customHeight="1" x14ac:dyDescent="0.45">
      <c r="A49" s="8">
        <v>2025</v>
      </c>
      <c r="B49" s="6" t="s">
        <v>80</v>
      </c>
      <c r="C49" s="2" t="str">
        <f t="shared" si="0"/>
        <v>Devin Singletary</v>
      </c>
      <c r="D49" s="2" t="str">
        <f t="shared" si="1"/>
        <v>NYG</v>
      </c>
      <c r="E49" s="2">
        <v>119</v>
      </c>
      <c r="F49" s="2">
        <v>437</v>
      </c>
      <c r="G49" s="2">
        <v>3.7</v>
      </c>
      <c r="H49" s="2">
        <v>5</v>
      </c>
      <c r="I49">
        <v>0</v>
      </c>
      <c r="J49">
        <v>17</v>
      </c>
      <c r="K49" cm="1">
        <f t="array" ref="K49">IFERROR(_xlfn.XLOOKUP(D49&amp;A49, RBWR!A:A&amp;RBWR!C:C, RBWR!B:B), "N/A")</f>
        <v>71</v>
      </c>
      <c r="L49" cm="1">
        <f t="array" ref="L49">IFERROR(_xlfn.XLOOKUP(C49&amp;A49, RYOE!A:A&amp;RYOE!F:F, RYOE!C:C), "N/A")</f>
        <v>-21</v>
      </c>
      <c r="M49" cm="1">
        <f t="array" ref="M49">IFERROR(_xlfn.XLOOKUP(C49&amp;A49, RYOE!A:A&amp;RYOE!F:F, RYOE!D:D), "N/A")</f>
        <v>-0.18</v>
      </c>
      <c r="N49" cm="1">
        <f t="array" ref="N49">IFERROR(_xlfn.XLOOKUP(C49&amp;A49, RYOE!A:A&amp;RYOE!F:F, RYOE!E:E), "N/A")</f>
        <v>37.299999999999997</v>
      </c>
    </row>
    <row r="50" spans="1:14" ht="15" customHeight="1" x14ac:dyDescent="0.45">
      <c r="A50" s="7">
        <v>2025</v>
      </c>
      <c r="B50" s="5" t="s">
        <v>81</v>
      </c>
      <c r="C50" s="1" t="str">
        <f t="shared" si="0"/>
        <v>Cam Skattebo</v>
      </c>
      <c r="D50" s="1" t="str">
        <f t="shared" si="1"/>
        <v>NYG</v>
      </c>
      <c r="E50" s="1">
        <v>101</v>
      </c>
      <c r="F50" s="1">
        <v>410</v>
      </c>
      <c r="G50" s="1">
        <v>4.0999999999999996</v>
      </c>
      <c r="H50" s="1">
        <v>5</v>
      </c>
      <c r="I50">
        <v>1</v>
      </c>
      <c r="J50">
        <v>8</v>
      </c>
      <c r="K50" cm="1">
        <f t="array" ref="K50">IFERROR(_xlfn.XLOOKUP(D50&amp;A50, RBWR!A:A&amp;RBWR!C:C, RBWR!B:B), "N/A")</f>
        <v>71</v>
      </c>
      <c r="L50" cm="1">
        <f t="array" ref="L50">IFERROR(_xlfn.XLOOKUP(C50&amp;A50, RYOE!A:A&amp;RYOE!F:F, RYOE!C:C), "N/A")</f>
        <v>43</v>
      </c>
      <c r="M50" cm="1">
        <f t="array" ref="M50">IFERROR(_xlfn.XLOOKUP(C50&amp;A50, RYOE!A:A&amp;RYOE!F:F, RYOE!D:D), "N/A")</f>
        <v>0.43</v>
      </c>
      <c r="N50" cm="1">
        <f t="array" ref="N50">IFERROR(_xlfn.XLOOKUP(C50&amp;A50, RYOE!A:A&amp;RYOE!F:F, RYOE!E:E), "N/A")</f>
        <v>46</v>
      </c>
    </row>
    <row r="51" spans="1:14" ht="15" customHeight="1" x14ac:dyDescent="0.45">
      <c r="A51" s="8">
        <v>2025</v>
      </c>
      <c r="B51" s="6" t="s">
        <v>82</v>
      </c>
      <c r="C51" s="2" t="str">
        <f t="shared" si="0"/>
        <v>Brian Robinson Jr.</v>
      </c>
      <c r="D51" s="2" t="str">
        <f t="shared" si="1"/>
        <v>SF</v>
      </c>
      <c r="E51" s="2">
        <v>92</v>
      </c>
      <c r="F51" s="2">
        <v>400</v>
      </c>
      <c r="G51" s="2">
        <v>4.3</v>
      </c>
      <c r="H51" s="2">
        <v>2</v>
      </c>
      <c r="I51">
        <v>0</v>
      </c>
      <c r="J51">
        <v>17</v>
      </c>
      <c r="K51" cm="1">
        <f t="array" ref="K51">IFERROR(_xlfn.XLOOKUP(D51&amp;A51, RBWR!A:A&amp;RBWR!C:C, RBWR!B:B), "N/A")</f>
        <v>72</v>
      </c>
      <c r="L51" cm="1">
        <f t="array" ref="L51">IFERROR(_xlfn.XLOOKUP(C51&amp;A51, RYOE!A:A&amp;RYOE!F:F, RYOE!C:C), "N/A")</f>
        <v>-6</v>
      </c>
      <c r="M51" cm="1">
        <f t="array" ref="M51">IFERROR(_xlfn.XLOOKUP(C51&amp;A51, RYOE!A:A&amp;RYOE!F:F, RYOE!D:D), "N/A")</f>
        <v>-0.06</v>
      </c>
      <c r="N51" cm="1">
        <f t="array" ref="N51">IFERROR(_xlfn.XLOOKUP(C51&amp;A51, RYOE!A:A&amp;RYOE!F:F, RYOE!E:E), "N/A")</f>
        <v>38.5</v>
      </c>
    </row>
    <row r="52" spans="1:14" ht="15" customHeight="1" x14ac:dyDescent="0.45">
      <c r="A52" s="7">
        <v>2025</v>
      </c>
      <c r="B52" s="5" t="s">
        <v>83</v>
      </c>
      <c r="C52" s="1" t="str">
        <f t="shared" si="0"/>
        <v>Samaje Perine</v>
      </c>
      <c r="D52" s="1" t="str">
        <f t="shared" si="1"/>
        <v>CIN</v>
      </c>
      <c r="E52" s="1">
        <v>84</v>
      </c>
      <c r="F52" s="1">
        <v>382</v>
      </c>
      <c r="G52" s="1">
        <v>4.5</v>
      </c>
      <c r="H52" s="1">
        <v>3</v>
      </c>
      <c r="I52">
        <v>2</v>
      </c>
      <c r="J52">
        <v>15</v>
      </c>
      <c r="K52" cm="1">
        <f t="array" ref="K52">IFERROR(_xlfn.XLOOKUP(D52&amp;A52, RBWR!A:A&amp;RBWR!C:C, RBWR!B:B), "N/A")</f>
        <v>72</v>
      </c>
      <c r="L52" t="str" cm="1">
        <f t="array" ref="L52">IFERROR(_xlfn.XLOOKUP(C52&amp;A52, RYOE!A:A&amp;RYOE!F:F, RYOE!C:C), "N/A")</f>
        <v>N/A</v>
      </c>
      <c r="M52" t="str" cm="1">
        <f t="array" ref="M52">IFERROR(_xlfn.XLOOKUP(C52&amp;A52, RYOE!A:A&amp;RYOE!F:F, RYOE!D:D), "N/A")</f>
        <v>N/A</v>
      </c>
      <c r="N52" t="str" cm="1">
        <f t="array" ref="N52">IFERROR(_xlfn.XLOOKUP(C52&amp;A52, RYOE!A:A&amp;RYOE!F:F, RYOE!E:E), "N/A")</f>
        <v>N/A</v>
      </c>
    </row>
    <row r="53" spans="1:14" ht="15" customHeight="1" x14ac:dyDescent="0.45">
      <c r="A53" s="8">
        <v>2025</v>
      </c>
      <c r="B53" s="6" t="s">
        <v>84</v>
      </c>
      <c r="C53" s="2" t="str">
        <f t="shared" si="0"/>
        <v>Tank Bigsby</v>
      </c>
      <c r="D53" s="2" t="str">
        <f t="shared" si="1"/>
        <v>PHI</v>
      </c>
      <c r="E53" s="2">
        <v>63</v>
      </c>
      <c r="F53" s="2">
        <v>356</v>
      </c>
      <c r="G53" s="2">
        <v>5.7</v>
      </c>
      <c r="H53" s="2">
        <v>2</v>
      </c>
      <c r="I53">
        <v>0</v>
      </c>
      <c r="J53">
        <v>16</v>
      </c>
      <c r="K53" cm="1">
        <f t="array" ref="K53">IFERROR(_xlfn.XLOOKUP(D53&amp;A53, RBWR!A:A&amp;RBWR!C:C, RBWR!B:B), "N/A")</f>
        <v>71</v>
      </c>
      <c r="L53" t="str" cm="1">
        <f t="array" ref="L53">IFERROR(_xlfn.XLOOKUP(C53&amp;A53, RYOE!A:A&amp;RYOE!F:F, RYOE!C:C), "N/A")</f>
        <v>N/A</v>
      </c>
      <c r="M53" t="str" cm="1">
        <f t="array" ref="M53">IFERROR(_xlfn.XLOOKUP(C53&amp;A53, RYOE!A:A&amp;RYOE!F:F, RYOE!D:D), "N/A")</f>
        <v>N/A</v>
      </c>
      <c r="N53" t="str" cm="1">
        <f t="array" ref="N53">IFERROR(_xlfn.XLOOKUP(C53&amp;A53, RYOE!A:A&amp;RYOE!F:F, RYOE!E:E), "N/A")</f>
        <v>N/A</v>
      </c>
    </row>
    <row r="54" spans="1:14" ht="15" customHeight="1" x14ac:dyDescent="0.45">
      <c r="A54" s="7">
        <v>2025</v>
      </c>
      <c r="B54" s="5" t="s">
        <v>85</v>
      </c>
      <c r="C54" s="1" t="str">
        <f t="shared" si="0"/>
        <v>Keaton Mitchell</v>
      </c>
      <c r="D54" s="1" t="str">
        <f t="shared" si="1"/>
        <v>BAL</v>
      </c>
      <c r="E54" s="1">
        <v>59</v>
      </c>
      <c r="F54" s="1">
        <v>341</v>
      </c>
      <c r="G54" s="1">
        <v>5.8</v>
      </c>
      <c r="H54" s="1">
        <v>1</v>
      </c>
      <c r="I54">
        <v>0</v>
      </c>
      <c r="J54">
        <v>13</v>
      </c>
      <c r="K54" cm="1">
        <f t="array" ref="K54">IFERROR(_xlfn.XLOOKUP(D54&amp;A54, RBWR!A:A&amp;RBWR!C:C, RBWR!B:B), "N/A")</f>
        <v>71</v>
      </c>
      <c r="L54" t="str" cm="1">
        <f t="array" ref="L54">IFERROR(_xlfn.XLOOKUP(C54&amp;A54, RYOE!A:A&amp;RYOE!F:F, RYOE!C:C), "N/A")</f>
        <v>N/A</v>
      </c>
      <c r="M54" t="str" cm="1">
        <f t="array" ref="M54">IFERROR(_xlfn.XLOOKUP(C54&amp;A54, RYOE!A:A&amp;RYOE!F:F, RYOE!D:D), "N/A")</f>
        <v>N/A</v>
      </c>
      <c r="N54" t="str" cm="1">
        <f t="array" ref="N54">IFERROR(_xlfn.XLOOKUP(C54&amp;A54, RYOE!A:A&amp;RYOE!F:F, RYOE!E:E), "N/A")</f>
        <v>N/A</v>
      </c>
    </row>
    <row r="55" spans="1:14" ht="15" customHeight="1" x14ac:dyDescent="0.45">
      <c r="A55" s="8">
        <v>2025</v>
      </c>
      <c r="B55" s="6" t="s">
        <v>86</v>
      </c>
      <c r="C55" s="2" t="str">
        <f t="shared" si="0"/>
        <v>Michael Carter</v>
      </c>
      <c r="D55" s="2" t="str">
        <f t="shared" si="1"/>
        <v>ARI</v>
      </c>
      <c r="E55" s="2">
        <v>92</v>
      </c>
      <c r="F55" s="2">
        <v>333</v>
      </c>
      <c r="G55" s="2">
        <v>3.6</v>
      </c>
      <c r="H55" s="2">
        <v>1</v>
      </c>
      <c r="I55">
        <v>0</v>
      </c>
      <c r="J55">
        <v>13</v>
      </c>
      <c r="K55" cm="1">
        <f t="array" ref="K55">IFERROR(_xlfn.XLOOKUP(D55&amp;A55, RBWR!A:A&amp;RBWR!C:C, RBWR!B:B), "N/A")</f>
        <v>71</v>
      </c>
      <c r="L55" cm="1">
        <f t="array" ref="L55">IFERROR(_xlfn.XLOOKUP(C55&amp;A55, RYOE!A:A&amp;RYOE!F:F, RYOE!C:C), "N/A")</f>
        <v>-68</v>
      </c>
      <c r="M55" cm="1">
        <f t="array" ref="M55">IFERROR(_xlfn.XLOOKUP(C55&amp;A55, RYOE!A:A&amp;RYOE!F:F, RYOE!D:D), "N/A")</f>
        <v>-0.76</v>
      </c>
      <c r="N55" cm="1">
        <f t="array" ref="N55">IFERROR(_xlfn.XLOOKUP(C55&amp;A55, RYOE!A:A&amp;RYOE!F:F, RYOE!E:E), "N/A")</f>
        <v>28.9</v>
      </c>
    </row>
    <row r="56" spans="1:14" ht="15" customHeight="1" x14ac:dyDescent="0.45">
      <c r="A56" s="7">
        <v>2025</v>
      </c>
      <c r="B56" s="5" t="s">
        <v>87</v>
      </c>
      <c r="C56" s="1" t="str">
        <f t="shared" si="0"/>
        <v>Sean Tucker</v>
      </c>
      <c r="D56" s="1" t="str">
        <f t="shared" si="1"/>
        <v>TB</v>
      </c>
      <c r="E56" s="1">
        <v>86</v>
      </c>
      <c r="F56" s="1">
        <v>320</v>
      </c>
      <c r="G56" s="1">
        <v>3.7</v>
      </c>
      <c r="H56" s="1">
        <v>7</v>
      </c>
      <c r="I56">
        <v>0</v>
      </c>
      <c r="J56">
        <v>17</v>
      </c>
      <c r="K56" cm="1">
        <f t="array" ref="K56">IFERROR(_xlfn.XLOOKUP(D56&amp;A56, RBWR!A:A&amp;RBWR!C:C, RBWR!B:B), "N/A")</f>
        <v>70</v>
      </c>
      <c r="L56" t="str" cm="1">
        <f t="array" ref="L56">IFERROR(_xlfn.XLOOKUP(C56&amp;A56, RYOE!A:A&amp;RYOE!F:F, RYOE!C:C), "N/A")</f>
        <v>N/A</v>
      </c>
      <c r="M56" t="str" cm="1">
        <f t="array" ref="M56">IFERROR(_xlfn.XLOOKUP(C56&amp;A56, RYOE!A:A&amp;RYOE!F:F, RYOE!D:D), "N/A")</f>
        <v>N/A</v>
      </c>
      <c r="N56" t="str" cm="1">
        <f t="array" ref="N56">IFERROR(_xlfn.XLOOKUP(C56&amp;A56, RYOE!A:A&amp;RYOE!F:F, RYOE!E:E), "N/A")</f>
        <v>N/A</v>
      </c>
    </row>
    <row r="57" spans="1:14" ht="15" customHeight="1" x14ac:dyDescent="0.45">
      <c r="A57" s="8">
        <v>2025</v>
      </c>
      <c r="B57" s="6" t="s">
        <v>88</v>
      </c>
      <c r="C57" s="2" t="str">
        <f t="shared" si="0"/>
        <v>Emari Demercado</v>
      </c>
      <c r="D57" s="2" t="str">
        <f t="shared" si="1"/>
        <v>ARI</v>
      </c>
      <c r="E57" s="2">
        <v>44</v>
      </c>
      <c r="F57" s="2">
        <v>312</v>
      </c>
      <c r="G57" s="2">
        <v>7.1</v>
      </c>
      <c r="H57" s="2">
        <v>0</v>
      </c>
      <c r="I57">
        <v>1</v>
      </c>
      <c r="J57">
        <v>13</v>
      </c>
      <c r="K57" cm="1">
        <f t="array" ref="K57">IFERROR(_xlfn.XLOOKUP(D57&amp;A57, RBWR!A:A&amp;RBWR!C:C, RBWR!B:B), "N/A")</f>
        <v>71</v>
      </c>
      <c r="L57" t="str" cm="1">
        <f t="array" ref="L57">IFERROR(_xlfn.XLOOKUP(C57&amp;A57, RYOE!A:A&amp;RYOE!F:F, RYOE!C:C), "N/A")</f>
        <v>N/A</v>
      </c>
      <c r="M57" t="str" cm="1">
        <f t="array" ref="M57">IFERROR(_xlfn.XLOOKUP(C57&amp;A57, RYOE!A:A&amp;RYOE!F:F, RYOE!D:D), "N/A")</f>
        <v>N/A</v>
      </c>
      <c r="N57" t="str" cm="1">
        <f t="array" ref="N57">IFERROR(_xlfn.XLOOKUP(C57&amp;A57, RYOE!A:A&amp;RYOE!F:F, RYOE!E:E), "N/A")</f>
        <v>N/A</v>
      </c>
    </row>
    <row r="58" spans="1:14" ht="15" customHeight="1" x14ac:dyDescent="0.45">
      <c r="A58" s="7">
        <v>2025</v>
      </c>
      <c r="B58" s="5" t="s">
        <v>89</v>
      </c>
      <c r="C58" s="1" t="str">
        <f t="shared" si="0"/>
        <v>Bhayshul Tuten</v>
      </c>
      <c r="D58" s="1" t="str">
        <f t="shared" si="1"/>
        <v>JAC</v>
      </c>
      <c r="E58" s="1">
        <v>83</v>
      </c>
      <c r="F58" s="1">
        <v>307</v>
      </c>
      <c r="G58" s="1">
        <v>3.7</v>
      </c>
      <c r="H58" s="1">
        <v>5</v>
      </c>
      <c r="I58">
        <v>1</v>
      </c>
      <c r="J58">
        <v>15</v>
      </c>
      <c r="K58" cm="1">
        <f t="array" ref="K58">IFERROR(_xlfn.XLOOKUP(D58&amp;A58, RBWR!A:A&amp;RBWR!C:C, RBWR!B:B), "N/A")</f>
        <v>73</v>
      </c>
      <c r="L58" t="str" cm="1">
        <f t="array" ref="L58">IFERROR(_xlfn.XLOOKUP(C58&amp;A58, RYOE!A:A&amp;RYOE!F:F, RYOE!C:C), "N/A")</f>
        <v>N/A</v>
      </c>
      <c r="M58" t="str" cm="1">
        <f t="array" ref="M58">IFERROR(_xlfn.XLOOKUP(C58&amp;A58, RYOE!A:A&amp;RYOE!F:F, RYOE!D:D), "N/A")</f>
        <v>N/A</v>
      </c>
      <c r="N58" t="str" cm="1">
        <f t="array" ref="N58">IFERROR(_xlfn.XLOOKUP(C58&amp;A58, RYOE!A:A&amp;RYOE!F:F, RYOE!E:E), "N/A")</f>
        <v>N/A</v>
      </c>
    </row>
    <row r="59" spans="1:14" ht="15" customHeight="1" x14ac:dyDescent="0.45">
      <c r="A59" s="8">
        <v>2025</v>
      </c>
      <c r="B59" s="6" t="s">
        <v>90</v>
      </c>
      <c r="C59" s="2" t="str">
        <f t="shared" si="0"/>
        <v>Jaylen Wright</v>
      </c>
      <c r="D59" s="2" t="str">
        <f t="shared" si="1"/>
        <v>MIA</v>
      </c>
      <c r="E59" s="2">
        <v>70</v>
      </c>
      <c r="F59" s="2">
        <v>288</v>
      </c>
      <c r="G59" s="2">
        <v>4.0999999999999996</v>
      </c>
      <c r="H59" s="2">
        <v>2</v>
      </c>
      <c r="I59">
        <v>1</v>
      </c>
      <c r="J59">
        <v>11</v>
      </c>
      <c r="K59" cm="1">
        <f t="array" ref="K59">IFERROR(_xlfn.XLOOKUP(D59&amp;A59, RBWR!A:A&amp;RBWR!C:C, RBWR!B:B), "N/A")</f>
        <v>70</v>
      </c>
      <c r="L59" t="str" cm="1">
        <f t="array" ref="L59">IFERROR(_xlfn.XLOOKUP(C59&amp;A59, RYOE!A:A&amp;RYOE!F:F, RYOE!C:C), "N/A")</f>
        <v>N/A</v>
      </c>
      <c r="M59" t="str" cm="1">
        <f t="array" ref="M59">IFERROR(_xlfn.XLOOKUP(C59&amp;A59, RYOE!A:A&amp;RYOE!F:F, RYOE!D:D), "N/A")</f>
        <v>N/A</v>
      </c>
      <c r="N59" t="str" cm="1">
        <f t="array" ref="N59">IFERROR(_xlfn.XLOOKUP(C59&amp;A59, RYOE!A:A&amp;RYOE!F:F, RYOE!E:E), "N/A")</f>
        <v>N/A</v>
      </c>
    </row>
    <row r="60" spans="1:14" ht="15" customHeight="1" x14ac:dyDescent="0.45">
      <c r="A60" s="7">
        <v>2025</v>
      </c>
      <c r="B60" s="5" t="s">
        <v>91</v>
      </c>
      <c r="C60" s="1" t="str">
        <f t="shared" si="0"/>
        <v>Tyjae Spears</v>
      </c>
      <c r="D60" s="1" t="str">
        <f t="shared" si="1"/>
        <v>TEN</v>
      </c>
      <c r="E60" s="1">
        <v>72</v>
      </c>
      <c r="F60" s="1">
        <v>283</v>
      </c>
      <c r="G60" s="1">
        <v>3.9</v>
      </c>
      <c r="H60" s="1">
        <v>2</v>
      </c>
      <c r="I60">
        <v>0</v>
      </c>
      <c r="J60">
        <v>13</v>
      </c>
      <c r="K60" cm="1">
        <f t="array" ref="K60">IFERROR(_xlfn.XLOOKUP(D60&amp;A60, RBWR!A:A&amp;RBWR!C:C, RBWR!B:B), "N/A")</f>
        <v>70</v>
      </c>
      <c r="L60" t="str" cm="1">
        <f t="array" ref="L60">IFERROR(_xlfn.XLOOKUP(C60&amp;A60, RYOE!A:A&amp;RYOE!F:F, RYOE!C:C), "N/A")</f>
        <v>N/A</v>
      </c>
      <c r="M60" t="str" cm="1">
        <f t="array" ref="M60">IFERROR(_xlfn.XLOOKUP(C60&amp;A60, RYOE!A:A&amp;RYOE!F:F, RYOE!D:D), "N/A")</f>
        <v>N/A</v>
      </c>
      <c r="N60" t="str" cm="1">
        <f t="array" ref="N60">IFERROR(_xlfn.XLOOKUP(C60&amp;A60, RYOE!A:A&amp;RYOE!F:F, RYOE!E:E), "N/A")</f>
        <v>N/A</v>
      </c>
    </row>
    <row r="61" spans="1:14" ht="15" customHeight="1" x14ac:dyDescent="0.45">
      <c r="A61" s="8">
        <v>2025</v>
      </c>
      <c r="B61" s="6" t="s">
        <v>92</v>
      </c>
      <c r="C61" s="2" t="str">
        <f t="shared" si="0"/>
        <v>Ray Davis</v>
      </c>
      <c r="D61" s="2" t="str">
        <f t="shared" si="1"/>
        <v>BUF</v>
      </c>
      <c r="E61" s="2">
        <v>58</v>
      </c>
      <c r="F61" s="2">
        <v>275</v>
      </c>
      <c r="G61" s="2">
        <v>4.7</v>
      </c>
      <c r="H61" s="2">
        <v>0</v>
      </c>
      <c r="I61">
        <v>0</v>
      </c>
      <c r="J61">
        <v>17</v>
      </c>
      <c r="K61" cm="1">
        <f t="array" ref="K61">IFERROR(_xlfn.XLOOKUP(D61&amp;A61, RBWR!A:A&amp;RBWR!C:C, RBWR!B:B), "N/A")</f>
        <v>75</v>
      </c>
      <c r="L61" t="str" cm="1">
        <f t="array" ref="L61">IFERROR(_xlfn.XLOOKUP(C61&amp;A61, RYOE!A:A&amp;RYOE!F:F, RYOE!C:C), "N/A")</f>
        <v>N/A</v>
      </c>
      <c r="M61" t="str" cm="1">
        <f t="array" ref="M61">IFERROR(_xlfn.XLOOKUP(C61&amp;A61, RYOE!A:A&amp;RYOE!F:F, RYOE!D:D), "N/A")</f>
        <v>N/A</v>
      </c>
      <c r="N61" t="str" cm="1">
        <f t="array" ref="N61">IFERROR(_xlfn.XLOOKUP(C61&amp;A61, RYOE!A:A&amp;RYOE!F:F, RYOE!E:E), "N/A")</f>
        <v>N/A</v>
      </c>
    </row>
    <row r="62" spans="1:14" ht="15" customHeight="1" x14ac:dyDescent="0.45">
      <c r="A62" s="7">
        <v>2025</v>
      </c>
      <c r="B62" s="5" t="s">
        <v>93</v>
      </c>
      <c r="C62" s="1" t="str">
        <f t="shared" si="0"/>
        <v>Bam Knight</v>
      </c>
      <c r="D62" s="1" t="str">
        <f t="shared" si="1"/>
        <v>ARI</v>
      </c>
      <c r="E62" s="1">
        <v>82</v>
      </c>
      <c r="F62" s="1">
        <v>269</v>
      </c>
      <c r="G62" s="1">
        <v>3.3</v>
      </c>
      <c r="H62" s="1">
        <v>4</v>
      </c>
      <c r="I62">
        <v>1</v>
      </c>
      <c r="J62">
        <v>12</v>
      </c>
      <c r="K62" cm="1">
        <f t="array" ref="K62">IFERROR(_xlfn.XLOOKUP(D62&amp;A62, RBWR!A:A&amp;RBWR!C:C, RBWR!B:B), "N/A")</f>
        <v>71</v>
      </c>
      <c r="L62" t="str" cm="1">
        <f t="array" ref="L62">IFERROR(_xlfn.XLOOKUP(C62&amp;A62, RYOE!A:A&amp;RYOE!F:F, RYOE!C:C), "N/A")</f>
        <v>N/A</v>
      </c>
      <c r="M62" t="str" cm="1">
        <f t="array" ref="M62">IFERROR(_xlfn.XLOOKUP(C62&amp;A62, RYOE!A:A&amp;RYOE!F:F, RYOE!D:D), "N/A")</f>
        <v>N/A</v>
      </c>
      <c r="N62" t="str" cm="1">
        <f t="array" ref="N62">IFERROR(_xlfn.XLOOKUP(C62&amp;A62, RYOE!A:A&amp;RYOE!F:F, RYOE!E:E), "N/A")</f>
        <v>N/A</v>
      </c>
    </row>
    <row r="63" spans="1:14" ht="15" customHeight="1" x14ac:dyDescent="0.45">
      <c r="A63" s="8">
        <v>2025</v>
      </c>
      <c r="B63" s="6" t="s">
        <v>94</v>
      </c>
      <c r="C63" s="2" t="str">
        <f t="shared" si="0"/>
        <v>Malik Davis</v>
      </c>
      <c r="D63" s="2" t="str">
        <f t="shared" si="1"/>
        <v>DAL</v>
      </c>
      <c r="E63" s="2">
        <v>52</v>
      </c>
      <c r="F63" s="2">
        <v>250</v>
      </c>
      <c r="G63" s="2">
        <v>4.8</v>
      </c>
      <c r="H63" s="2">
        <v>2</v>
      </c>
      <c r="I63">
        <v>0</v>
      </c>
      <c r="J63">
        <v>10</v>
      </c>
      <c r="K63" cm="1">
        <f t="array" ref="K63">IFERROR(_xlfn.XLOOKUP(D63&amp;A63, RBWR!A:A&amp;RBWR!C:C, RBWR!B:B), "N/A")</f>
        <v>72</v>
      </c>
      <c r="L63" t="str" cm="1">
        <f t="array" ref="L63">IFERROR(_xlfn.XLOOKUP(C63&amp;A63, RYOE!A:A&amp;RYOE!F:F, RYOE!C:C), "N/A")</f>
        <v>N/A</v>
      </c>
      <c r="M63" t="str" cm="1">
        <f t="array" ref="M63">IFERROR(_xlfn.XLOOKUP(C63&amp;A63, RYOE!A:A&amp;RYOE!F:F, RYOE!D:D), "N/A")</f>
        <v>N/A</v>
      </c>
      <c r="N63" t="str" cm="1">
        <f t="array" ref="N63">IFERROR(_xlfn.XLOOKUP(C63&amp;A63, RYOE!A:A&amp;RYOE!F:F, RYOE!E:E), "N/A")</f>
        <v>N/A</v>
      </c>
    </row>
    <row r="64" spans="1:14" ht="15" customHeight="1" x14ac:dyDescent="0.45">
      <c r="A64" s="7">
        <v>2025</v>
      </c>
      <c r="B64" s="5" t="s">
        <v>95</v>
      </c>
      <c r="C64" s="1" t="str">
        <f t="shared" si="0"/>
        <v>Isaiah Davis</v>
      </c>
      <c r="D64" s="1" t="str">
        <f t="shared" si="1"/>
        <v>NYJ</v>
      </c>
      <c r="E64" s="1">
        <v>43</v>
      </c>
      <c r="F64" s="1">
        <v>236</v>
      </c>
      <c r="G64" s="1">
        <v>5.5</v>
      </c>
      <c r="H64" s="1">
        <v>1</v>
      </c>
      <c r="I64">
        <v>0</v>
      </c>
      <c r="J64">
        <v>16</v>
      </c>
      <c r="K64" cm="1">
        <f t="array" ref="K64">IFERROR(_xlfn.XLOOKUP(D64&amp;A64, RBWR!A:A&amp;RBWR!C:C, RBWR!B:B), "N/A")</f>
        <v>71</v>
      </c>
      <c r="L64" t="str" cm="1">
        <f t="array" ref="L64">IFERROR(_xlfn.XLOOKUP(C64&amp;A64, RYOE!A:A&amp;RYOE!F:F, RYOE!C:C), "N/A")</f>
        <v>N/A</v>
      </c>
      <c r="M64" t="str" cm="1">
        <f t="array" ref="M64">IFERROR(_xlfn.XLOOKUP(C64&amp;A64, RYOE!A:A&amp;RYOE!F:F, RYOE!D:D), "N/A")</f>
        <v>N/A</v>
      </c>
      <c r="N64" t="str" cm="1">
        <f t="array" ref="N64">IFERROR(_xlfn.XLOOKUP(C64&amp;A64, RYOE!A:A&amp;RYOE!F:F, RYOE!E:E), "N/A")</f>
        <v>N/A</v>
      </c>
    </row>
    <row r="65" spans="1:14" ht="15" customHeight="1" x14ac:dyDescent="0.45">
      <c r="A65" s="8">
        <v>2025</v>
      </c>
      <c r="B65" s="6" t="s">
        <v>96</v>
      </c>
      <c r="C65" s="2" t="str">
        <f t="shared" si="0"/>
        <v>Jeremy McNichols</v>
      </c>
      <c r="D65" s="2" t="str">
        <f t="shared" si="1"/>
        <v>WAS</v>
      </c>
      <c r="E65" s="2">
        <v>44</v>
      </c>
      <c r="F65" s="2">
        <v>221</v>
      </c>
      <c r="G65" s="2">
        <v>5</v>
      </c>
      <c r="H65" s="2">
        <v>1</v>
      </c>
      <c r="I65">
        <v>1</v>
      </c>
      <c r="J65">
        <v>17</v>
      </c>
      <c r="K65" cm="1">
        <f t="array" ref="K65">IFERROR(_xlfn.XLOOKUP(D65&amp;A65, RBWR!A:A&amp;RBWR!C:C, RBWR!B:B), "N/A")</f>
        <v>70</v>
      </c>
      <c r="L65" t="str" cm="1">
        <f t="array" ref="L65">IFERROR(_xlfn.XLOOKUP(C65&amp;A65, RYOE!A:A&amp;RYOE!F:F, RYOE!C:C), "N/A")</f>
        <v>N/A</v>
      </c>
      <c r="M65" t="str" cm="1">
        <f t="array" ref="M65">IFERROR(_xlfn.XLOOKUP(C65&amp;A65, RYOE!A:A&amp;RYOE!F:F, RYOE!D:D), "N/A")</f>
        <v>N/A</v>
      </c>
      <c r="N65" t="str" cm="1">
        <f t="array" ref="N65">IFERROR(_xlfn.XLOOKUP(C65&amp;A65, RYOE!A:A&amp;RYOE!F:F, RYOE!E:E), "N/A")</f>
        <v>N/A</v>
      </c>
    </row>
    <row r="66" spans="1:14" ht="15" customHeight="1" x14ac:dyDescent="0.45">
      <c r="A66" s="7">
        <v>2025</v>
      </c>
      <c r="B66" s="5" t="s">
        <v>97</v>
      </c>
      <c r="C66" s="1" t="str">
        <f t="shared" ref="C66:C129" si="2">TRIM(LEFT(B66, LEN(B66) - LEN(TRIM(RIGHT(SUBSTITUTE(TRIM(B66)," ",REPT(" ",100)),100)))))</f>
        <v>Devin Neal</v>
      </c>
      <c r="D66" s="1" t="str">
        <f t="shared" ref="D66:D129" si="3">MID(B66, FIND("(", B66) + 1, FIND(")", B66) - FIND("(", B66) - 1)</f>
        <v>NO</v>
      </c>
      <c r="E66" s="1">
        <v>57</v>
      </c>
      <c r="F66" s="1">
        <v>206</v>
      </c>
      <c r="G66" s="1">
        <v>3.6</v>
      </c>
      <c r="H66" s="1">
        <v>2</v>
      </c>
      <c r="I66">
        <v>0</v>
      </c>
      <c r="J66">
        <v>9</v>
      </c>
      <c r="K66" cm="1">
        <f t="array" ref="K66">IFERROR(_xlfn.XLOOKUP(D66&amp;A66, RBWR!A:A&amp;RBWR!C:C, RBWR!B:B), "N/A")</f>
        <v>70</v>
      </c>
      <c r="L66" t="str" cm="1">
        <f t="array" ref="L66">IFERROR(_xlfn.XLOOKUP(C66&amp;A66, RYOE!A:A&amp;RYOE!F:F, RYOE!C:C), "N/A")</f>
        <v>N/A</v>
      </c>
      <c r="M66" t="str" cm="1">
        <f t="array" ref="M66">IFERROR(_xlfn.XLOOKUP(C66&amp;A66, RYOE!A:A&amp;RYOE!F:F, RYOE!D:D), "N/A")</f>
        <v>N/A</v>
      </c>
      <c r="N66" t="str" cm="1">
        <f t="array" ref="N66">IFERROR(_xlfn.XLOOKUP(C66&amp;A66, RYOE!A:A&amp;RYOE!F:F, RYOE!E:E), "N/A")</f>
        <v>N/A</v>
      </c>
    </row>
    <row r="67" spans="1:14" ht="15" customHeight="1" x14ac:dyDescent="0.45">
      <c r="A67" s="8">
        <v>2025</v>
      </c>
      <c r="B67" s="6" t="s">
        <v>98</v>
      </c>
      <c r="C67" s="2" t="str">
        <f t="shared" si="2"/>
        <v>Ty Johnson</v>
      </c>
      <c r="D67" s="2" t="str">
        <f t="shared" si="3"/>
        <v>BUF</v>
      </c>
      <c r="E67" s="2">
        <v>50</v>
      </c>
      <c r="F67" s="2">
        <v>200</v>
      </c>
      <c r="G67" s="2">
        <v>4</v>
      </c>
      <c r="H67" s="2">
        <v>3</v>
      </c>
      <c r="I67">
        <v>0</v>
      </c>
      <c r="J67">
        <v>17</v>
      </c>
      <c r="K67" cm="1">
        <f t="array" ref="K67">IFERROR(_xlfn.XLOOKUP(D67&amp;A67, RBWR!A:A&amp;RBWR!C:C, RBWR!B:B), "N/A")</f>
        <v>75</v>
      </c>
      <c r="L67" t="str" cm="1">
        <f t="array" ref="L67">IFERROR(_xlfn.XLOOKUP(C67&amp;A67, RYOE!A:A&amp;RYOE!F:F, RYOE!C:C), "N/A")</f>
        <v>N/A</v>
      </c>
      <c r="M67" t="str" cm="1">
        <f t="array" ref="M67">IFERROR(_xlfn.XLOOKUP(C67&amp;A67, RYOE!A:A&amp;RYOE!F:F, RYOE!D:D), "N/A")</f>
        <v>N/A</v>
      </c>
      <c r="N67" t="str" cm="1">
        <f t="array" ref="N67">IFERROR(_xlfn.XLOOKUP(C67&amp;A67, RYOE!A:A&amp;RYOE!F:F, RYOE!E:E), "N/A")</f>
        <v>N/A</v>
      </c>
    </row>
    <row r="68" spans="1:14" ht="15" customHeight="1" x14ac:dyDescent="0.45">
      <c r="A68" s="7">
        <v>2025</v>
      </c>
      <c r="B68" s="5" t="s">
        <v>99</v>
      </c>
      <c r="C68" s="1" t="str">
        <f t="shared" si="2"/>
        <v>Ollie Gordon II</v>
      </c>
      <c r="D68" s="1" t="str">
        <f t="shared" si="3"/>
        <v>MIA</v>
      </c>
      <c r="E68" s="1">
        <v>70</v>
      </c>
      <c r="F68" s="1">
        <v>199</v>
      </c>
      <c r="G68" s="1">
        <v>2.8</v>
      </c>
      <c r="H68" s="1">
        <v>3</v>
      </c>
      <c r="I68">
        <v>0</v>
      </c>
      <c r="J68">
        <v>17</v>
      </c>
      <c r="K68" cm="1">
        <f t="array" ref="K68">IFERROR(_xlfn.XLOOKUP(D68&amp;A68, RBWR!A:A&amp;RBWR!C:C, RBWR!B:B), "N/A")</f>
        <v>70</v>
      </c>
      <c r="L68" t="str" cm="1">
        <f t="array" ref="L68">IFERROR(_xlfn.XLOOKUP(C68&amp;A68, RYOE!A:A&amp;RYOE!F:F, RYOE!C:C), "N/A")</f>
        <v>N/A</v>
      </c>
      <c r="M68" t="str" cm="1">
        <f t="array" ref="M68">IFERROR(_xlfn.XLOOKUP(C68&amp;A68, RYOE!A:A&amp;RYOE!F:F, RYOE!D:D), "N/A")</f>
        <v>N/A</v>
      </c>
      <c r="N68" t="str" cm="1">
        <f t="array" ref="N68">IFERROR(_xlfn.XLOOKUP(C68&amp;A68, RYOE!A:A&amp;RYOE!F:F, RYOE!E:E), "N/A")</f>
        <v>N/A</v>
      </c>
    </row>
    <row r="69" spans="1:14" ht="15" customHeight="1" x14ac:dyDescent="0.45">
      <c r="A69" s="8">
        <v>2025</v>
      </c>
      <c r="B69" s="6" t="s">
        <v>100</v>
      </c>
      <c r="C69" s="2" t="str">
        <f t="shared" si="2"/>
        <v>Audric Estime</v>
      </c>
      <c r="D69" s="2" t="str">
        <f t="shared" si="3"/>
        <v>NO</v>
      </c>
      <c r="E69" s="2">
        <v>46</v>
      </c>
      <c r="F69" s="2">
        <v>198</v>
      </c>
      <c r="G69" s="2">
        <v>4.3</v>
      </c>
      <c r="H69" s="2">
        <v>1</v>
      </c>
      <c r="I69">
        <v>0</v>
      </c>
      <c r="J69">
        <v>7</v>
      </c>
      <c r="K69" cm="1">
        <f t="array" ref="K69">IFERROR(_xlfn.XLOOKUP(D69&amp;A69, RBWR!A:A&amp;RBWR!C:C, RBWR!B:B), "N/A")</f>
        <v>70</v>
      </c>
      <c r="L69" t="str" cm="1">
        <f t="array" ref="L69">IFERROR(_xlfn.XLOOKUP(C69&amp;A69, RYOE!A:A&amp;RYOE!F:F, RYOE!C:C), "N/A")</f>
        <v>N/A</v>
      </c>
      <c r="M69" t="str" cm="1">
        <f t="array" ref="M69">IFERROR(_xlfn.XLOOKUP(C69&amp;A69, RYOE!A:A&amp;RYOE!F:F, RYOE!D:D), "N/A")</f>
        <v>N/A</v>
      </c>
      <c r="N69" t="str" cm="1">
        <f t="array" ref="N69">IFERROR(_xlfn.XLOOKUP(C69&amp;A69, RYOE!A:A&amp;RYOE!F:F, RYOE!E:E), "N/A")</f>
        <v>N/A</v>
      </c>
    </row>
    <row r="70" spans="1:14" ht="15" customHeight="1" x14ac:dyDescent="0.45">
      <c r="A70" s="7">
        <v>2025</v>
      </c>
      <c r="B70" s="5" t="s">
        <v>101</v>
      </c>
      <c r="C70" s="1" t="str">
        <f t="shared" si="2"/>
        <v>Kendre Miller</v>
      </c>
      <c r="D70" s="1" t="str">
        <f t="shared" si="3"/>
        <v>NO</v>
      </c>
      <c r="E70" s="1">
        <v>47</v>
      </c>
      <c r="F70" s="1">
        <v>193</v>
      </c>
      <c r="G70" s="1">
        <v>4.0999999999999996</v>
      </c>
      <c r="H70" s="1">
        <v>1</v>
      </c>
      <c r="I70">
        <v>0</v>
      </c>
      <c r="J70">
        <v>7</v>
      </c>
      <c r="K70" cm="1">
        <f t="array" ref="K70">IFERROR(_xlfn.XLOOKUP(D70&amp;A70, RBWR!A:A&amp;RBWR!C:C, RBWR!B:B), "N/A")</f>
        <v>70</v>
      </c>
      <c r="L70" t="str" cm="1">
        <f t="array" ref="L70">IFERROR(_xlfn.XLOOKUP(C70&amp;A70, RYOE!A:A&amp;RYOE!F:F, RYOE!C:C), "N/A")</f>
        <v>N/A</v>
      </c>
      <c r="M70" t="str" cm="1">
        <f t="array" ref="M70">IFERROR(_xlfn.XLOOKUP(C70&amp;A70, RYOE!A:A&amp;RYOE!F:F, RYOE!D:D), "N/A")</f>
        <v>N/A</v>
      </c>
      <c r="N70" t="str" cm="1">
        <f t="array" ref="N70">IFERROR(_xlfn.XLOOKUP(C70&amp;A70, RYOE!A:A&amp;RYOE!F:F, RYOE!E:E), "N/A")</f>
        <v>N/A</v>
      </c>
    </row>
    <row r="71" spans="1:14" ht="15" customHeight="1" x14ac:dyDescent="0.45">
      <c r="A71" s="8">
        <v>2025</v>
      </c>
      <c r="B71" s="6" t="s">
        <v>102</v>
      </c>
      <c r="C71" s="2" t="str">
        <f t="shared" si="2"/>
        <v>Jawhar Jordan</v>
      </c>
      <c r="D71" s="2" t="str">
        <f t="shared" si="3"/>
        <v>HOU</v>
      </c>
      <c r="E71" s="2">
        <v>43</v>
      </c>
      <c r="F71" s="2">
        <v>193</v>
      </c>
      <c r="G71" s="2">
        <v>4.5</v>
      </c>
      <c r="H71" s="2">
        <v>0</v>
      </c>
      <c r="I71">
        <v>0</v>
      </c>
      <c r="J71">
        <v>4</v>
      </c>
      <c r="K71" cm="1">
        <f t="array" ref="K71">IFERROR(_xlfn.XLOOKUP(D71&amp;A71, RBWR!A:A&amp;RBWR!C:C, RBWR!B:B), "N/A")</f>
        <v>68</v>
      </c>
      <c r="L71" t="str" cm="1">
        <f t="array" ref="L71">IFERROR(_xlfn.XLOOKUP(C71&amp;A71, RYOE!A:A&amp;RYOE!F:F, RYOE!C:C), "N/A")</f>
        <v>N/A</v>
      </c>
      <c r="M71" t="str" cm="1">
        <f t="array" ref="M71">IFERROR(_xlfn.XLOOKUP(C71&amp;A71, RYOE!A:A&amp;RYOE!F:F, RYOE!D:D), "N/A")</f>
        <v>N/A</v>
      </c>
      <c r="N71" t="str" cm="1">
        <f t="array" ref="N71">IFERROR(_xlfn.XLOOKUP(C71&amp;A71, RYOE!A:A&amp;RYOE!F:F, RYOE!E:E), "N/A")</f>
        <v>N/A</v>
      </c>
    </row>
    <row r="72" spans="1:14" ht="15" customHeight="1" x14ac:dyDescent="0.45">
      <c r="A72" s="7">
        <v>2025</v>
      </c>
      <c r="B72" s="5" t="s">
        <v>103</v>
      </c>
      <c r="C72" s="1" t="str">
        <f t="shared" si="2"/>
        <v>Jaleel McLaughlin</v>
      </c>
      <c r="D72" s="1" t="str">
        <f t="shared" si="3"/>
        <v>DEN</v>
      </c>
      <c r="E72" s="1">
        <v>37</v>
      </c>
      <c r="F72" s="1">
        <v>187</v>
      </c>
      <c r="G72" s="1">
        <v>5.0999999999999996</v>
      </c>
      <c r="H72" s="1">
        <v>1</v>
      </c>
      <c r="I72">
        <v>0</v>
      </c>
      <c r="J72">
        <v>8</v>
      </c>
      <c r="K72" cm="1">
        <f t="array" ref="K72">IFERROR(_xlfn.XLOOKUP(D72&amp;A72, RBWR!A:A&amp;RBWR!C:C, RBWR!B:B), "N/A")</f>
        <v>74</v>
      </c>
      <c r="L72" t="str" cm="1">
        <f t="array" ref="L72">IFERROR(_xlfn.XLOOKUP(C72&amp;A72, RYOE!A:A&amp;RYOE!F:F, RYOE!C:C), "N/A")</f>
        <v>N/A</v>
      </c>
      <c r="M72" t="str" cm="1">
        <f t="array" ref="M72">IFERROR(_xlfn.XLOOKUP(C72&amp;A72, RYOE!A:A&amp;RYOE!F:F, RYOE!D:D), "N/A")</f>
        <v>N/A</v>
      </c>
      <c r="N72" t="str" cm="1">
        <f t="array" ref="N72">IFERROR(_xlfn.XLOOKUP(C72&amp;A72, RYOE!A:A&amp;RYOE!F:F, RYOE!E:E), "N/A")</f>
        <v>N/A</v>
      </c>
    </row>
    <row r="73" spans="1:14" ht="15" customHeight="1" x14ac:dyDescent="0.45">
      <c r="A73" s="8">
        <v>2025</v>
      </c>
      <c r="B73" s="6" t="s">
        <v>104</v>
      </c>
      <c r="C73" s="2" t="str">
        <f t="shared" si="2"/>
        <v>Dylan Sampson</v>
      </c>
      <c r="D73" s="2" t="str">
        <f t="shared" si="3"/>
        <v>CLE</v>
      </c>
      <c r="E73" s="2">
        <v>65</v>
      </c>
      <c r="F73" s="2">
        <v>175</v>
      </c>
      <c r="G73" s="2">
        <v>2.7</v>
      </c>
      <c r="H73" s="2">
        <v>0</v>
      </c>
      <c r="I73">
        <v>1</v>
      </c>
      <c r="J73">
        <v>15</v>
      </c>
      <c r="K73" cm="1">
        <f t="array" ref="K73">IFERROR(_xlfn.XLOOKUP(D73&amp;A73, RBWR!A:A&amp;RBWR!C:C, RBWR!B:B), "N/A")</f>
        <v>70</v>
      </c>
      <c r="L73" t="str" cm="1">
        <f t="array" ref="L73">IFERROR(_xlfn.XLOOKUP(C73&amp;A73, RYOE!A:A&amp;RYOE!F:F, RYOE!C:C), "N/A")</f>
        <v>N/A</v>
      </c>
      <c r="M73" t="str" cm="1">
        <f t="array" ref="M73">IFERROR(_xlfn.XLOOKUP(C73&amp;A73, RYOE!A:A&amp;RYOE!F:F, RYOE!D:D), "N/A")</f>
        <v>N/A</v>
      </c>
      <c r="N73" t="str" cm="1">
        <f t="array" ref="N73">IFERROR(_xlfn.XLOOKUP(C73&amp;A73, RYOE!A:A&amp;RYOE!F:F, RYOE!E:E), "N/A")</f>
        <v>N/A</v>
      </c>
    </row>
    <row r="74" spans="1:14" ht="15" customHeight="1" x14ac:dyDescent="0.45">
      <c r="A74" s="7">
        <v>2025</v>
      </c>
      <c r="B74" s="5" t="s">
        <v>105</v>
      </c>
      <c r="C74" s="1" t="str">
        <f t="shared" si="2"/>
        <v>Trey Benson</v>
      </c>
      <c r="D74" s="1" t="str">
        <f t="shared" si="3"/>
        <v>ARI</v>
      </c>
      <c r="E74" s="1">
        <v>29</v>
      </c>
      <c r="F74" s="1">
        <v>160</v>
      </c>
      <c r="G74" s="1">
        <v>5.5</v>
      </c>
      <c r="H74" s="1">
        <v>0</v>
      </c>
      <c r="I74">
        <v>0</v>
      </c>
      <c r="J74">
        <v>5</v>
      </c>
      <c r="K74" cm="1">
        <f t="array" ref="K74">IFERROR(_xlfn.XLOOKUP(D74&amp;A74, RBWR!A:A&amp;RBWR!C:C, RBWR!B:B), "N/A")</f>
        <v>71</v>
      </c>
      <c r="L74" t="str" cm="1">
        <f t="array" ref="L74">IFERROR(_xlfn.XLOOKUP(C74&amp;A74, RYOE!A:A&amp;RYOE!F:F, RYOE!C:C), "N/A")</f>
        <v>N/A</v>
      </c>
      <c r="M74" t="str" cm="1">
        <f t="array" ref="M74">IFERROR(_xlfn.XLOOKUP(C74&amp;A74, RYOE!A:A&amp;RYOE!F:F, RYOE!D:D), "N/A")</f>
        <v>N/A</v>
      </c>
      <c r="N74" t="str" cm="1">
        <f t="array" ref="N74">IFERROR(_xlfn.XLOOKUP(C74&amp;A74, RYOE!A:A&amp;RYOE!F:F, RYOE!E:E), "N/A")</f>
        <v>N/A</v>
      </c>
    </row>
    <row r="75" spans="1:14" ht="15" customHeight="1" x14ac:dyDescent="0.45">
      <c r="A75" s="8">
        <v>2025</v>
      </c>
      <c r="B75" s="6" t="s">
        <v>106</v>
      </c>
      <c r="C75" s="2" t="str">
        <f t="shared" si="2"/>
        <v>Jaret Patterson</v>
      </c>
      <c r="D75" s="2" t="str">
        <f t="shared" si="3"/>
        <v>LAC</v>
      </c>
      <c r="E75" s="2">
        <v>41</v>
      </c>
      <c r="F75" s="2">
        <v>159</v>
      </c>
      <c r="G75" s="2">
        <v>3.9</v>
      </c>
      <c r="H75" s="2">
        <v>1</v>
      </c>
      <c r="I75">
        <v>0</v>
      </c>
      <c r="J75">
        <v>6</v>
      </c>
      <c r="K75" cm="1">
        <f t="array" ref="K75">IFERROR(_xlfn.XLOOKUP(D75&amp;A75, RBWR!A:A&amp;RBWR!C:C, RBWR!B:B), "N/A")</f>
        <v>69</v>
      </c>
      <c r="L75" t="str" cm="1">
        <f t="array" ref="L75">IFERROR(_xlfn.XLOOKUP(C75&amp;A75, RYOE!A:A&amp;RYOE!F:F, RYOE!C:C), "N/A")</f>
        <v>N/A</v>
      </c>
      <c r="M75" t="str" cm="1">
        <f t="array" ref="M75">IFERROR(_xlfn.XLOOKUP(C75&amp;A75, RYOE!A:A&amp;RYOE!F:F, RYOE!D:D), "N/A")</f>
        <v>N/A</v>
      </c>
      <c r="N75" t="str" cm="1">
        <f t="array" ref="N75">IFERROR(_xlfn.XLOOKUP(C75&amp;A75, RYOE!A:A&amp;RYOE!F:F, RYOE!E:E), "N/A")</f>
        <v>N/A</v>
      </c>
    </row>
    <row r="76" spans="1:14" ht="15" customHeight="1" x14ac:dyDescent="0.45">
      <c r="A76" s="7">
        <v>2025</v>
      </c>
      <c r="B76" s="5" t="s">
        <v>107</v>
      </c>
      <c r="C76" s="1" t="str">
        <f t="shared" si="2"/>
        <v>Brashard Smith</v>
      </c>
      <c r="D76" s="1" t="str">
        <f t="shared" si="3"/>
        <v>KC</v>
      </c>
      <c r="E76" s="1">
        <v>44</v>
      </c>
      <c r="F76" s="1">
        <v>151</v>
      </c>
      <c r="G76" s="1">
        <v>3.4</v>
      </c>
      <c r="H76" s="1">
        <v>0</v>
      </c>
      <c r="I76">
        <v>0</v>
      </c>
      <c r="J76">
        <v>17</v>
      </c>
      <c r="K76" cm="1">
        <f t="array" ref="K76">IFERROR(_xlfn.XLOOKUP(D76&amp;A76, RBWR!A:A&amp;RBWR!C:C, RBWR!B:B), "N/A")</f>
        <v>70</v>
      </c>
      <c r="L76" t="str" cm="1">
        <f t="array" ref="L76">IFERROR(_xlfn.XLOOKUP(C76&amp;A76, RYOE!A:A&amp;RYOE!F:F, RYOE!C:C), "N/A")</f>
        <v>N/A</v>
      </c>
      <c r="M76" t="str" cm="1">
        <f t="array" ref="M76">IFERROR(_xlfn.XLOOKUP(C76&amp;A76, RYOE!A:A&amp;RYOE!F:F, RYOE!D:D), "N/A")</f>
        <v>N/A</v>
      </c>
      <c r="N76" t="str" cm="1">
        <f t="array" ref="N76">IFERROR(_xlfn.XLOOKUP(C76&amp;A76, RYOE!A:A&amp;RYOE!F:F, RYOE!E:E), "N/A")</f>
        <v>N/A</v>
      </c>
    </row>
    <row r="77" spans="1:14" ht="15" customHeight="1" x14ac:dyDescent="0.45">
      <c r="A77" s="8">
        <v>2025</v>
      </c>
      <c r="B77" s="6" t="s">
        <v>108</v>
      </c>
      <c r="C77" s="2" t="str">
        <f t="shared" si="2"/>
        <v>Jaydon Blue</v>
      </c>
      <c r="D77" s="2" t="str">
        <f t="shared" si="3"/>
        <v>DAL</v>
      </c>
      <c r="E77" s="2">
        <v>38</v>
      </c>
      <c r="F77" s="2">
        <v>129</v>
      </c>
      <c r="G77" s="2">
        <v>3.4</v>
      </c>
      <c r="H77" s="2">
        <v>1</v>
      </c>
      <c r="I77">
        <v>0</v>
      </c>
      <c r="J77">
        <v>5</v>
      </c>
      <c r="K77" cm="1">
        <f t="array" ref="K77">IFERROR(_xlfn.XLOOKUP(D77&amp;A77, RBWR!A:A&amp;RBWR!C:C, RBWR!B:B), "N/A")</f>
        <v>72</v>
      </c>
      <c r="L77" t="str" cm="1">
        <f t="array" ref="L77">IFERROR(_xlfn.XLOOKUP(C77&amp;A77, RYOE!A:A&amp;RYOE!F:F, RYOE!C:C), "N/A")</f>
        <v>N/A</v>
      </c>
      <c r="M77" t="str" cm="1">
        <f t="array" ref="M77">IFERROR(_xlfn.XLOOKUP(C77&amp;A77, RYOE!A:A&amp;RYOE!F:F, RYOE!D:D), "N/A")</f>
        <v>N/A</v>
      </c>
      <c r="N77" t="str" cm="1">
        <f t="array" ref="N77">IFERROR(_xlfn.XLOOKUP(C77&amp;A77, RYOE!A:A&amp;RYOE!F:F, RYOE!E:E), "N/A")</f>
        <v>N/A</v>
      </c>
    </row>
    <row r="78" spans="1:14" ht="15" customHeight="1" x14ac:dyDescent="0.45">
      <c r="A78" s="7">
        <v>2025</v>
      </c>
      <c r="B78" s="5" t="s">
        <v>109</v>
      </c>
      <c r="C78" s="1" t="str">
        <f t="shared" si="2"/>
        <v>Miles Sanders</v>
      </c>
      <c r="D78" s="1" t="str">
        <f t="shared" si="3"/>
        <v>DAL</v>
      </c>
      <c r="E78" s="1">
        <v>20</v>
      </c>
      <c r="F78" s="1">
        <v>117</v>
      </c>
      <c r="G78" s="1">
        <v>5.9</v>
      </c>
      <c r="H78" s="1">
        <v>1</v>
      </c>
      <c r="I78">
        <v>1</v>
      </c>
      <c r="J78">
        <v>4</v>
      </c>
      <c r="K78" cm="1">
        <f t="array" ref="K78">IFERROR(_xlfn.XLOOKUP(D78&amp;A78, RBWR!A:A&amp;RBWR!C:C, RBWR!B:B), "N/A")</f>
        <v>72</v>
      </c>
      <c r="L78" t="str" cm="1">
        <f t="array" ref="L78">IFERROR(_xlfn.XLOOKUP(C78&amp;A78, RYOE!A:A&amp;RYOE!F:F, RYOE!C:C), "N/A")</f>
        <v>N/A</v>
      </c>
      <c r="M78" t="str" cm="1">
        <f t="array" ref="M78">IFERROR(_xlfn.XLOOKUP(C78&amp;A78, RYOE!A:A&amp;RYOE!F:F, RYOE!D:D), "N/A")</f>
        <v>N/A</v>
      </c>
      <c r="N78" t="str" cm="1">
        <f t="array" ref="N78">IFERROR(_xlfn.XLOOKUP(C78&amp;A78, RYOE!A:A&amp;RYOE!F:F, RYOE!E:E), "N/A")</f>
        <v>N/A</v>
      </c>
    </row>
    <row r="79" spans="1:14" ht="15" customHeight="1" x14ac:dyDescent="0.45">
      <c r="A79" s="8">
        <v>2025</v>
      </c>
      <c r="B79" s="6" t="s">
        <v>110</v>
      </c>
      <c r="C79" s="2" t="str">
        <f t="shared" si="2"/>
        <v>Zavier Scott</v>
      </c>
      <c r="D79" s="2" t="str">
        <f t="shared" si="3"/>
        <v>MIN</v>
      </c>
      <c r="E79" s="2">
        <v>32</v>
      </c>
      <c r="F79" s="2">
        <v>114</v>
      </c>
      <c r="G79" s="2">
        <v>3.6</v>
      </c>
      <c r="H79" s="2">
        <v>0</v>
      </c>
      <c r="I79">
        <v>1</v>
      </c>
      <c r="J79">
        <v>11</v>
      </c>
      <c r="K79" cm="1">
        <f t="array" ref="K79">IFERROR(_xlfn.XLOOKUP(D79&amp;A79, RBWR!A:A&amp;RBWR!C:C, RBWR!B:B), "N/A")</f>
        <v>74</v>
      </c>
      <c r="L79" t="str" cm="1">
        <f t="array" ref="L79">IFERROR(_xlfn.XLOOKUP(C79&amp;A79, RYOE!A:A&amp;RYOE!F:F, RYOE!C:C), "N/A")</f>
        <v>N/A</v>
      </c>
      <c r="M79" t="str" cm="1">
        <f t="array" ref="M79">IFERROR(_xlfn.XLOOKUP(C79&amp;A79, RYOE!A:A&amp;RYOE!F:F, RYOE!D:D), "N/A")</f>
        <v>N/A</v>
      </c>
      <c r="N79" t="str" cm="1">
        <f t="array" ref="N79">IFERROR(_xlfn.XLOOKUP(C79&amp;A79, RYOE!A:A&amp;RYOE!F:F, RYOE!E:E), "N/A")</f>
        <v>N/A</v>
      </c>
    </row>
    <row r="80" spans="1:14" ht="15" customHeight="1" x14ac:dyDescent="0.45">
      <c r="A80" s="7">
        <v>2025</v>
      </c>
      <c r="B80" s="5" t="s">
        <v>111</v>
      </c>
      <c r="C80" s="1" t="str">
        <f t="shared" si="2"/>
        <v>Chris Brooks</v>
      </c>
      <c r="D80" s="1" t="str">
        <f t="shared" si="3"/>
        <v>GB</v>
      </c>
      <c r="E80" s="1">
        <v>27</v>
      </c>
      <c r="F80" s="1">
        <v>106</v>
      </c>
      <c r="G80" s="1">
        <v>3.9</v>
      </c>
      <c r="H80" s="1">
        <v>0</v>
      </c>
      <c r="I80">
        <v>0</v>
      </c>
      <c r="J80">
        <v>17</v>
      </c>
      <c r="K80" cm="1">
        <f t="array" ref="K80">IFERROR(_xlfn.XLOOKUP(D80&amp;A80, RBWR!A:A&amp;RBWR!C:C, RBWR!B:B), "N/A")</f>
        <v>71</v>
      </c>
      <c r="L80" t="str" cm="1">
        <f t="array" ref="L80">IFERROR(_xlfn.XLOOKUP(C80&amp;A80, RYOE!A:A&amp;RYOE!F:F, RYOE!C:C), "N/A")</f>
        <v>N/A</v>
      </c>
      <c r="M80" t="str" cm="1">
        <f t="array" ref="M80">IFERROR(_xlfn.XLOOKUP(C80&amp;A80, RYOE!A:A&amp;RYOE!F:F, RYOE!D:D), "N/A")</f>
        <v>N/A</v>
      </c>
      <c r="N80" t="str" cm="1">
        <f t="array" ref="N80">IFERROR(_xlfn.XLOOKUP(C80&amp;A80, RYOE!A:A&amp;RYOE!F:F, RYOE!E:E), "N/A")</f>
        <v>N/A</v>
      </c>
    </row>
    <row r="81" spans="1:14" ht="15" customHeight="1" x14ac:dyDescent="0.45">
      <c r="A81" s="8">
        <v>2025</v>
      </c>
      <c r="B81" s="6" t="s">
        <v>112</v>
      </c>
      <c r="C81" s="2" t="str">
        <f t="shared" si="2"/>
        <v>Antonio Gibson</v>
      </c>
      <c r="D81" s="2" t="str">
        <f t="shared" si="3"/>
        <v>NE</v>
      </c>
      <c r="E81" s="2">
        <v>25</v>
      </c>
      <c r="F81" s="2">
        <v>106</v>
      </c>
      <c r="G81" s="2">
        <v>4.2</v>
      </c>
      <c r="H81" s="2">
        <v>1</v>
      </c>
      <c r="I81">
        <v>1</v>
      </c>
      <c r="J81">
        <v>5</v>
      </c>
      <c r="K81" cm="1">
        <f t="array" ref="K81">IFERROR(_xlfn.XLOOKUP(D81&amp;A81, RBWR!A:A&amp;RBWR!C:C, RBWR!B:B), "N/A")</f>
        <v>72</v>
      </c>
      <c r="L81" t="str" cm="1">
        <f t="array" ref="L81">IFERROR(_xlfn.XLOOKUP(C81&amp;A81, RYOE!A:A&amp;RYOE!F:F, RYOE!C:C), "N/A")</f>
        <v>N/A</v>
      </c>
      <c r="M81" t="str" cm="1">
        <f t="array" ref="M81">IFERROR(_xlfn.XLOOKUP(C81&amp;A81, RYOE!A:A&amp;RYOE!F:F, RYOE!D:D), "N/A")</f>
        <v>N/A</v>
      </c>
      <c r="N81" t="str" cm="1">
        <f t="array" ref="N81">IFERROR(_xlfn.XLOOKUP(C81&amp;A81, RYOE!A:A&amp;RYOE!F:F, RYOE!E:E), "N/A")</f>
        <v>N/A</v>
      </c>
    </row>
    <row r="82" spans="1:14" ht="15" customHeight="1" x14ac:dyDescent="0.45">
      <c r="A82" s="7">
        <v>2025</v>
      </c>
      <c r="B82" s="5" t="s">
        <v>113</v>
      </c>
      <c r="C82" s="1" t="str">
        <f t="shared" si="2"/>
        <v>Raheem Mostert</v>
      </c>
      <c r="D82" s="1" t="str">
        <f t="shared" si="3"/>
        <v>LV</v>
      </c>
      <c r="E82" s="1">
        <v>22</v>
      </c>
      <c r="F82" s="1">
        <v>104</v>
      </c>
      <c r="G82" s="1">
        <v>4.7</v>
      </c>
      <c r="H82" s="1">
        <v>0</v>
      </c>
      <c r="I82">
        <v>0</v>
      </c>
      <c r="J82">
        <v>12</v>
      </c>
      <c r="K82" cm="1">
        <f t="array" ref="K82">IFERROR(_xlfn.XLOOKUP(D82&amp;A82, RBWR!A:A&amp;RBWR!C:C, RBWR!B:B), "N/A")</f>
        <v>70</v>
      </c>
      <c r="L82" t="str" cm="1">
        <f t="array" ref="L82">IFERROR(_xlfn.XLOOKUP(C82&amp;A82, RYOE!A:A&amp;RYOE!F:F, RYOE!C:C), "N/A")</f>
        <v>N/A</v>
      </c>
      <c r="M82" t="str" cm="1">
        <f t="array" ref="M82">IFERROR(_xlfn.XLOOKUP(C82&amp;A82, RYOE!A:A&amp;RYOE!F:F, RYOE!D:D), "N/A")</f>
        <v>N/A</v>
      </c>
      <c r="N82" t="str" cm="1">
        <f t="array" ref="N82">IFERROR(_xlfn.XLOOKUP(C82&amp;A82, RYOE!A:A&amp;RYOE!F:F, RYOE!E:E), "N/A")</f>
        <v>N/A</v>
      </c>
    </row>
    <row r="83" spans="1:14" ht="15" customHeight="1" x14ac:dyDescent="0.45">
      <c r="A83" s="8">
        <v>2025</v>
      </c>
      <c r="B83" s="6" t="s">
        <v>114</v>
      </c>
      <c r="C83" s="2" t="str">
        <f t="shared" si="2"/>
        <v>DJ Giddens</v>
      </c>
      <c r="D83" s="2" t="str">
        <f t="shared" si="3"/>
        <v>IND</v>
      </c>
      <c r="E83" s="2">
        <v>26</v>
      </c>
      <c r="F83" s="2">
        <v>96</v>
      </c>
      <c r="G83" s="2">
        <v>3.7</v>
      </c>
      <c r="H83" s="2">
        <v>0</v>
      </c>
      <c r="I83">
        <v>0</v>
      </c>
      <c r="J83">
        <v>9</v>
      </c>
      <c r="K83" cm="1">
        <f t="array" ref="K83">IFERROR(_xlfn.XLOOKUP(D83&amp;A83, RBWR!A:A&amp;RBWR!C:C, RBWR!B:B), "N/A")</f>
        <v>73</v>
      </c>
      <c r="L83" t="str" cm="1">
        <f t="array" ref="L83">IFERROR(_xlfn.XLOOKUP(C83&amp;A83, RYOE!A:A&amp;RYOE!F:F, RYOE!C:C), "N/A")</f>
        <v>N/A</v>
      </c>
      <c r="M83" t="str" cm="1">
        <f t="array" ref="M83">IFERROR(_xlfn.XLOOKUP(C83&amp;A83, RYOE!A:A&amp;RYOE!F:F, RYOE!D:D), "N/A")</f>
        <v>N/A</v>
      </c>
      <c r="N83" t="str" cm="1">
        <f t="array" ref="N83">IFERROR(_xlfn.XLOOKUP(C83&amp;A83, RYOE!A:A&amp;RYOE!F:F, RYOE!E:E), "N/A")</f>
        <v>N/A</v>
      </c>
    </row>
    <row r="84" spans="1:14" ht="15" customHeight="1" x14ac:dyDescent="0.45">
      <c r="A84" s="7">
        <v>2025</v>
      </c>
      <c r="B84" s="5" t="s">
        <v>115</v>
      </c>
      <c r="C84" s="1" t="str">
        <f t="shared" si="2"/>
        <v>James Conner</v>
      </c>
      <c r="D84" s="1" t="str">
        <f t="shared" si="3"/>
        <v>ARI</v>
      </c>
      <c r="E84" s="1">
        <v>32</v>
      </c>
      <c r="F84" s="1">
        <v>95</v>
      </c>
      <c r="G84" s="1">
        <v>3</v>
      </c>
      <c r="H84" s="1">
        <v>1</v>
      </c>
      <c r="I84">
        <v>0</v>
      </c>
      <c r="J84">
        <v>4</v>
      </c>
      <c r="K84" cm="1">
        <f t="array" ref="K84">IFERROR(_xlfn.XLOOKUP(D84&amp;A84, RBWR!A:A&amp;RBWR!C:C, RBWR!B:B), "N/A")</f>
        <v>71</v>
      </c>
      <c r="L84" t="str" cm="1">
        <f t="array" ref="L84">IFERROR(_xlfn.XLOOKUP(C84&amp;A84, RYOE!A:A&amp;RYOE!F:F, RYOE!C:C), "N/A")</f>
        <v>N/A</v>
      </c>
      <c r="M84" t="str" cm="1">
        <f t="array" ref="M84">IFERROR(_xlfn.XLOOKUP(C84&amp;A84, RYOE!A:A&amp;RYOE!F:F, RYOE!D:D), "N/A")</f>
        <v>N/A</v>
      </c>
      <c r="N84" t="str" cm="1">
        <f t="array" ref="N84">IFERROR(_xlfn.XLOOKUP(C84&amp;A84, RYOE!A:A&amp;RYOE!F:F, RYOE!E:E), "N/A")</f>
        <v>N/A</v>
      </c>
    </row>
    <row r="85" spans="1:14" ht="15" customHeight="1" x14ac:dyDescent="0.45">
      <c r="A85" s="8">
        <v>2025</v>
      </c>
      <c r="B85" s="6" t="s">
        <v>116</v>
      </c>
      <c r="C85" s="2" t="str">
        <f t="shared" si="2"/>
        <v>Trevor Etienne</v>
      </c>
      <c r="D85" s="2" t="str">
        <f t="shared" si="3"/>
        <v>CAR</v>
      </c>
      <c r="E85" s="2">
        <v>20</v>
      </c>
      <c r="F85" s="2">
        <v>94</v>
      </c>
      <c r="G85" s="2">
        <v>4.7</v>
      </c>
      <c r="H85" s="2">
        <v>0</v>
      </c>
      <c r="I85">
        <v>1</v>
      </c>
      <c r="J85">
        <v>17</v>
      </c>
      <c r="K85" cm="1">
        <f t="array" ref="K85">IFERROR(_xlfn.XLOOKUP(D85&amp;A85, RBWR!A:A&amp;RBWR!C:C, RBWR!B:B), "N/A")</f>
        <v>70</v>
      </c>
      <c r="L85" t="str" cm="1">
        <f t="array" ref="L85">IFERROR(_xlfn.XLOOKUP(C85&amp;A85, RYOE!A:A&amp;RYOE!F:F, RYOE!C:C), "N/A")</f>
        <v>N/A</v>
      </c>
      <c r="M85" t="str" cm="1">
        <f t="array" ref="M85">IFERROR(_xlfn.XLOOKUP(C85&amp;A85, RYOE!A:A&amp;RYOE!F:F, RYOE!D:D), "N/A")</f>
        <v>N/A</v>
      </c>
      <c r="N85" t="str" cm="1">
        <f t="array" ref="N85">IFERROR(_xlfn.XLOOKUP(C85&amp;A85, RYOE!A:A&amp;RYOE!F:F, RYOE!E:E), "N/A")</f>
        <v>N/A</v>
      </c>
    </row>
    <row r="86" spans="1:14" ht="15" customHeight="1" x14ac:dyDescent="0.45">
      <c r="A86" s="7">
        <v>2025</v>
      </c>
      <c r="B86" s="5" t="s">
        <v>117</v>
      </c>
      <c r="C86" s="1" t="str">
        <f t="shared" si="2"/>
        <v>LeQuint Allen Jr.</v>
      </c>
      <c r="D86" s="1" t="str">
        <f t="shared" si="3"/>
        <v>JAC</v>
      </c>
      <c r="E86" s="1">
        <v>23</v>
      </c>
      <c r="F86" s="1">
        <v>94</v>
      </c>
      <c r="G86" s="1">
        <v>4.0999999999999996</v>
      </c>
      <c r="H86" s="1">
        <v>0</v>
      </c>
      <c r="I86">
        <v>0</v>
      </c>
      <c r="J86">
        <v>17</v>
      </c>
      <c r="K86" cm="1">
        <f t="array" ref="K86">IFERROR(_xlfn.XLOOKUP(D86&amp;A86, RBWR!A:A&amp;RBWR!C:C, RBWR!B:B), "N/A")</f>
        <v>73</v>
      </c>
      <c r="L86" t="str" cm="1">
        <f t="array" ref="L86">IFERROR(_xlfn.XLOOKUP(C86&amp;A86, RYOE!A:A&amp;RYOE!F:F, RYOE!C:C), "N/A")</f>
        <v>N/A</v>
      </c>
      <c r="M86" t="str" cm="1">
        <f t="array" ref="M86">IFERROR(_xlfn.XLOOKUP(C86&amp;A86, RYOE!A:A&amp;RYOE!F:F, RYOE!D:D), "N/A")</f>
        <v>N/A</v>
      </c>
      <c r="N86" t="str" cm="1">
        <f t="array" ref="N86">IFERROR(_xlfn.XLOOKUP(C86&amp;A86, RYOE!A:A&amp;RYOE!F:F, RYOE!E:E), "N/A")</f>
        <v>N/A</v>
      </c>
    </row>
    <row r="87" spans="1:14" ht="15" customHeight="1" x14ac:dyDescent="0.45">
      <c r="A87" s="8">
        <v>2025</v>
      </c>
      <c r="B87" s="6" t="s">
        <v>118</v>
      </c>
      <c r="C87" s="2" t="str">
        <f t="shared" si="2"/>
        <v>Justice Hill</v>
      </c>
      <c r="D87" s="2" t="str">
        <f t="shared" si="3"/>
        <v>BAL</v>
      </c>
      <c r="E87" s="2">
        <v>18</v>
      </c>
      <c r="F87" s="2">
        <v>93</v>
      </c>
      <c r="G87" s="2">
        <v>5.2</v>
      </c>
      <c r="H87" s="2">
        <v>2</v>
      </c>
      <c r="I87">
        <v>0</v>
      </c>
      <c r="J87">
        <v>10</v>
      </c>
      <c r="K87" cm="1">
        <f t="array" ref="K87">IFERROR(_xlfn.XLOOKUP(D87&amp;A87, RBWR!A:A&amp;RBWR!C:C, RBWR!B:B), "N/A")</f>
        <v>71</v>
      </c>
      <c r="L87" t="str" cm="1">
        <f t="array" ref="L87">IFERROR(_xlfn.XLOOKUP(C87&amp;A87, RYOE!A:A&amp;RYOE!F:F, RYOE!C:C), "N/A")</f>
        <v>N/A</v>
      </c>
      <c r="M87" t="str" cm="1">
        <f t="array" ref="M87">IFERROR(_xlfn.XLOOKUP(C87&amp;A87, RYOE!A:A&amp;RYOE!F:F, RYOE!D:D), "N/A")</f>
        <v>N/A</v>
      </c>
      <c r="N87" t="str" cm="1">
        <f t="array" ref="N87">IFERROR(_xlfn.XLOOKUP(C87&amp;A87, RYOE!A:A&amp;RYOE!F:F, RYOE!E:E), "N/A")</f>
        <v>N/A</v>
      </c>
    </row>
    <row r="88" spans="1:14" ht="15" customHeight="1" x14ac:dyDescent="0.45">
      <c r="A88" s="7">
        <v>2025</v>
      </c>
      <c r="B88" s="5" t="s">
        <v>119</v>
      </c>
      <c r="C88" s="1" t="str">
        <f t="shared" si="2"/>
        <v>Raheim Sanders</v>
      </c>
      <c r="D88" s="1" t="str">
        <f t="shared" si="3"/>
        <v>CLE</v>
      </c>
      <c r="E88" s="1">
        <v>27</v>
      </c>
      <c r="F88" s="1">
        <v>92</v>
      </c>
      <c r="G88" s="1">
        <v>3.4</v>
      </c>
      <c r="H88" s="1">
        <v>1</v>
      </c>
      <c r="I88">
        <v>0</v>
      </c>
      <c r="J88">
        <v>5</v>
      </c>
      <c r="K88" cm="1">
        <f t="array" ref="K88">IFERROR(_xlfn.XLOOKUP(D88&amp;A88, RBWR!A:A&amp;RBWR!C:C, RBWR!B:B), "N/A")</f>
        <v>70</v>
      </c>
      <c r="L88" t="str" cm="1">
        <f t="array" ref="L88">IFERROR(_xlfn.XLOOKUP(C88&amp;A88, RYOE!A:A&amp;RYOE!F:F, RYOE!C:C), "N/A")</f>
        <v>N/A</v>
      </c>
      <c r="M88" t="str" cm="1">
        <f t="array" ref="M88">IFERROR(_xlfn.XLOOKUP(C88&amp;A88, RYOE!A:A&amp;RYOE!F:F, RYOE!D:D), "N/A")</f>
        <v>N/A</v>
      </c>
      <c r="N88" t="str" cm="1">
        <f t="array" ref="N88">IFERROR(_xlfn.XLOOKUP(C88&amp;A88, RYOE!A:A&amp;RYOE!F:F, RYOE!E:E), "N/A")</f>
        <v>N/A</v>
      </c>
    </row>
    <row r="89" spans="1:14" ht="15" customHeight="1" x14ac:dyDescent="0.45">
      <c r="A89" s="8">
        <v>2025</v>
      </c>
      <c r="B89" s="6" t="s">
        <v>120</v>
      </c>
      <c r="C89" s="2" t="str">
        <f t="shared" si="2"/>
        <v>British Brooks</v>
      </c>
      <c r="D89" s="2" t="str">
        <f t="shared" si="3"/>
        <v>HOU</v>
      </c>
      <c r="E89" s="2">
        <v>17</v>
      </c>
      <c r="F89" s="2">
        <v>78</v>
      </c>
      <c r="G89" s="2">
        <v>4.5999999999999996</v>
      </c>
      <c r="H89" s="2">
        <v>0</v>
      </c>
      <c r="I89">
        <v>0</v>
      </c>
      <c r="J89">
        <v>13</v>
      </c>
      <c r="K89" cm="1">
        <f t="array" ref="K89">IFERROR(_xlfn.XLOOKUP(D89&amp;A89, RBWR!A:A&amp;RBWR!C:C, RBWR!B:B), "N/A")</f>
        <v>68</v>
      </c>
      <c r="L89" t="str" cm="1">
        <f t="array" ref="L89">IFERROR(_xlfn.XLOOKUP(C89&amp;A89, RYOE!A:A&amp;RYOE!F:F, RYOE!C:C), "N/A")</f>
        <v>N/A</v>
      </c>
      <c r="M89" t="str" cm="1">
        <f t="array" ref="M89">IFERROR(_xlfn.XLOOKUP(C89&amp;A89, RYOE!A:A&amp;RYOE!F:F, RYOE!D:D), "N/A")</f>
        <v>N/A</v>
      </c>
      <c r="N89" t="str" cm="1">
        <f t="array" ref="N89">IFERROR(_xlfn.XLOOKUP(C89&amp;A89, RYOE!A:A&amp;RYOE!F:F, RYOE!E:E), "N/A")</f>
        <v>N/A</v>
      </c>
    </row>
    <row r="90" spans="1:14" ht="15" customHeight="1" x14ac:dyDescent="0.45">
      <c r="A90" s="7">
        <v>2025</v>
      </c>
      <c r="B90" s="5" t="s">
        <v>121</v>
      </c>
      <c r="C90" s="1" t="str">
        <f t="shared" si="2"/>
        <v>Braelon Allen</v>
      </c>
      <c r="D90" s="1" t="str">
        <f t="shared" si="3"/>
        <v>NYJ</v>
      </c>
      <c r="E90" s="1">
        <v>18</v>
      </c>
      <c r="F90" s="1">
        <v>76</v>
      </c>
      <c r="G90" s="1">
        <v>4.2</v>
      </c>
      <c r="H90" s="1">
        <v>1</v>
      </c>
      <c r="I90">
        <v>1</v>
      </c>
      <c r="J90">
        <v>4</v>
      </c>
      <c r="K90" cm="1">
        <f t="array" ref="K90">IFERROR(_xlfn.XLOOKUP(D90&amp;A90, RBWR!A:A&amp;RBWR!C:C, RBWR!B:B), "N/A")</f>
        <v>71</v>
      </c>
      <c r="L90" t="str" cm="1">
        <f t="array" ref="L90">IFERROR(_xlfn.XLOOKUP(C90&amp;A90, RYOE!A:A&amp;RYOE!F:F, RYOE!C:C), "N/A")</f>
        <v>N/A</v>
      </c>
      <c r="M90" t="str" cm="1">
        <f t="array" ref="M90">IFERROR(_xlfn.XLOOKUP(C90&amp;A90, RYOE!A:A&amp;RYOE!F:F, RYOE!D:D), "N/A")</f>
        <v>N/A</v>
      </c>
      <c r="N90" t="str" cm="1">
        <f t="array" ref="N90">IFERROR(_xlfn.XLOOKUP(C90&amp;A90, RYOE!A:A&amp;RYOE!F:F, RYOE!E:E), "N/A")</f>
        <v>N/A</v>
      </c>
    </row>
    <row r="91" spans="1:14" ht="15" customHeight="1" x14ac:dyDescent="0.45">
      <c r="A91" s="8">
        <v>2025</v>
      </c>
      <c r="B91" s="6" t="s">
        <v>122</v>
      </c>
      <c r="C91" s="2" t="str">
        <f t="shared" si="2"/>
        <v>Terrell Jennings</v>
      </c>
      <c r="D91" s="2" t="str">
        <f t="shared" si="3"/>
        <v>NE</v>
      </c>
      <c r="E91" s="2">
        <v>23</v>
      </c>
      <c r="F91" s="2">
        <v>73</v>
      </c>
      <c r="G91" s="2">
        <v>3.2</v>
      </c>
      <c r="H91" s="2">
        <v>1</v>
      </c>
      <c r="I91">
        <v>0</v>
      </c>
      <c r="J91">
        <v>6</v>
      </c>
      <c r="K91" cm="1">
        <f t="array" ref="K91">IFERROR(_xlfn.XLOOKUP(D91&amp;A91, RBWR!A:A&amp;RBWR!C:C, RBWR!B:B), "N/A")</f>
        <v>72</v>
      </c>
      <c r="L91" t="str" cm="1">
        <f t="array" ref="L91">IFERROR(_xlfn.XLOOKUP(C91&amp;A91, RYOE!A:A&amp;RYOE!F:F, RYOE!C:C), "N/A")</f>
        <v>N/A</v>
      </c>
      <c r="M91" t="str" cm="1">
        <f t="array" ref="M91">IFERROR(_xlfn.XLOOKUP(C91&amp;A91, RYOE!A:A&amp;RYOE!F:F, RYOE!D:D), "N/A")</f>
        <v>N/A</v>
      </c>
      <c r="N91" t="str" cm="1">
        <f t="array" ref="N91">IFERROR(_xlfn.XLOOKUP(C91&amp;A91, RYOE!A:A&amp;RYOE!F:F, RYOE!E:E), "N/A")</f>
        <v>N/A</v>
      </c>
    </row>
    <row r="92" spans="1:14" ht="15" customHeight="1" x14ac:dyDescent="0.45">
      <c r="A92" s="7">
        <v>2025</v>
      </c>
      <c r="B92" s="5" t="s">
        <v>123</v>
      </c>
      <c r="C92" s="1" t="str">
        <f t="shared" si="2"/>
        <v>Jerome Ford</v>
      </c>
      <c r="D92" s="1" t="str">
        <f t="shared" si="3"/>
        <v>CLE</v>
      </c>
      <c r="E92" s="1">
        <v>24</v>
      </c>
      <c r="F92" s="1">
        <v>73</v>
      </c>
      <c r="G92" s="1">
        <v>3</v>
      </c>
      <c r="H92" s="1">
        <v>0</v>
      </c>
      <c r="I92">
        <v>0</v>
      </c>
      <c r="J92">
        <v>13</v>
      </c>
      <c r="K92" cm="1">
        <f t="array" ref="K92">IFERROR(_xlfn.XLOOKUP(D92&amp;A92, RBWR!A:A&amp;RBWR!C:C, RBWR!B:B), "N/A")</f>
        <v>70</v>
      </c>
      <c r="L92" t="str" cm="1">
        <f t="array" ref="L92">IFERROR(_xlfn.XLOOKUP(C92&amp;A92, RYOE!A:A&amp;RYOE!F:F, RYOE!C:C), "N/A")</f>
        <v>N/A</v>
      </c>
      <c r="M92" t="str" cm="1">
        <f t="array" ref="M92">IFERROR(_xlfn.XLOOKUP(C92&amp;A92, RYOE!A:A&amp;RYOE!F:F, RYOE!D:D), "N/A")</f>
        <v>N/A</v>
      </c>
      <c r="N92" t="str" cm="1">
        <f t="array" ref="N92">IFERROR(_xlfn.XLOOKUP(C92&amp;A92, RYOE!A:A&amp;RYOE!F:F, RYOE!E:E), "N/A")</f>
        <v>N/A</v>
      </c>
    </row>
    <row r="93" spans="1:14" ht="15" customHeight="1" x14ac:dyDescent="0.45">
      <c r="A93" s="8">
        <v>2025</v>
      </c>
      <c r="B93" s="6" t="s">
        <v>124</v>
      </c>
      <c r="C93" s="2" t="str">
        <f t="shared" si="2"/>
        <v>George Holani</v>
      </c>
      <c r="D93" s="2" t="str">
        <f t="shared" si="3"/>
        <v>SEA</v>
      </c>
      <c r="E93" s="2">
        <v>22</v>
      </c>
      <c r="F93" s="2">
        <v>73</v>
      </c>
      <c r="G93" s="2">
        <v>3.3</v>
      </c>
      <c r="H93" s="2">
        <v>1</v>
      </c>
      <c r="I93">
        <v>1</v>
      </c>
      <c r="J93">
        <v>10</v>
      </c>
      <c r="K93" cm="1">
        <f t="array" ref="K93">IFERROR(_xlfn.XLOOKUP(D93&amp;A93, RBWR!A:A&amp;RBWR!C:C, RBWR!B:B), "N/A")</f>
        <v>73</v>
      </c>
      <c r="L93" t="str" cm="1">
        <f t="array" ref="L93">IFERROR(_xlfn.XLOOKUP(C93&amp;A93, RYOE!A:A&amp;RYOE!F:F, RYOE!C:C), "N/A")</f>
        <v>N/A</v>
      </c>
      <c r="M93" t="str" cm="1">
        <f t="array" ref="M93">IFERROR(_xlfn.XLOOKUP(C93&amp;A93, RYOE!A:A&amp;RYOE!F:F, RYOE!D:D), "N/A")</f>
        <v>N/A</v>
      </c>
      <c r="N93" t="str" cm="1">
        <f t="array" ref="N93">IFERROR(_xlfn.XLOOKUP(C93&amp;A93, RYOE!A:A&amp;RYOE!F:F, RYOE!E:E), "N/A")</f>
        <v>N/A</v>
      </c>
    </row>
    <row r="94" spans="1:14" ht="15" customHeight="1" x14ac:dyDescent="0.45">
      <c r="A94" s="7">
        <v>2025</v>
      </c>
      <c r="B94" s="5" t="s">
        <v>125</v>
      </c>
      <c r="C94" s="1" t="str">
        <f t="shared" si="2"/>
        <v>Hunter Luepke</v>
      </c>
      <c r="D94" s="1" t="str">
        <f t="shared" si="3"/>
        <v>DAL</v>
      </c>
      <c r="E94" s="1">
        <v>16</v>
      </c>
      <c r="F94" s="1">
        <v>71</v>
      </c>
      <c r="G94" s="1">
        <v>4.4000000000000004</v>
      </c>
      <c r="H94" s="1">
        <v>0</v>
      </c>
      <c r="I94">
        <v>0</v>
      </c>
      <c r="J94">
        <v>17</v>
      </c>
      <c r="K94" cm="1">
        <f t="array" ref="K94">IFERROR(_xlfn.XLOOKUP(D94&amp;A94, RBWR!A:A&amp;RBWR!C:C, RBWR!B:B), "N/A")</f>
        <v>72</v>
      </c>
      <c r="L94" t="str" cm="1">
        <f t="array" ref="L94">IFERROR(_xlfn.XLOOKUP(C94&amp;A94, RYOE!A:A&amp;RYOE!F:F, RYOE!C:C), "N/A")</f>
        <v>N/A</v>
      </c>
      <c r="M94" t="str" cm="1">
        <f t="array" ref="M94">IFERROR(_xlfn.XLOOKUP(C94&amp;A94, RYOE!A:A&amp;RYOE!F:F, RYOE!D:D), "N/A")</f>
        <v>N/A</v>
      </c>
      <c r="N94" t="str" cm="1">
        <f t="array" ref="N94">IFERROR(_xlfn.XLOOKUP(C94&amp;A94, RYOE!A:A&amp;RYOE!F:F, RYOE!E:E), "N/A")</f>
        <v>N/A</v>
      </c>
    </row>
    <row r="95" spans="1:14" ht="15" customHeight="1" x14ac:dyDescent="0.45">
      <c r="A95" s="8">
        <v>2025</v>
      </c>
      <c r="B95" s="6" t="s">
        <v>126</v>
      </c>
      <c r="C95" s="2" t="str">
        <f t="shared" si="2"/>
        <v>Kaleb Johnson</v>
      </c>
      <c r="D95" s="2" t="str">
        <f t="shared" si="3"/>
        <v>PIT</v>
      </c>
      <c r="E95" s="2">
        <v>28</v>
      </c>
      <c r="F95" s="2">
        <v>69</v>
      </c>
      <c r="G95" s="2">
        <v>2.5</v>
      </c>
      <c r="H95" s="2">
        <v>0</v>
      </c>
      <c r="I95">
        <v>0</v>
      </c>
      <c r="J95">
        <v>10</v>
      </c>
      <c r="K95" cm="1">
        <f t="array" ref="K95">IFERROR(_xlfn.XLOOKUP(D95&amp;A95, RBWR!A:A&amp;RBWR!C:C, RBWR!B:B), "N/A")</f>
        <v>72</v>
      </c>
      <c r="L95" t="str" cm="1">
        <f t="array" ref="L95">IFERROR(_xlfn.XLOOKUP(C95&amp;A95, RYOE!A:A&amp;RYOE!F:F, RYOE!C:C), "N/A")</f>
        <v>N/A</v>
      </c>
      <c r="M95" t="str" cm="1">
        <f t="array" ref="M95">IFERROR(_xlfn.XLOOKUP(C95&amp;A95, RYOE!A:A&amp;RYOE!F:F, RYOE!D:D), "N/A")</f>
        <v>N/A</v>
      </c>
      <c r="N95" t="str" cm="1">
        <f t="array" ref="N95">IFERROR(_xlfn.XLOOKUP(C95&amp;A95, RYOE!A:A&amp;RYOE!F:F, RYOE!E:E), "N/A")</f>
        <v>N/A</v>
      </c>
    </row>
    <row r="96" spans="1:14" ht="15" customHeight="1" x14ac:dyDescent="0.45">
      <c r="A96" s="7">
        <v>2025</v>
      </c>
      <c r="B96" s="5" t="s">
        <v>127</v>
      </c>
      <c r="C96" s="1" t="str">
        <f t="shared" si="2"/>
        <v>Najee Harris</v>
      </c>
      <c r="D96" s="1" t="str">
        <f t="shared" si="3"/>
        <v>LAC</v>
      </c>
      <c r="E96" s="1">
        <v>15</v>
      </c>
      <c r="F96" s="1">
        <v>61</v>
      </c>
      <c r="G96" s="1">
        <v>4.0999999999999996</v>
      </c>
      <c r="H96" s="1">
        <v>0</v>
      </c>
      <c r="I96">
        <v>0</v>
      </c>
      <c r="J96">
        <v>3</v>
      </c>
      <c r="K96" cm="1">
        <f t="array" ref="K96">IFERROR(_xlfn.XLOOKUP(D96&amp;A96, RBWR!A:A&amp;RBWR!C:C, RBWR!B:B), "N/A")</f>
        <v>69</v>
      </c>
      <c r="L96" t="str" cm="1">
        <f t="array" ref="L96">IFERROR(_xlfn.XLOOKUP(C96&amp;A96, RYOE!A:A&amp;RYOE!F:F, RYOE!C:C), "N/A")</f>
        <v>N/A</v>
      </c>
      <c r="M96" t="str" cm="1">
        <f t="array" ref="M96">IFERROR(_xlfn.XLOOKUP(C96&amp;A96, RYOE!A:A&amp;RYOE!F:F, RYOE!D:D), "N/A")</f>
        <v>N/A</v>
      </c>
      <c r="N96" t="str" cm="1">
        <f t="array" ref="N96">IFERROR(_xlfn.XLOOKUP(C96&amp;A96, RYOE!A:A&amp;RYOE!F:F, RYOE!E:E), "N/A")</f>
        <v>N/A</v>
      </c>
    </row>
    <row r="97" spans="1:14" ht="15" customHeight="1" x14ac:dyDescent="0.45">
      <c r="A97" s="8">
        <v>2025</v>
      </c>
      <c r="B97" s="6" t="s">
        <v>128</v>
      </c>
      <c r="C97" s="2" t="str">
        <f t="shared" si="2"/>
        <v>Nathan Carter</v>
      </c>
      <c r="D97" s="2" t="str">
        <f t="shared" si="3"/>
        <v>ATL</v>
      </c>
      <c r="E97" s="2">
        <v>9</v>
      </c>
      <c r="F97" s="2">
        <v>60</v>
      </c>
      <c r="G97" s="2">
        <v>6.7</v>
      </c>
      <c r="H97" s="2">
        <v>0</v>
      </c>
      <c r="I97">
        <v>1</v>
      </c>
      <c r="J97">
        <v>4</v>
      </c>
      <c r="K97" cm="1">
        <f t="array" ref="K97">IFERROR(_xlfn.XLOOKUP(D97&amp;A97, RBWR!A:A&amp;RBWR!C:C, RBWR!B:B), "N/A")</f>
        <v>70</v>
      </c>
      <c r="L97" t="str" cm="1">
        <f t="array" ref="L97">IFERROR(_xlfn.XLOOKUP(C97&amp;A97, RYOE!A:A&amp;RYOE!F:F, RYOE!C:C), "N/A")</f>
        <v>N/A</v>
      </c>
      <c r="M97" t="str" cm="1">
        <f t="array" ref="M97">IFERROR(_xlfn.XLOOKUP(C97&amp;A97, RYOE!A:A&amp;RYOE!F:F, RYOE!D:D), "N/A")</f>
        <v>N/A</v>
      </c>
      <c r="N97" t="str" cm="1">
        <f t="array" ref="N97">IFERROR(_xlfn.XLOOKUP(C97&amp;A97, RYOE!A:A&amp;RYOE!F:F, RYOE!E:E), "N/A")</f>
        <v>N/A</v>
      </c>
    </row>
    <row r="98" spans="1:14" ht="15" customHeight="1" x14ac:dyDescent="0.45">
      <c r="A98" s="7">
        <v>2025</v>
      </c>
      <c r="B98" s="5" t="s">
        <v>129</v>
      </c>
      <c r="C98" s="1" t="str">
        <f t="shared" si="2"/>
        <v>Ameer Abdullah</v>
      </c>
      <c r="D98" s="1" t="str">
        <f t="shared" si="3"/>
        <v>IND</v>
      </c>
      <c r="E98" s="1">
        <v>14</v>
      </c>
      <c r="F98" s="1">
        <v>60</v>
      </c>
      <c r="G98" s="1">
        <v>4.3</v>
      </c>
      <c r="H98" s="1">
        <v>1</v>
      </c>
      <c r="I98">
        <v>1</v>
      </c>
      <c r="J98">
        <v>13</v>
      </c>
      <c r="K98" cm="1">
        <f t="array" ref="K98">IFERROR(_xlfn.XLOOKUP(D98&amp;A98, RBWR!A:A&amp;RBWR!C:C, RBWR!B:B), "N/A")</f>
        <v>73</v>
      </c>
      <c r="L98" t="str" cm="1">
        <f t="array" ref="L98">IFERROR(_xlfn.XLOOKUP(C98&amp;A98, RYOE!A:A&amp;RYOE!F:F, RYOE!C:C), "N/A")</f>
        <v>N/A</v>
      </c>
      <c r="M98" t="str" cm="1">
        <f t="array" ref="M98">IFERROR(_xlfn.XLOOKUP(C98&amp;A98, RYOE!A:A&amp;RYOE!F:F, RYOE!D:D), "N/A")</f>
        <v>N/A</v>
      </c>
      <c r="N98" t="str" cm="1">
        <f t="array" ref="N98">IFERROR(_xlfn.XLOOKUP(C98&amp;A98, RYOE!A:A&amp;RYOE!F:F, RYOE!E:E), "N/A")</f>
        <v>N/A</v>
      </c>
    </row>
    <row r="99" spans="1:14" ht="15" customHeight="1" x14ac:dyDescent="0.45">
      <c r="A99" s="8">
        <v>2025</v>
      </c>
      <c r="B99" s="6" t="s">
        <v>130</v>
      </c>
      <c r="C99" s="2" t="str">
        <f t="shared" si="2"/>
        <v>AJ Dillon</v>
      </c>
      <c r="D99" s="2" t="str">
        <f t="shared" si="3"/>
        <v>PHI</v>
      </c>
      <c r="E99" s="2">
        <v>12</v>
      </c>
      <c r="F99" s="2">
        <v>60</v>
      </c>
      <c r="G99" s="2">
        <v>5</v>
      </c>
      <c r="H99" s="2">
        <v>0</v>
      </c>
      <c r="I99">
        <v>1</v>
      </c>
      <c r="J99">
        <v>7</v>
      </c>
      <c r="K99" cm="1">
        <f t="array" ref="K99">IFERROR(_xlfn.XLOOKUP(D99&amp;A99, RBWR!A:A&amp;RBWR!C:C, RBWR!B:B), "N/A")</f>
        <v>71</v>
      </c>
      <c r="L99" t="str" cm="1">
        <f t="array" ref="L99">IFERROR(_xlfn.XLOOKUP(C99&amp;A99, RYOE!A:A&amp;RYOE!F:F, RYOE!C:C), "N/A")</f>
        <v>N/A</v>
      </c>
      <c r="M99" t="str" cm="1">
        <f t="array" ref="M99">IFERROR(_xlfn.XLOOKUP(C99&amp;A99, RYOE!A:A&amp;RYOE!F:F, RYOE!D:D), "N/A")</f>
        <v>N/A</v>
      </c>
      <c r="N99" t="str" cm="1">
        <f t="array" ref="N99">IFERROR(_xlfn.XLOOKUP(C99&amp;A99, RYOE!A:A&amp;RYOE!F:F, RYOE!E:E), "N/A")</f>
        <v>N/A</v>
      </c>
    </row>
    <row r="100" spans="1:14" ht="15" customHeight="1" x14ac:dyDescent="0.45">
      <c r="A100" s="7">
        <v>2025</v>
      </c>
      <c r="B100" s="5" t="s">
        <v>131</v>
      </c>
      <c r="C100" s="1" t="str">
        <f t="shared" si="2"/>
        <v>Corey Kiner</v>
      </c>
      <c r="D100" s="1" t="str">
        <f t="shared" si="3"/>
        <v>ARI</v>
      </c>
      <c r="E100" s="1">
        <v>12</v>
      </c>
      <c r="F100" s="1">
        <v>58</v>
      </c>
      <c r="G100" s="1">
        <v>4.8</v>
      </c>
      <c r="H100" s="1">
        <v>0</v>
      </c>
      <c r="I100">
        <v>0</v>
      </c>
      <c r="J100">
        <v>4</v>
      </c>
      <c r="K100" cm="1">
        <f t="array" ref="K100">IFERROR(_xlfn.XLOOKUP(D100&amp;A100, RBWR!A:A&amp;RBWR!C:C, RBWR!B:B), "N/A")</f>
        <v>71</v>
      </c>
      <c r="L100" t="str" cm="1">
        <f t="array" ref="L100">IFERROR(_xlfn.XLOOKUP(C100&amp;A100, RYOE!A:A&amp;RYOE!F:F, RYOE!C:C), "N/A")</f>
        <v>N/A</v>
      </c>
      <c r="M100" t="str" cm="1">
        <f t="array" ref="M100">IFERROR(_xlfn.XLOOKUP(C100&amp;A100, RYOE!A:A&amp;RYOE!F:F, RYOE!D:D), "N/A")</f>
        <v>N/A</v>
      </c>
      <c r="N100" t="str" cm="1">
        <f t="array" ref="N100">IFERROR(_xlfn.XLOOKUP(C100&amp;A100, RYOE!A:A&amp;RYOE!F:F, RYOE!E:E), "N/A")</f>
        <v>N/A</v>
      </c>
    </row>
    <row r="101" spans="1:14" ht="15" customHeight="1" x14ac:dyDescent="0.45">
      <c r="A101" s="8">
        <v>2025</v>
      </c>
      <c r="B101" s="6" t="s">
        <v>132</v>
      </c>
      <c r="C101" s="2" t="str">
        <f t="shared" si="2"/>
        <v>Khalil Herbert</v>
      </c>
      <c r="D101" s="2" t="str">
        <f t="shared" si="3"/>
        <v>NYJ</v>
      </c>
      <c r="E101" s="2">
        <v>16</v>
      </c>
      <c r="F101" s="2">
        <v>52</v>
      </c>
      <c r="G101" s="2">
        <v>3.3</v>
      </c>
      <c r="H101" s="2">
        <v>0</v>
      </c>
      <c r="I101">
        <v>0</v>
      </c>
      <c r="J101">
        <v>5</v>
      </c>
      <c r="K101" cm="1">
        <f t="array" ref="K101">IFERROR(_xlfn.XLOOKUP(D101&amp;A101, RBWR!A:A&amp;RBWR!C:C, RBWR!B:B), "N/A")</f>
        <v>71</v>
      </c>
      <c r="L101" t="str" cm="1">
        <f t="array" ref="L101">IFERROR(_xlfn.XLOOKUP(C101&amp;A101, RYOE!A:A&amp;RYOE!F:F, RYOE!C:C), "N/A")</f>
        <v>N/A</v>
      </c>
      <c r="M101" t="str" cm="1">
        <f t="array" ref="M101">IFERROR(_xlfn.XLOOKUP(C101&amp;A101, RYOE!A:A&amp;RYOE!F:F, RYOE!D:D), "N/A")</f>
        <v>N/A</v>
      </c>
      <c r="N101" t="str" cm="1">
        <f t="array" ref="N101">IFERROR(_xlfn.XLOOKUP(C101&amp;A101, RYOE!A:A&amp;RYOE!F:F, RYOE!E:E), "N/A")</f>
        <v>N/A</v>
      </c>
    </row>
    <row r="102" spans="1:14" ht="15" customHeight="1" x14ac:dyDescent="0.45">
      <c r="A102" s="7">
        <v>2025</v>
      </c>
      <c r="B102" s="5" t="s">
        <v>133</v>
      </c>
      <c r="C102" s="1" t="str">
        <f t="shared" si="2"/>
        <v>Will Shipley</v>
      </c>
      <c r="D102" s="1" t="str">
        <f t="shared" si="3"/>
        <v>PHI</v>
      </c>
      <c r="E102" s="1">
        <v>14</v>
      </c>
      <c r="F102" s="1">
        <v>49</v>
      </c>
      <c r="G102" s="1">
        <v>3.5</v>
      </c>
      <c r="H102" s="1">
        <v>0</v>
      </c>
      <c r="I102">
        <v>1</v>
      </c>
      <c r="J102">
        <v>15</v>
      </c>
      <c r="K102" cm="1">
        <f t="array" ref="K102">IFERROR(_xlfn.XLOOKUP(D102&amp;A102, RBWR!A:A&amp;RBWR!C:C, RBWR!B:B), "N/A")</f>
        <v>71</v>
      </c>
      <c r="L102" t="str" cm="1">
        <f t="array" ref="L102">IFERROR(_xlfn.XLOOKUP(C102&amp;A102, RYOE!A:A&amp;RYOE!F:F, RYOE!C:C), "N/A")</f>
        <v>N/A</v>
      </c>
      <c r="M102" t="str" cm="1">
        <f t="array" ref="M102">IFERROR(_xlfn.XLOOKUP(C102&amp;A102, RYOE!A:A&amp;RYOE!F:F, RYOE!D:D), "N/A")</f>
        <v>N/A</v>
      </c>
      <c r="N102" t="str" cm="1">
        <f t="array" ref="N102">IFERROR(_xlfn.XLOOKUP(C102&amp;A102, RYOE!A:A&amp;RYOE!F:F, RYOE!E:E), "N/A")</f>
        <v>N/A</v>
      </c>
    </row>
    <row r="103" spans="1:14" ht="15" customHeight="1" x14ac:dyDescent="0.45">
      <c r="A103" s="8">
        <v>2025</v>
      </c>
      <c r="B103" s="6" t="s">
        <v>134</v>
      </c>
      <c r="C103" s="2" t="str">
        <f t="shared" si="2"/>
        <v>Kene Nwangwu</v>
      </c>
      <c r="D103" s="2" t="str">
        <f t="shared" si="3"/>
        <v>NYJ</v>
      </c>
      <c r="E103" s="2">
        <v>13</v>
      </c>
      <c r="F103" s="2">
        <v>49</v>
      </c>
      <c r="G103" s="2">
        <v>3.8</v>
      </c>
      <c r="H103" s="2">
        <v>0</v>
      </c>
      <c r="I103">
        <v>0</v>
      </c>
      <c r="J103">
        <v>10</v>
      </c>
      <c r="K103" cm="1">
        <f t="array" ref="K103">IFERROR(_xlfn.XLOOKUP(D103&amp;A103, RBWR!A:A&amp;RBWR!C:C, RBWR!B:B), "N/A")</f>
        <v>71</v>
      </c>
      <c r="L103" t="str" cm="1">
        <f t="array" ref="L103">IFERROR(_xlfn.XLOOKUP(C103&amp;A103, RYOE!A:A&amp;RYOE!F:F, RYOE!C:C), "N/A")</f>
        <v>N/A</v>
      </c>
      <c r="M103" t="str" cm="1">
        <f t="array" ref="M103">IFERROR(_xlfn.XLOOKUP(C103&amp;A103, RYOE!A:A&amp;RYOE!F:F, RYOE!D:D), "N/A")</f>
        <v>N/A</v>
      </c>
      <c r="N103" t="str" cm="1">
        <f t="array" ref="N103">IFERROR(_xlfn.XLOOKUP(C103&amp;A103, RYOE!A:A&amp;RYOE!F:F, RYOE!E:E), "N/A")</f>
        <v>N/A</v>
      </c>
    </row>
    <row r="104" spans="1:14" ht="15" customHeight="1" x14ac:dyDescent="0.45">
      <c r="A104" s="7">
        <v>2025</v>
      </c>
      <c r="B104" s="5" t="s">
        <v>135</v>
      </c>
      <c r="C104" s="1" t="str">
        <f t="shared" si="2"/>
        <v>Evan Hull</v>
      </c>
      <c r="D104" s="1" t="str">
        <f t="shared" si="3"/>
        <v>NO</v>
      </c>
      <c r="E104" s="1">
        <v>19</v>
      </c>
      <c r="F104" s="1">
        <v>48</v>
      </c>
      <c r="G104" s="1">
        <v>2.5</v>
      </c>
      <c r="H104" s="1">
        <v>0</v>
      </c>
      <c r="I104">
        <v>0</v>
      </c>
      <c r="J104">
        <v>6</v>
      </c>
      <c r="K104" cm="1">
        <f t="array" ref="K104">IFERROR(_xlfn.XLOOKUP(D104&amp;A104, RBWR!A:A&amp;RBWR!C:C, RBWR!B:B), "N/A")</f>
        <v>70</v>
      </c>
      <c r="L104" t="str" cm="1">
        <f t="array" ref="L104">IFERROR(_xlfn.XLOOKUP(C104&amp;A104, RYOE!A:A&amp;RYOE!F:F, RYOE!C:C), "N/A")</f>
        <v>N/A</v>
      </c>
      <c r="M104" t="str" cm="1">
        <f t="array" ref="M104">IFERROR(_xlfn.XLOOKUP(C104&amp;A104, RYOE!A:A&amp;RYOE!F:F, RYOE!D:D), "N/A")</f>
        <v>N/A</v>
      </c>
      <c r="N104" t="str" cm="1">
        <f t="array" ref="N104">IFERROR(_xlfn.XLOOKUP(C104&amp;A104, RYOE!A:A&amp;RYOE!F:F, RYOE!E:E), "N/A")</f>
        <v>N/A</v>
      </c>
    </row>
    <row r="105" spans="1:14" ht="15" customHeight="1" x14ac:dyDescent="0.45">
      <c r="A105" s="8">
        <v>2025</v>
      </c>
      <c r="B105" s="6" t="s">
        <v>136</v>
      </c>
      <c r="C105" s="2" t="str">
        <f t="shared" si="2"/>
        <v>Ty Chandler</v>
      </c>
      <c r="D105" s="2" t="str">
        <f t="shared" si="3"/>
        <v>MIN</v>
      </c>
      <c r="E105" s="2">
        <v>17</v>
      </c>
      <c r="F105" s="2">
        <v>47</v>
      </c>
      <c r="G105" s="2">
        <v>2.8</v>
      </c>
      <c r="H105" s="2">
        <v>0</v>
      </c>
      <c r="I105">
        <v>0</v>
      </c>
      <c r="J105">
        <v>3</v>
      </c>
      <c r="K105" cm="1">
        <f t="array" ref="K105">IFERROR(_xlfn.XLOOKUP(D105&amp;A105, RBWR!A:A&amp;RBWR!C:C, RBWR!B:B), "N/A")</f>
        <v>74</v>
      </c>
      <c r="L105" t="str" cm="1">
        <f t="array" ref="L105">IFERROR(_xlfn.XLOOKUP(C105&amp;A105, RYOE!A:A&amp;RYOE!F:F, RYOE!C:C), "N/A")</f>
        <v>N/A</v>
      </c>
      <c r="M105" t="str" cm="1">
        <f t="array" ref="M105">IFERROR(_xlfn.XLOOKUP(C105&amp;A105, RYOE!A:A&amp;RYOE!F:F, RYOE!D:D), "N/A")</f>
        <v>N/A</v>
      </c>
      <c r="N105" t="str" cm="1">
        <f t="array" ref="N105">IFERROR(_xlfn.XLOOKUP(C105&amp;A105, RYOE!A:A&amp;RYOE!F:F, RYOE!E:E), "N/A")</f>
        <v>N/A</v>
      </c>
    </row>
    <row r="106" spans="1:14" ht="15" customHeight="1" x14ac:dyDescent="0.45">
      <c r="A106" s="7">
        <v>2025</v>
      </c>
      <c r="B106" s="5" t="s">
        <v>137</v>
      </c>
      <c r="C106" s="1" t="str">
        <f t="shared" si="2"/>
        <v>Hassan Haskins</v>
      </c>
      <c r="D106" s="1" t="str">
        <f t="shared" si="3"/>
        <v>LAC</v>
      </c>
      <c r="E106" s="1">
        <v>17</v>
      </c>
      <c r="F106" s="1">
        <v>47</v>
      </c>
      <c r="G106" s="1">
        <v>2.8</v>
      </c>
      <c r="H106" s="1">
        <v>0</v>
      </c>
      <c r="I106">
        <v>0</v>
      </c>
      <c r="J106">
        <v>13</v>
      </c>
      <c r="K106" cm="1">
        <f t="array" ref="K106">IFERROR(_xlfn.XLOOKUP(D106&amp;A106, RBWR!A:A&amp;RBWR!C:C, RBWR!B:B), "N/A")</f>
        <v>69</v>
      </c>
      <c r="L106" t="str" cm="1">
        <f t="array" ref="L106">IFERROR(_xlfn.XLOOKUP(C106&amp;A106, RYOE!A:A&amp;RYOE!F:F, RYOE!C:C), "N/A")</f>
        <v>N/A</v>
      </c>
      <c r="M106" t="str" cm="1">
        <f t="array" ref="M106">IFERROR(_xlfn.XLOOKUP(C106&amp;A106, RYOE!A:A&amp;RYOE!F:F, RYOE!D:D), "N/A")</f>
        <v>N/A</v>
      </c>
      <c r="N106" t="str" cm="1">
        <f t="array" ref="N106">IFERROR(_xlfn.XLOOKUP(C106&amp;A106, RYOE!A:A&amp;RYOE!F:F, RYOE!E:E), "N/A")</f>
        <v>N/A</v>
      </c>
    </row>
    <row r="107" spans="1:14" ht="15" customHeight="1" x14ac:dyDescent="0.45">
      <c r="A107" s="8">
        <v>2025</v>
      </c>
      <c r="B107" s="6" t="s">
        <v>138</v>
      </c>
      <c r="C107" s="2" t="str">
        <f t="shared" si="2"/>
        <v>Ronnie Rivers</v>
      </c>
      <c r="D107" s="2" t="str">
        <f t="shared" si="3"/>
        <v>LAR</v>
      </c>
      <c r="E107" s="2">
        <v>9</v>
      </c>
      <c r="F107" s="2">
        <v>46</v>
      </c>
      <c r="G107" s="2">
        <v>5.0999999999999996</v>
      </c>
      <c r="H107" s="2">
        <v>0</v>
      </c>
      <c r="I107">
        <v>0</v>
      </c>
      <c r="J107">
        <v>7</v>
      </c>
      <c r="K107" cm="1">
        <f t="array" ref="K107">IFERROR(_xlfn.XLOOKUP(D107&amp;A107, RBWR!A:A&amp;RBWR!C:C, RBWR!B:B), "N/A")</f>
        <v>74</v>
      </c>
      <c r="L107" t="str" cm="1">
        <f t="array" ref="L107">IFERROR(_xlfn.XLOOKUP(C107&amp;A107, RYOE!A:A&amp;RYOE!F:F, RYOE!C:C), "N/A")</f>
        <v>N/A</v>
      </c>
      <c r="M107" t="str" cm="1">
        <f t="array" ref="M107">IFERROR(_xlfn.XLOOKUP(C107&amp;A107, RYOE!A:A&amp;RYOE!F:F, RYOE!D:D), "N/A")</f>
        <v>N/A</v>
      </c>
      <c r="N107" t="str" cm="1">
        <f t="array" ref="N107">IFERROR(_xlfn.XLOOKUP(C107&amp;A107, RYOE!A:A&amp;RYOE!F:F, RYOE!E:E), "N/A")</f>
        <v>N/A</v>
      </c>
    </row>
    <row r="108" spans="1:14" ht="15" customHeight="1" x14ac:dyDescent="0.45">
      <c r="A108" s="7">
        <v>2025</v>
      </c>
      <c r="B108" s="5" t="s">
        <v>139</v>
      </c>
      <c r="C108" s="1" t="str">
        <f t="shared" si="2"/>
        <v>Tahj Brooks</v>
      </c>
      <c r="D108" s="1" t="str">
        <f t="shared" si="3"/>
        <v>CIN</v>
      </c>
      <c r="E108" s="1">
        <v>16</v>
      </c>
      <c r="F108" s="1">
        <v>45</v>
      </c>
      <c r="G108" s="1">
        <v>2.8</v>
      </c>
      <c r="H108" s="1">
        <v>0</v>
      </c>
      <c r="I108">
        <v>0</v>
      </c>
      <c r="J108">
        <v>12</v>
      </c>
      <c r="K108" cm="1">
        <f t="array" ref="K108">IFERROR(_xlfn.XLOOKUP(D108&amp;A108, RBWR!A:A&amp;RBWR!C:C, RBWR!B:B), "N/A")</f>
        <v>72</v>
      </c>
      <c r="L108" t="str" cm="1">
        <f t="array" ref="L108">IFERROR(_xlfn.XLOOKUP(C108&amp;A108, RYOE!A:A&amp;RYOE!F:F, RYOE!C:C), "N/A")</f>
        <v>N/A</v>
      </c>
      <c r="M108" t="str" cm="1">
        <f t="array" ref="M108">IFERROR(_xlfn.XLOOKUP(C108&amp;A108, RYOE!A:A&amp;RYOE!F:F, RYOE!D:D), "N/A")</f>
        <v>N/A</v>
      </c>
      <c r="N108" t="str" cm="1">
        <f t="array" ref="N108">IFERROR(_xlfn.XLOOKUP(C108&amp;A108, RYOE!A:A&amp;RYOE!F:F, RYOE!E:E), "N/A")</f>
        <v>N/A</v>
      </c>
    </row>
    <row r="109" spans="1:14" ht="15" customHeight="1" x14ac:dyDescent="0.45">
      <c r="A109" s="8">
        <v>2025</v>
      </c>
      <c r="B109" s="6" t="s">
        <v>140</v>
      </c>
      <c r="C109" s="2" t="str">
        <f t="shared" si="2"/>
        <v>Adam Prentice</v>
      </c>
      <c r="D109" s="2" t="str">
        <f t="shared" si="3"/>
        <v>DEN</v>
      </c>
      <c r="E109" s="2">
        <v>10</v>
      </c>
      <c r="F109" s="2">
        <v>44</v>
      </c>
      <c r="G109" s="2">
        <v>4.4000000000000004</v>
      </c>
      <c r="H109" s="2">
        <v>0</v>
      </c>
      <c r="I109">
        <v>0</v>
      </c>
      <c r="J109">
        <v>17</v>
      </c>
      <c r="K109" cm="1">
        <f t="array" ref="K109">IFERROR(_xlfn.XLOOKUP(D109&amp;A109, RBWR!A:A&amp;RBWR!C:C, RBWR!B:B), "N/A")</f>
        <v>74</v>
      </c>
      <c r="L109" t="str" cm="1">
        <f t="array" ref="L109">IFERROR(_xlfn.XLOOKUP(C109&amp;A109, RYOE!A:A&amp;RYOE!F:F, RYOE!C:C), "N/A")</f>
        <v>N/A</v>
      </c>
      <c r="M109" t="str" cm="1">
        <f t="array" ref="M109">IFERROR(_xlfn.XLOOKUP(C109&amp;A109, RYOE!A:A&amp;RYOE!F:F, RYOE!D:D), "N/A")</f>
        <v>N/A</v>
      </c>
      <c r="N109" t="str" cm="1">
        <f t="array" ref="N109">IFERROR(_xlfn.XLOOKUP(C109&amp;A109, RYOE!A:A&amp;RYOE!F:F, RYOE!E:E), "N/A")</f>
        <v>N/A</v>
      </c>
    </row>
    <row r="110" spans="1:14" ht="15" customHeight="1" x14ac:dyDescent="0.45">
      <c r="A110" s="7">
        <v>2025</v>
      </c>
      <c r="B110" s="5" t="s">
        <v>141</v>
      </c>
      <c r="C110" s="1" t="str">
        <f t="shared" si="2"/>
        <v>Connor Heyward</v>
      </c>
      <c r="D110" s="1" t="str">
        <f t="shared" si="3"/>
        <v>PIT</v>
      </c>
      <c r="E110" s="1">
        <v>15</v>
      </c>
      <c r="F110" s="1">
        <v>43</v>
      </c>
      <c r="G110" s="1">
        <v>2.9</v>
      </c>
      <c r="H110" s="1">
        <v>2</v>
      </c>
      <c r="I110">
        <v>0</v>
      </c>
      <c r="J110">
        <v>16</v>
      </c>
      <c r="K110" cm="1">
        <f t="array" ref="K110">IFERROR(_xlfn.XLOOKUP(D110&amp;A110, RBWR!A:A&amp;RBWR!C:C, RBWR!B:B), "N/A")</f>
        <v>72</v>
      </c>
      <c r="L110" t="str" cm="1">
        <f t="array" ref="L110">IFERROR(_xlfn.XLOOKUP(C110&amp;A110, RYOE!A:A&amp;RYOE!F:F, RYOE!C:C), "N/A")</f>
        <v>N/A</v>
      </c>
      <c r="M110" t="str" cm="1">
        <f t="array" ref="M110">IFERROR(_xlfn.XLOOKUP(C110&amp;A110, RYOE!A:A&amp;RYOE!F:F, RYOE!D:D), "N/A")</f>
        <v>N/A</v>
      </c>
      <c r="N110" t="str" cm="1">
        <f t="array" ref="N110">IFERROR(_xlfn.XLOOKUP(C110&amp;A110, RYOE!A:A&amp;RYOE!F:F, RYOE!E:E), "N/A")</f>
        <v>N/A</v>
      </c>
    </row>
    <row r="111" spans="1:14" ht="15" customHeight="1" x14ac:dyDescent="0.45">
      <c r="A111" s="8">
        <v>2025</v>
      </c>
      <c r="B111" s="6" t="s">
        <v>142</v>
      </c>
      <c r="C111" s="2" t="str">
        <f t="shared" si="2"/>
        <v>Austin Ekeler</v>
      </c>
      <c r="D111" s="2" t="str">
        <f t="shared" si="3"/>
        <v>WAS</v>
      </c>
      <c r="E111" s="2">
        <v>14</v>
      </c>
      <c r="F111" s="2">
        <v>43</v>
      </c>
      <c r="G111" s="2">
        <v>3.1</v>
      </c>
      <c r="H111" s="2">
        <v>0</v>
      </c>
      <c r="I111">
        <v>0</v>
      </c>
      <c r="J111">
        <v>3</v>
      </c>
      <c r="K111" cm="1">
        <f t="array" ref="K111">IFERROR(_xlfn.XLOOKUP(D111&amp;A111, RBWR!A:A&amp;RBWR!C:C, RBWR!B:B), "N/A")</f>
        <v>70</v>
      </c>
      <c r="L111" t="str" cm="1">
        <f t="array" ref="L111">IFERROR(_xlfn.XLOOKUP(C111&amp;A111, RYOE!A:A&amp;RYOE!F:F, RYOE!C:C), "N/A")</f>
        <v>N/A</v>
      </c>
      <c r="M111" t="str" cm="1">
        <f t="array" ref="M111">IFERROR(_xlfn.XLOOKUP(C111&amp;A111, RYOE!A:A&amp;RYOE!F:F, RYOE!D:D), "N/A")</f>
        <v>N/A</v>
      </c>
      <c r="N111" t="str" cm="1">
        <f t="array" ref="N111">IFERROR(_xlfn.XLOOKUP(C111&amp;A111, RYOE!A:A&amp;RYOE!F:F, RYOE!E:E), "N/A")</f>
        <v>N/A</v>
      </c>
    </row>
    <row r="112" spans="1:14" ht="15" customHeight="1" x14ac:dyDescent="0.45">
      <c r="A112" s="7">
        <v>2025</v>
      </c>
      <c r="B112" s="5" t="s">
        <v>143</v>
      </c>
      <c r="C112" s="1" t="str">
        <f t="shared" si="2"/>
        <v>Julius Chestnut</v>
      </c>
      <c r="D112" s="1" t="str">
        <f t="shared" si="3"/>
        <v>TEN</v>
      </c>
      <c r="E112" s="1">
        <v>11</v>
      </c>
      <c r="F112" s="1">
        <v>40</v>
      </c>
      <c r="G112" s="1">
        <v>3.6</v>
      </c>
      <c r="H112" s="1">
        <v>0</v>
      </c>
      <c r="I112">
        <v>0</v>
      </c>
      <c r="J112">
        <v>17</v>
      </c>
      <c r="K112" cm="1">
        <f t="array" ref="K112">IFERROR(_xlfn.XLOOKUP(D112&amp;A112, RBWR!A:A&amp;RBWR!C:C, RBWR!B:B), "N/A")</f>
        <v>70</v>
      </c>
      <c r="L112" t="str" cm="1">
        <f t="array" ref="L112">IFERROR(_xlfn.XLOOKUP(C112&amp;A112, RYOE!A:A&amp;RYOE!F:F, RYOE!C:C), "N/A")</f>
        <v>N/A</v>
      </c>
      <c r="M112" t="str" cm="1">
        <f t="array" ref="M112">IFERROR(_xlfn.XLOOKUP(C112&amp;A112, RYOE!A:A&amp;RYOE!F:F, RYOE!D:D), "N/A")</f>
        <v>N/A</v>
      </c>
      <c r="N112" t="str" cm="1">
        <f t="array" ref="N112">IFERROR(_xlfn.XLOOKUP(C112&amp;A112, RYOE!A:A&amp;RYOE!F:F, RYOE!E:E), "N/A")</f>
        <v>N/A</v>
      </c>
    </row>
    <row r="113" spans="1:14" ht="15" customHeight="1" x14ac:dyDescent="0.45">
      <c r="A113" s="8">
        <v>2025</v>
      </c>
      <c r="B113" s="6" t="s">
        <v>144</v>
      </c>
      <c r="C113" s="2" t="str">
        <f t="shared" si="2"/>
        <v>Brittain Brown</v>
      </c>
      <c r="D113" s="2" t="str">
        <f t="shared" si="3"/>
        <v>CHI</v>
      </c>
      <c r="E113" s="2">
        <v>5</v>
      </c>
      <c r="F113" s="2">
        <v>37</v>
      </c>
      <c r="G113" s="2">
        <v>7.4</v>
      </c>
      <c r="H113" s="2">
        <v>1</v>
      </c>
      <c r="I113">
        <v>0</v>
      </c>
      <c r="J113">
        <v>2</v>
      </c>
      <c r="K113" cm="1">
        <f t="array" ref="K113">IFERROR(_xlfn.XLOOKUP(D113&amp;A113, RBWR!A:A&amp;RBWR!C:C, RBWR!B:B), "N/A")</f>
        <v>74</v>
      </c>
      <c r="L113" t="str" cm="1">
        <f t="array" ref="L113">IFERROR(_xlfn.XLOOKUP(C113&amp;A113, RYOE!A:A&amp;RYOE!F:F, RYOE!C:C), "N/A")</f>
        <v>N/A</v>
      </c>
      <c r="M113" t="str" cm="1">
        <f t="array" ref="M113">IFERROR(_xlfn.XLOOKUP(C113&amp;A113, RYOE!A:A&amp;RYOE!F:F, RYOE!D:D), "N/A")</f>
        <v>N/A</v>
      </c>
      <c r="N113" t="str" cm="1">
        <f t="array" ref="N113">IFERROR(_xlfn.XLOOKUP(C113&amp;A113, RYOE!A:A&amp;RYOE!F:F, RYOE!E:E), "N/A")</f>
        <v>N/A</v>
      </c>
    </row>
    <row r="114" spans="1:14" ht="15" customHeight="1" x14ac:dyDescent="0.45">
      <c r="A114" s="7">
        <v>2025</v>
      </c>
      <c r="B114" s="5" t="s">
        <v>145</v>
      </c>
      <c r="C114" s="1" t="str">
        <f t="shared" si="2"/>
        <v>Trayveon Williams</v>
      </c>
      <c r="D114" s="1" t="str">
        <f t="shared" si="3"/>
        <v>CLE</v>
      </c>
      <c r="E114" s="1">
        <v>10</v>
      </c>
      <c r="F114" s="1">
        <v>36</v>
      </c>
      <c r="G114" s="1">
        <v>3.6</v>
      </c>
      <c r="H114" s="1">
        <v>0</v>
      </c>
      <c r="I114">
        <v>0</v>
      </c>
      <c r="J114">
        <v>7</v>
      </c>
      <c r="K114" cm="1">
        <f t="array" ref="K114">IFERROR(_xlfn.XLOOKUP(D114&amp;A114, RBWR!A:A&amp;RBWR!C:C, RBWR!B:B), "N/A")</f>
        <v>70</v>
      </c>
      <c r="L114" t="str" cm="1">
        <f t="array" ref="L114">IFERROR(_xlfn.XLOOKUP(C114&amp;A114, RYOE!A:A&amp;RYOE!F:F, RYOE!C:C), "N/A")</f>
        <v>N/A</v>
      </c>
      <c r="M114" t="str" cm="1">
        <f t="array" ref="M114">IFERROR(_xlfn.XLOOKUP(C114&amp;A114, RYOE!A:A&amp;RYOE!F:F, RYOE!D:D), "N/A")</f>
        <v>N/A</v>
      </c>
      <c r="N114" t="str" cm="1">
        <f t="array" ref="N114">IFERROR(_xlfn.XLOOKUP(C114&amp;A114, RYOE!A:A&amp;RYOE!F:F, RYOE!E:E), "N/A")</f>
        <v>N/A</v>
      </c>
    </row>
    <row r="115" spans="1:14" ht="15" customHeight="1" x14ac:dyDescent="0.45">
      <c r="A115" s="8">
        <v>2025</v>
      </c>
      <c r="B115" s="6" t="s">
        <v>146</v>
      </c>
      <c r="C115" s="2" t="str">
        <f t="shared" si="2"/>
        <v>Dameon Pierce</v>
      </c>
      <c r="D115" s="2" t="str">
        <f t="shared" si="3"/>
        <v>KC</v>
      </c>
      <c r="E115" s="2">
        <v>14</v>
      </c>
      <c r="F115" s="2">
        <v>36</v>
      </c>
      <c r="G115" s="2">
        <v>2.6</v>
      </c>
      <c r="H115" s="2">
        <v>0</v>
      </c>
      <c r="I115">
        <v>0</v>
      </c>
      <c r="J115">
        <v>5</v>
      </c>
      <c r="K115" cm="1">
        <f t="array" ref="K115">IFERROR(_xlfn.XLOOKUP(D115&amp;A115, RBWR!A:A&amp;RBWR!C:C, RBWR!B:B), "N/A")</f>
        <v>70</v>
      </c>
      <c r="L115" t="str" cm="1">
        <f t="array" ref="L115">IFERROR(_xlfn.XLOOKUP(C115&amp;A115, RYOE!A:A&amp;RYOE!F:F, RYOE!C:C), "N/A")</f>
        <v>N/A</v>
      </c>
      <c r="M115" t="str" cm="1">
        <f t="array" ref="M115">IFERROR(_xlfn.XLOOKUP(C115&amp;A115, RYOE!A:A&amp;RYOE!F:F, RYOE!D:D), "N/A")</f>
        <v>N/A</v>
      </c>
      <c r="N115" t="str" cm="1">
        <f t="array" ref="N115">IFERROR(_xlfn.XLOOKUP(C115&amp;A115, RYOE!A:A&amp;RYOE!F:F, RYOE!E:E), "N/A")</f>
        <v>N/A</v>
      </c>
    </row>
    <row r="116" spans="1:14" ht="15" customHeight="1" x14ac:dyDescent="0.45">
      <c r="A116" s="7">
        <v>2025</v>
      </c>
      <c r="B116" s="5" t="s">
        <v>147</v>
      </c>
      <c r="C116" s="1" t="str">
        <f t="shared" si="2"/>
        <v>Zamir White</v>
      </c>
      <c r="D116" s="1" t="str">
        <f t="shared" si="3"/>
        <v>LV</v>
      </c>
      <c r="E116" s="1">
        <v>12</v>
      </c>
      <c r="F116" s="1">
        <v>32</v>
      </c>
      <c r="G116" s="1">
        <v>2.7</v>
      </c>
      <c r="H116" s="1">
        <v>0</v>
      </c>
      <c r="I116">
        <v>0</v>
      </c>
      <c r="J116">
        <v>5</v>
      </c>
      <c r="K116" cm="1">
        <f t="array" ref="K116">IFERROR(_xlfn.XLOOKUP(D116&amp;A116, RBWR!A:A&amp;RBWR!C:C, RBWR!B:B), "N/A")</f>
        <v>70</v>
      </c>
      <c r="L116" t="str" cm="1">
        <f t="array" ref="L116">IFERROR(_xlfn.XLOOKUP(C116&amp;A116, RYOE!A:A&amp;RYOE!F:F, RYOE!C:C), "N/A")</f>
        <v>N/A</v>
      </c>
      <c r="M116" t="str" cm="1">
        <f t="array" ref="M116">IFERROR(_xlfn.XLOOKUP(C116&amp;A116, RYOE!A:A&amp;RYOE!F:F, RYOE!D:D), "N/A")</f>
        <v>N/A</v>
      </c>
      <c r="N116" t="str" cm="1">
        <f t="array" ref="N116">IFERROR(_xlfn.XLOOKUP(C116&amp;A116, RYOE!A:A&amp;RYOE!F:F, RYOE!E:E), "N/A")</f>
        <v>N/A</v>
      </c>
    </row>
    <row r="117" spans="1:14" ht="15" customHeight="1" x14ac:dyDescent="0.45">
      <c r="A117" s="8">
        <v>2025</v>
      </c>
      <c r="B117" s="6" t="s">
        <v>148</v>
      </c>
      <c r="C117" s="2" t="str">
        <f t="shared" si="2"/>
        <v>Velus Jones Jr.</v>
      </c>
      <c r="D117" s="2" t="str">
        <f t="shared" si="3"/>
        <v>SEA</v>
      </c>
      <c r="E117" s="2">
        <v>4</v>
      </c>
      <c r="F117" s="2">
        <v>32</v>
      </c>
      <c r="G117" s="2">
        <v>8</v>
      </c>
      <c r="H117" s="2">
        <v>0</v>
      </c>
      <c r="I117">
        <v>0</v>
      </c>
      <c r="J117">
        <v>6</v>
      </c>
      <c r="K117" cm="1">
        <f t="array" ref="K117">IFERROR(_xlfn.XLOOKUP(D117&amp;A117, RBWR!A:A&amp;RBWR!C:C, RBWR!B:B), "N/A")</f>
        <v>73</v>
      </c>
      <c r="L117" t="str" cm="1">
        <f t="array" ref="L117">IFERROR(_xlfn.XLOOKUP(C117&amp;A117, RYOE!A:A&amp;RYOE!F:F, RYOE!C:C), "N/A")</f>
        <v>N/A</v>
      </c>
      <c r="M117" t="str" cm="1">
        <f t="array" ref="M117">IFERROR(_xlfn.XLOOKUP(C117&amp;A117, RYOE!A:A&amp;RYOE!F:F, RYOE!D:D), "N/A")</f>
        <v>N/A</v>
      </c>
      <c r="N117" t="str" cm="1">
        <f t="array" ref="N117">IFERROR(_xlfn.XLOOKUP(C117&amp;A117, RYOE!A:A&amp;RYOE!F:F, RYOE!E:E), "N/A")</f>
        <v>N/A</v>
      </c>
    </row>
    <row r="118" spans="1:14" ht="15" customHeight="1" x14ac:dyDescent="0.45">
      <c r="A118" s="7">
        <v>2025</v>
      </c>
      <c r="B118" s="5" t="s">
        <v>149</v>
      </c>
      <c r="C118" s="1" t="str">
        <f t="shared" si="2"/>
        <v>Dare Ogunbowale</v>
      </c>
      <c r="D118" s="1" t="str">
        <f t="shared" si="3"/>
        <v>HOU</v>
      </c>
      <c r="E118" s="1">
        <v>11</v>
      </c>
      <c r="F118" s="1">
        <v>25</v>
      </c>
      <c r="G118" s="1">
        <v>2.2999999999999998</v>
      </c>
      <c r="H118" s="1">
        <v>1</v>
      </c>
      <c r="I118">
        <v>1</v>
      </c>
      <c r="J118">
        <v>17</v>
      </c>
      <c r="K118" cm="1">
        <f t="array" ref="K118">IFERROR(_xlfn.XLOOKUP(D118&amp;A118, RBWR!A:A&amp;RBWR!C:C, RBWR!B:B), "N/A")</f>
        <v>68</v>
      </c>
      <c r="L118" t="str" cm="1">
        <f t="array" ref="L118">IFERROR(_xlfn.XLOOKUP(C118&amp;A118, RYOE!A:A&amp;RYOE!F:F, RYOE!C:C), "N/A")</f>
        <v>N/A</v>
      </c>
      <c r="M118" t="str" cm="1">
        <f t="array" ref="M118">IFERROR(_xlfn.XLOOKUP(C118&amp;A118, RYOE!A:A&amp;RYOE!F:F, RYOE!D:D), "N/A")</f>
        <v>N/A</v>
      </c>
      <c r="N118" t="str" cm="1">
        <f t="array" ref="N118">IFERROR(_xlfn.XLOOKUP(C118&amp;A118, RYOE!A:A&amp;RYOE!F:F, RYOE!E:E), "N/A")</f>
        <v>N/A</v>
      </c>
    </row>
    <row r="119" spans="1:14" ht="15" customHeight="1" x14ac:dyDescent="0.45">
      <c r="A119" s="8">
        <v>2025</v>
      </c>
      <c r="B119" s="6" t="s">
        <v>150</v>
      </c>
      <c r="C119" s="2" t="str">
        <f t="shared" si="2"/>
        <v>D'Ernest Johnson</v>
      </c>
      <c r="D119" s="2" t="str">
        <f t="shared" si="3"/>
        <v>NE</v>
      </c>
      <c r="E119" s="2">
        <v>14</v>
      </c>
      <c r="F119" s="2">
        <v>25</v>
      </c>
      <c r="G119" s="2">
        <v>1.8</v>
      </c>
      <c r="H119" s="2">
        <v>0</v>
      </c>
      <c r="I119">
        <v>0</v>
      </c>
      <c r="J119">
        <v>6</v>
      </c>
      <c r="K119" cm="1">
        <f t="array" ref="K119">IFERROR(_xlfn.XLOOKUP(D119&amp;A119, RBWR!A:A&amp;RBWR!C:C, RBWR!B:B), "N/A")</f>
        <v>72</v>
      </c>
      <c r="L119" t="str" cm="1">
        <f t="array" ref="L119">IFERROR(_xlfn.XLOOKUP(C119&amp;A119, RYOE!A:A&amp;RYOE!F:F, RYOE!C:C), "N/A")</f>
        <v>N/A</v>
      </c>
      <c r="M119" t="str" cm="1">
        <f t="array" ref="M119">IFERROR(_xlfn.XLOOKUP(C119&amp;A119, RYOE!A:A&amp;RYOE!F:F, RYOE!D:D), "N/A")</f>
        <v>N/A</v>
      </c>
      <c r="N119" t="str" cm="1">
        <f t="array" ref="N119">IFERROR(_xlfn.XLOOKUP(C119&amp;A119, RYOE!A:A&amp;RYOE!F:F, RYOE!E:E), "N/A")</f>
        <v>N/A</v>
      </c>
    </row>
    <row r="120" spans="1:14" ht="15" customHeight="1" x14ac:dyDescent="0.45">
      <c r="A120" s="7">
        <v>2025</v>
      </c>
      <c r="B120" s="5" t="s">
        <v>151</v>
      </c>
      <c r="C120" s="1" t="str">
        <f t="shared" si="2"/>
        <v>Tyler Goodson</v>
      </c>
      <c r="D120" s="1" t="str">
        <f t="shared" si="3"/>
        <v>IND</v>
      </c>
      <c r="E120" s="1">
        <v>9</v>
      </c>
      <c r="F120" s="1">
        <v>24</v>
      </c>
      <c r="G120" s="1">
        <v>2.7</v>
      </c>
      <c r="H120" s="1">
        <v>0</v>
      </c>
      <c r="I120">
        <v>0</v>
      </c>
      <c r="J120">
        <v>11</v>
      </c>
      <c r="K120" cm="1">
        <f t="array" ref="K120">IFERROR(_xlfn.XLOOKUP(D120&amp;A120, RBWR!A:A&amp;RBWR!C:C, RBWR!B:B), "N/A")</f>
        <v>73</v>
      </c>
      <c r="L120" t="str" cm="1">
        <f t="array" ref="L120">IFERROR(_xlfn.XLOOKUP(C120&amp;A120, RYOE!A:A&amp;RYOE!F:F, RYOE!C:C), "N/A")</f>
        <v>N/A</v>
      </c>
      <c r="M120" t="str" cm="1">
        <f t="array" ref="M120">IFERROR(_xlfn.XLOOKUP(C120&amp;A120, RYOE!A:A&amp;RYOE!F:F, RYOE!D:D), "N/A")</f>
        <v>N/A</v>
      </c>
      <c r="N120" t="str" cm="1">
        <f t="array" ref="N120">IFERROR(_xlfn.XLOOKUP(C120&amp;A120, RYOE!A:A&amp;RYOE!F:F, RYOE!E:E), "N/A")</f>
        <v>N/A</v>
      </c>
    </row>
    <row r="121" spans="1:14" ht="15" customHeight="1" x14ac:dyDescent="0.45">
      <c r="A121" s="8">
        <v>2025</v>
      </c>
      <c r="B121" s="6" t="s">
        <v>152</v>
      </c>
      <c r="C121" s="2" t="str">
        <f t="shared" si="2"/>
        <v>Rasheen Ali</v>
      </c>
      <c r="D121" s="2" t="str">
        <f t="shared" si="3"/>
        <v>BAL</v>
      </c>
      <c r="E121" s="2">
        <v>7</v>
      </c>
      <c r="F121" s="2">
        <v>24</v>
      </c>
      <c r="G121" s="2">
        <v>3.4</v>
      </c>
      <c r="H121" s="2">
        <v>0</v>
      </c>
      <c r="I121">
        <v>0</v>
      </c>
      <c r="J121">
        <v>15</v>
      </c>
      <c r="K121" cm="1">
        <f t="array" ref="K121">IFERROR(_xlfn.XLOOKUP(D121&amp;A121, RBWR!A:A&amp;RBWR!C:C, RBWR!B:B), "N/A")</f>
        <v>71</v>
      </c>
      <c r="L121" t="str" cm="1">
        <f t="array" ref="L121">IFERROR(_xlfn.XLOOKUP(C121&amp;A121, RYOE!A:A&amp;RYOE!F:F, RYOE!C:C), "N/A")</f>
        <v>N/A</v>
      </c>
      <c r="M121" t="str" cm="1">
        <f t="array" ref="M121">IFERROR(_xlfn.XLOOKUP(C121&amp;A121, RYOE!A:A&amp;RYOE!F:F, RYOE!D:D), "N/A")</f>
        <v>N/A</v>
      </c>
      <c r="N121" t="str" cm="1">
        <f t="array" ref="N121">IFERROR(_xlfn.XLOOKUP(C121&amp;A121, RYOE!A:A&amp;RYOE!F:F, RYOE!E:E), "N/A")</f>
        <v>N/A</v>
      </c>
    </row>
    <row r="122" spans="1:14" ht="15" customHeight="1" x14ac:dyDescent="0.45">
      <c r="A122" s="7">
        <v>2025</v>
      </c>
      <c r="B122" s="5" t="s">
        <v>153</v>
      </c>
      <c r="C122" s="1" t="str">
        <f t="shared" si="2"/>
        <v>Tyler Badie</v>
      </c>
      <c r="D122" s="1" t="str">
        <f t="shared" si="3"/>
        <v>DEN</v>
      </c>
      <c r="E122" s="1">
        <v>8</v>
      </c>
      <c r="F122" s="1">
        <v>23</v>
      </c>
      <c r="G122" s="1">
        <v>2.9</v>
      </c>
      <c r="H122" s="1">
        <v>0</v>
      </c>
      <c r="I122">
        <v>0</v>
      </c>
      <c r="J122">
        <v>16</v>
      </c>
      <c r="K122" cm="1">
        <f t="array" ref="K122">IFERROR(_xlfn.XLOOKUP(D122&amp;A122, RBWR!A:A&amp;RBWR!C:C, RBWR!B:B), "N/A")</f>
        <v>74</v>
      </c>
      <c r="L122" t="str" cm="1">
        <f t="array" ref="L122">IFERROR(_xlfn.XLOOKUP(C122&amp;A122, RYOE!A:A&amp;RYOE!F:F, RYOE!C:C), "N/A")</f>
        <v>N/A</v>
      </c>
      <c r="M122" t="str" cm="1">
        <f t="array" ref="M122">IFERROR(_xlfn.XLOOKUP(C122&amp;A122, RYOE!A:A&amp;RYOE!F:F, RYOE!D:D), "N/A")</f>
        <v>N/A</v>
      </c>
      <c r="N122" t="str" cm="1">
        <f t="array" ref="N122">IFERROR(_xlfn.XLOOKUP(C122&amp;A122, RYOE!A:A&amp;RYOE!F:F, RYOE!E:E), "N/A")</f>
        <v>N/A</v>
      </c>
    </row>
    <row r="123" spans="1:14" ht="15" customHeight="1" x14ac:dyDescent="0.45">
      <c r="A123" s="8">
        <v>2025</v>
      </c>
      <c r="B123" s="6" t="s">
        <v>154</v>
      </c>
      <c r="C123" s="2" t="str">
        <f t="shared" si="2"/>
        <v>DeeJay Dallas</v>
      </c>
      <c r="D123" s="2" t="str">
        <f t="shared" si="3"/>
        <v>JAC</v>
      </c>
      <c r="E123" s="2">
        <v>3</v>
      </c>
      <c r="F123" s="2">
        <v>21</v>
      </c>
      <c r="G123" s="2">
        <v>7</v>
      </c>
      <c r="H123" s="2">
        <v>0</v>
      </c>
      <c r="I123">
        <v>0</v>
      </c>
      <c r="J123">
        <v>5</v>
      </c>
      <c r="K123" cm="1">
        <f t="array" ref="K123">IFERROR(_xlfn.XLOOKUP(D123&amp;A123, RBWR!A:A&amp;RBWR!C:C, RBWR!B:B), "N/A")</f>
        <v>73</v>
      </c>
      <c r="L123" t="str" cm="1">
        <f t="array" ref="L123">IFERROR(_xlfn.XLOOKUP(C123&amp;A123, RYOE!A:A&amp;RYOE!F:F, RYOE!C:C), "N/A")</f>
        <v>N/A</v>
      </c>
      <c r="M123" t="str" cm="1">
        <f t="array" ref="M123">IFERROR(_xlfn.XLOOKUP(C123&amp;A123, RYOE!A:A&amp;RYOE!F:F, RYOE!D:D), "N/A")</f>
        <v>N/A</v>
      </c>
      <c r="N123" t="str" cm="1">
        <f t="array" ref="N123">IFERROR(_xlfn.XLOOKUP(C123&amp;A123, RYOE!A:A&amp;RYOE!F:F, RYOE!E:E), "N/A")</f>
        <v>N/A</v>
      </c>
    </row>
    <row r="124" spans="1:14" ht="15" customHeight="1" x14ac:dyDescent="0.45">
      <c r="A124" s="7">
        <v>2025</v>
      </c>
      <c r="B124" s="5" t="s">
        <v>155</v>
      </c>
      <c r="C124" s="1" t="str">
        <f t="shared" si="2"/>
        <v>Jacardia Wright</v>
      </c>
      <c r="D124" s="1" t="str">
        <f t="shared" si="3"/>
        <v>SEA</v>
      </c>
      <c r="E124" s="1">
        <v>5</v>
      </c>
      <c r="F124" s="1">
        <v>20</v>
      </c>
      <c r="G124" s="1">
        <v>4</v>
      </c>
      <c r="H124" s="1">
        <v>0</v>
      </c>
      <c r="I124">
        <v>0</v>
      </c>
      <c r="J124">
        <v>1</v>
      </c>
      <c r="K124" cm="1">
        <f t="array" ref="K124">IFERROR(_xlfn.XLOOKUP(D124&amp;A124, RBWR!A:A&amp;RBWR!C:C, RBWR!B:B), "N/A")</f>
        <v>73</v>
      </c>
      <c r="L124" t="str" cm="1">
        <f t="array" ref="L124">IFERROR(_xlfn.XLOOKUP(C124&amp;A124, RYOE!A:A&amp;RYOE!F:F, RYOE!C:C), "N/A")</f>
        <v>N/A</v>
      </c>
      <c r="M124" t="str" cm="1">
        <f t="array" ref="M124">IFERROR(_xlfn.XLOOKUP(C124&amp;A124, RYOE!A:A&amp;RYOE!F:F, RYOE!D:D), "N/A")</f>
        <v>N/A</v>
      </c>
      <c r="N124" t="str" cm="1">
        <f t="array" ref="N124">IFERROR(_xlfn.XLOOKUP(C124&amp;A124, RYOE!A:A&amp;RYOE!F:F, RYOE!E:E), "N/A")</f>
        <v>N/A</v>
      </c>
    </row>
    <row r="125" spans="1:14" ht="15" customHeight="1" x14ac:dyDescent="0.45">
      <c r="A125" s="8">
        <v>2025</v>
      </c>
      <c r="B125" s="6" t="s">
        <v>156</v>
      </c>
      <c r="C125" s="2" t="str">
        <f t="shared" si="2"/>
        <v>Cam Akers</v>
      </c>
      <c r="D125" s="2" t="str">
        <f t="shared" si="3"/>
        <v>SEA</v>
      </c>
      <c r="E125" s="2">
        <v>5</v>
      </c>
      <c r="F125" s="2">
        <v>19</v>
      </c>
      <c r="G125" s="2">
        <v>3.8</v>
      </c>
      <c r="H125" s="2">
        <v>0</v>
      </c>
      <c r="I125">
        <v>0</v>
      </c>
      <c r="J125">
        <v>4</v>
      </c>
      <c r="K125" cm="1">
        <f t="array" ref="K125">IFERROR(_xlfn.XLOOKUP(D125&amp;A125, RBWR!A:A&amp;RBWR!C:C, RBWR!B:B), "N/A")</f>
        <v>73</v>
      </c>
      <c r="L125" t="str" cm="1">
        <f t="array" ref="L125">IFERROR(_xlfn.XLOOKUP(C125&amp;A125, RYOE!A:A&amp;RYOE!F:F, RYOE!C:C), "N/A")</f>
        <v>N/A</v>
      </c>
      <c r="M125" t="str" cm="1">
        <f t="array" ref="M125">IFERROR(_xlfn.XLOOKUP(C125&amp;A125, RYOE!A:A&amp;RYOE!F:F, RYOE!D:D), "N/A")</f>
        <v>N/A</v>
      </c>
      <c r="N125" t="str" cm="1">
        <f t="array" ref="N125">IFERROR(_xlfn.XLOOKUP(C125&amp;A125, RYOE!A:A&amp;RYOE!F:F, RYOE!E:E), "N/A")</f>
        <v>N/A</v>
      </c>
    </row>
    <row r="126" spans="1:14" ht="15" customHeight="1" x14ac:dyDescent="0.45">
      <c r="A126" s="7">
        <v>2025</v>
      </c>
      <c r="B126" s="5" t="s">
        <v>157</v>
      </c>
      <c r="C126" s="1" t="str">
        <f t="shared" si="2"/>
        <v>Phil Mafah</v>
      </c>
      <c r="D126" s="1" t="str">
        <f t="shared" si="3"/>
        <v>DAL</v>
      </c>
      <c r="E126" s="1">
        <v>5</v>
      </c>
      <c r="F126" s="1">
        <v>18</v>
      </c>
      <c r="G126" s="1">
        <v>3.6</v>
      </c>
      <c r="H126" s="1">
        <v>1</v>
      </c>
      <c r="I126">
        <v>0</v>
      </c>
      <c r="J126">
        <v>1</v>
      </c>
      <c r="K126" cm="1">
        <f t="array" ref="K126">IFERROR(_xlfn.XLOOKUP(D126&amp;A126, RBWR!A:A&amp;RBWR!C:C, RBWR!B:B), "N/A")</f>
        <v>72</v>
      </c>
      <c r="L126" t="str" cm="1">
        <f t="array" ref="L126">IFERROR(_xlfn.XLOOKUP(C126&amp;A126, RYOE!A:A&amp;RYOE!F:F, RYOE!C:C), "N/A")</f>
        <v>N/A</v>
      </c>
      <c r="M126" t="str" cm="1">
        <f t="array" ref="M126">IFERROR(_xlfn.XLOOKUP(C126&amp;A126, RYOE!A:A&amp;RYOE!F:F, RYOE!D:D), "N/A")</f>
        <v>N/A</v>
      </c>
      <c r="N126" t="str" cm="1">
        <f t="array" ref="N126">IFERROR(_xlfn.XLOOKUP(C126&amp;A126, RYOE!A:A&amp;RYOE!F:F, RYOE!E:E), "N/A")</f>
        <v>N/A</v>
      </c>
    </row>
    <row r="127" spans="1:14" ht="15" customHeight="1" x14ac:dyDescent="0.45">
      <c r="A127" s="8">
        <v>2025</v>
      </c>
      <c r="B127" s="6" t="s">
        <v>158</v>
      </c>
      <c r="C127" s="2" t="str">
        <f t="shared" si="2"/>
        <v>Roschon Johnson</v>
      </c>
      <c r="D127" s="2" t="str">
        <f t="shared" si="3"/>
        <v>CHI</v>
      </c>
      <c r="E127" s="2">
        <v>2</v>
      </c>
      <c r="F127" s="2">
        <v>17</v>
      </c>
      <c r="G127" s="2">
        <v>8.5</v>
      </c>
      <c r="H127" s="2">
        <v>0</v>
      </c>
      <c r="I127">
        <v>0</v>
      </c>
      <c r="J127">
        <v>6</v>
      </c>
      <c r="K127" cm="1">
        <f t="array" ref="K127">IFERROR(_xlfn.XLOOKUP(D127&amp;A127, RBWR!A:A&amp;RBWR!C:C, RBWR!B:B), "N/A")</f>
        <v>74</v>
      </c>
      <c r="L127" t="str" cm="1">
        <f t="array" ref="L127">IFERROR(_xlfn.XLOOKUP(C127&amp;A127, RYOE!A:A&amp;RYOE!F:F, RYOE!C:C), "N/A")</f>
        <v>N/A</v>
      </c>
      <c r="M127" t="str" cm="1">
        <f t="array" ref="M127">IFERROR(_xlfn.XLOOKUP(C127&amp;A127, RYOE!A:A&amp;RYOE!F:F, RYOE!D:D), "N/A")</f>
        <v>N/A</v>
      </c>
      <c r="N127" t="str" cm="1">
        <f t="array" ref="N127">IFERROR(_xlfn.XLOOKUP(C127&amp;A127, RYOE!A:A&amp;RYOE!F:F, RYOE!E:E), "N/A")</f>
        <v>N/A</v>
      </c>
    </row>
    <row r="128" spans="1:14" ht="15" customHeight="1" x14ac:dyDescent="0.45">
      <c r="A128" s="7">
        <v>2025</v>
      </c>
      <c r="B128" s="5" t="s">
        <v>159</v>
      </c>
      <c r="C128" s="1" t="str">
        <f t="shared" si="2"/>
        <v>Clyde Edwards-Helaire</v>
      </c>
      <c r="D128" s="1" t="str">
        <f t="shared" si="3"/>
        <v>KC</v>
      </c>
      <c r="E128" s="1">
        <v>7</v>
      </c>
      <c r="F128" s="1">
        <v>13</v>
      </c>
      <c r="G128" s="1">
        <v>1.9</v>
      </c>
      <c r="H128" s="1">
        <v>0</v>
      </c>
      <c r="I128">
        <v>0</v>
      </c>
      <c r="J128">
        <v>2</v>
      </c>
      <c r="K128" cm="1">
        <f t="array" ref="K128">IFERROR(_xlfn.XLOOKUP(D128&amp;A128, RBWR!A:A&amp;RBWR!C:C, RBWR!B:B), "N/A")</f>
        <v>70</v>
      </c>
      <c r="L128" t="str" cm="1">
        <f t="array" ref="L128">IFERROR(_xlfn.XLOOKUP(C128&amp;A128, RYOE!A:A&amp;RYOE!F:F, RYOE!C:C), "N/A")</f>
        <v>N/A</v>
      </c>
      <c r="M128" t="str" cm="1">
        <f t="array" ref="M128">IFERROR(_xlfn.XLOOKUP(C128&amp;A128, RYOE!A:A&amp;RYOE!F:F, RYOE!D:D), "N/A")</f>
        <v>N/A</v>
      </c>
      <c r="N128" t="str" cm="1">
        <f t="array" ref="N128">IFERROR(_xlfn.XLOOKUP(C128&amp;A128, RYOE!A:A&amp;RYOE!F:F, RYOE!E:E), "N/A")</f>
        <v>N/A</v>
      </c>
    </row>
    <row r="129" spans="1:14" ht="15" customHeight="1" x14ac:dyDescent="0.45">
      <c r="A129" s="8">
        <v>2025</v>
      </c>
      <c r="B129" s="6" t="s">
        <v>160</v>
      </c>
      <c r="C129" s="2" t="str">
        <f t="shared" si="2"/>
        <v>Josh Williams</v>
      </c>
      <c r="D129" s="2" t="str">
        <f t="shared" si="3"/>
        <v>TB</v>
      </c>
      <c r="E129" s="2">
        <v>4</v>
      </c>
      <c r="F129" s="2">
        <v>11</v>
      </c>
      <c r="G129" s="2">
        <v>2.8</v>
      </c>
      <c r="H129" s="2">
        <v>0</v>
      </c>
      <c r="I129">
        <v>0</v>
      </c>
      <c r="J129">
        <v>2</v>
      </c>
      <c r="K129" cm="1">
        <f t="array" ref="K129">IFERROR(_xlfn.XLOOKUP(D129&amp;A129, RBWR!A:A&amp;RBWR!C:C, RBWR!B:B), "N/A")</f>
        <v>70</v>
      </c>
      <c r="L129" t="str" cm="1">
        <f t="array" ref="L129">IFERROR(_xlfn.XLOOKUP(C129&amp;A129, RYOE!A:A&amp;RYOE!F:F, RYOE!C:C), "N/A")</f>
        <v>N/A</v>
      </c>
      <c r="M129" t="str" cm="1">
        <f t="array" ref="M129">IFERROR(_xlfn.XLOOKUP(C129&amp;A129, RYOE!A:A&amp;RYOE!F:F, RYOE!D:D), "N/A")</f>
        <v>N/A</v>
      </c>
      <c r="N129" t="str" cm="1">
        <f t="array" ref="N129">IFERROR(_xlfn.XLOOKUP(C129&amp;A129, RYOE!A:A&amp;RYOE!F:F, RYOE!E:E), "N/A")</f>
        <v>N/A</v>
      </c>
    </row>
    <row r="130" spans="1:14" ht="15" customHeight="1" x14ac:dyDescent="0.45">
      <c r="A130" s="7">
        <v>2025</v>
      </c>
      <c r="B130" s="5" t="s">
        <v>161</v>
      </c>
      <c r="C130" s="1" t="str">
        <f t="shared" ref="C130:C193" si="4">TRIM(LEFT(B130, LEN(B130) - LEN(TRIM(RIGHT(SUBSTITUTE(TRIM(B130)," ",REPT(" ",100)),100)))))</f>
        <v>Jacob Saylors</v>
      </c>
      <c r="D130" s="1" t="str">
        <f t="shared" ref="D130:D193" si="5">MID(B130, FIND("(", B130) + 1, FIND(")", B130) - FIND("(", B130) - 1)</f>
        <v>DET</v>
      </c>
      <c r="E130" s="1">
        <v>2</v>
      </c>
      <c r="F130" s="1">
        <v>11</v>
      </c>
      <c r="G130" s="1">
        <v>5.5</v>
      </c>
      <c r="H130" s="1">
        <v>0</v>
      </c>
      <c r="I130">
        <v>0</v>
      </c>
      <c r="J130">
        <v>11</v>
      </c>
      <c r="K130" cm="1">
        <f t="array" ref="K130">IFERROR(_xlfn.XLOOKUP(D130&amp;A130, RBWR!A:A&amp;RBWR!C:C, RBWR!B:B), "N/A")</f>
        <v>71</v>
      </c>
      <c r="L130" t="str" cm="1">
        <f t="array" ref="L130">IFERROR(_xlfn.XLOOKUP(C130&amp;A130, RYOE!A:A&amp;RYOE!F:F, RYOE!C:C), "N/A")</f>
        <v>N/A</v>
      </c>
      <c r="M130" t="str" cm="1">
        <f t="array" ref="M130">IFERROR(_xlfn.XLOOKUP(C130&amp;A130, RYOE!A:A&amp;RYOE!F:F, RYOE!D:D), "N/A")</f>
        <v>N/A</v>
      </c>
      <c r="N130" t="str" cm="1">
        <f t="array" ref="N130">IFERROR(_xlfn.XLOOKUP(C130&amp;A130, RYOE!A:A&amp;RYOE!F:F, RYOE!E:E), "N/A")</f>
        <v>N/A</v>
      </c>
    </row>
    <row r="131" spans="1:14" ht="15" customHeight="1" x14ac:dyDescent="0.45">
      <c r="A131" s="8">
        <v>2025</v>
      </c>
      <c r="B131" s="6" t="s">
        <v>162</v>
      </c>
      <c r="C131" s="2" t="str">
        <f t="shared" si="4"/>
        <v>Dylan Laube</v>
      </c>
      <c r="D131" s="2" t="str">
        <f t="shared" si="5"/>
        <v>LV</v>
      </c>
      <c r="E131" s="2">
        <v>7</v>
      </c>
      <c r="F131" s="2">
        <v>9</v>
      </c>
      <c r="G131" s="2">
        <v>1.3</v>
      </c>
      <c r="H131" s="2">
        <v>0</v>
      </c>
      <c r="I131">
        <v>1</v>
      </c>
      <c r="J131">
        <v>17</v>
      </c>
      <c r="K131" cm="1">
        <f t="array" ref="K131">IFERROR(_xlfn.XLOOKUP(D131&amp;A131, RBWR!A:A&amp;RBWR!C:C, RBWR!B:B), "N/A")</f>
        <v>70</v>
      </c>
      <c r="L131" t="str" cm="1">
        <f t="array" ref="L131">IFERROR(_xlfn.XLOOKUP(C131&amp;A131, RYOE!A:A&amp;RYOE!F:F, RYOE!C:C), "N/A")</f>
        <v>N/A</v>
      </c>
      <c r="M131" t="str" cm="1">
        <f t="array" ref="M131">IFERROR(_xlfn.XLOOKUP(C131&amp;A131, RYOE!A:A&amp;RYOE!F:F, RYOE!D:D), "N/A")</f>
        <v>N/A</v>
      </c>
      <c r="N131" t="str" cm="1">
        <f t="array" ref="N131">IFERROR(_xlfn.XLOOKUP(C131&amp;A131, RYOE!A:A&amp;RYOE!F:F, RYOE!E:E), "N/A")</f>
        <v>N/A</v>
      </c>
    </row>
    <row r="132" spans="1:14" ht="15" customHeight="1" x14ac:dyDescent="0.45">
      <c r="A132" s="7">
        <v>2025</v>
      </c>
      <c r="B132" s="5" t="s">
        <v>163</v>
      </c>
      <c r="C132" s="1" t="str">
        <f t="shared" si="4"/>
        <v>Alec Ingold</v>
      </c>
      <c r="D132" s="1" t="str">
        <f t="shared" si="5"/>
        <v>MIA</v>
      </c>
      <c r="E132" s="1">
        <v>2</v>
      </c>
      <c r="F132" s="1">
        <v>9</v>
      </c>
      <c r="G132" s="1">
        <v>4.5</v>
      </c>
      <c r="H132" s="1">
        <v>0</v>
      </c>
      <c r="I132">
        <v>0</v>
      </c>
      <c r="J132">
        <v>17</v>
      </c>
      <c r="K132" cm="1">
        <f t="array" ref="K132">IFERROR(_xlfn.XLOOKUP(D132&amp;A132, RBWR!A:A&amp;RBWR!C:C, RBWR!B:B), "N/A")</f>
        <v>70</v>
      </c>
      <c r="L132" t="str" cm="1">
        <f t="array" ref="L132">IFERROR(_xlfn.XLOOKUP(C132&amp;A132, RYOE!A:A&amp;RYOE!F:F, RYOE!C:C), "N/A")</f>
        <v>N/A</v>
      </c>
      <c r="M132" t="str" cm="1">
        <f t="array" ref="M132">IFERROR(_xlfn.XLOOKUP(C132&amp;A132, RYOE!A:A&amp;RYOE!F:F, RYOE!D:D), "N/A")</f>
        <v>N/A</v>
      </c>
      <c r="N132" t="str" cm="1">
        <f t="array" ref="N132">IFERROR(_xlfn.XLOOKUP(C132&amp;A132, RYOE!A:A&amp;RYOE!F:F, RYOE!E:E), "N/A")</f>
        <v>N/A</v>
      </c>
    </row>
    <row r="133" spans="1:14" ht="15" customHeight="1" x14ac:dyDescent="0.45">
      <c r="A133" s="8">
        <v>2025</v>
      </c>
      <c r="B133" s="6" t="s">
        <v>164</v>
      </c>
      <c r="C133" s="2" t="str">
        <f t="shared" si="4"/>
        <v>Amar Johnson</v>
      </c>
      <c r="D133" s="2" t="str">
        <f t="shared" si="5"/>
        <v>LAC</v>
      </c>
      <c r="E133" s="2">
        <v>2</v>
      </c>
      <c r="F133" s="2">
        <v>8</v>
      </c>
      <c r="G133" s="2">
        <v>4</v>
      </c>
      <c r="H133" s="2">
        <v>0</v>
      </c>
      <c r="I133">
        <v>0</v>
      </c>
      <c r="J133">
        <v>1</v>
      </c>
      <c r="K133" cm="1">
        <f t="array" ref="K133">IFERROR(_xlfn.XLOOKUP(D133&amp;A133, RBWR!A:A&amp;RBWR!C:C, RBWR!B:B), "N/A")</f>
        <v>69</v>
      </c>
      <c r="L133" t="str" cm="1">
        <f t="array" ref="L133">IFERROR(_xlfn.XLOOKUP(C133&amp;A133, RYOE!A:A&amp;RYOE!F:F, RYOE!C:C), "N/A")</f>
        <v>N/A</v>
      </c>
      <c r="M133" t="str" cm="1">
        <f t="array" ref="M133">IFERROR(_xlfn.XLOOKUP(C133&amp;A133, RYOE!A:A&amp;RYOE!F:F, RYOE!D:D), "N/A")</f>
        <v>N/A</v>
      </c>
      <c r="N133" t="str" cm="1">
        <f t="array" ref="N133">IFERROR(_xlfn.XLOOKUP(C133&amp;A133, RYOE!A:A&amp;RYOE!F:F, RYOE!E:E), "N/A")</f>
        <v>N/A</v>
      </c>
    </row>
    <row r="134" spans="1:14" ht="15" customHeight="1" x14ac:dyDescent="0.45">
      <c r="A134" s="7">
        <v>2025</v>
      </c>
      <c r="B134" s="5" t="s">
        <v>165</v>
      </c>
      <c r="C134" s="1" t="str">
        <f t="shared" si="4"/>
        <v>Kalel Mullings</v>
      </c>
      <c r="D134" s="1" t="str">
        <f t="shared" si="5"/>
        <v>TEN</v>
      </c>
      <c r="E134" s="1">
        <v>3</v>
      </c>
      <c r="F134" s="1">
        <v>7</v>
      </c>
      <c r="G134" s="1">
        <v>2.2999999999999998</v>
      </c>
      <c r="H134" s="1">
        <v>0</v>
      </c>
      <c r="I134">
        <v>0</v>
      </c>
      <c r="J134">
        <v>5</v>
      </c>
      <c r="K134" cm="1">
        <f t="array" ref="K134">IFERROR(_xlfn.XLOOKUP(D134&amp;A134, RBWR!A:A&amp;RBWR!C:C, RBWR!B:B), "N/A")</f>
        <v>70</v>
      </c>
      <c r="L134" t="str" cm="1">
        <f t="array" ref="L134">IFERROR(_xlfn.XLOOKUP(C134&amp;A134, RYOE!A:A&amp;RYOE!F:F, RYOE!C:C), "N/A")</f>
        <v>N/A</v>
      </c>
      <c r="M134" t="str" cm="1">
        <f t="array" ref="M134">IFERROR(_xlfn.XLOOKUP(C134&amp;A134, RYOE!A:A&amp;RYOE!F:F, RYOE!D:D), "N/A")</f>
        <v>N/A</v>
      </c>
      <c r="N134" t="str" cm="1">
        <f t="array" ref="N134">IFERROR(_xlfn.XLOOKUP(C134&amp;A134, RYOE!A:A&amp;RYOE!F:F, RYOE!E:E), "N/A")</f>
        <v>N/A</v>
      </c>
    </row>
    <row r="135" spans="1:14" ht="15" customHeight="1" x14ac:dyDescent="0.45">
      <c r="A135" s="8">
        <v>2025</v>
      </c>
      <c r="B135" s="6" t="s">
        <v>166</v>
      </c>
      <c r="C135" s="2" t="str">
        <f t="shared" si="4"/>
        <v>Owen Wright</v>
      </c>
      <c r="D135" s="2" t="str">
        <f t="shared" si="5"/>
        <v>TB</v>
      </c>
      <c r="E135" s="2">
        <v>3</v>
      </c>
      <c r="F135" s="2">
        <v>6</v>
      </c>
      <c r="G135" s="2">
        <v>2</v>
      </c>
      <c r="H135" s="2">
        <v>0</v>
      </c>
      <c r="I135">
        <v>0</v>
      </c>
      <c r="J135">
        <v>3</v>
      </c>
      <c r="K135" cm="1">
        <f t="array" ref="K135">IFERROR(_xlfn.XLOOKUP(D135&amp;A135, RBWR!A:A&amp;RBWR!C:C, RBWR!B:B), "N/A")</f>
        <v>70</v>
      </c>
      <c r="L135" t="str" cm="1">
        <f t="array" ref="L135">IFERROR(_xlfn.XLOOKUP(C135&amp;A135, RYOE!A:A&amp;RYOE!F:F, RYOE!C:C), "N/A")</f>
        <v>N/A</v>
      </c>
      <c r="M135" t="str" cm="1">
        <f t="array" ref="M135">IFERROR(_xlfn.XLOOKUP(C135&amp;A135, RYOE!A:A&amp;RYOE!F:F, RYOE!D:D), "N/A")</f>
        <v>N/A</v>
      </c>
      <c r="N135" t="str" cm="1">
        <f t="array" ref="N135">IFERROR(_xlfn.XLOOKUP(C135&amp;A135, RYOE!A:A&amp;RYOE!F:F, RYOE!E:E), "N/A")</f>
        <v>N/A</v>
      </c>
    </row>
    <row r="136" spans="1:14" ht="15" customHeight="1" x14ac:dyDescent="0.45">
      <c r="A136" s="7">
        <v>2025</v>
      </c>
      <c r="B136" s="5" t="s">
        <v>167</v>
      </c>
      <c r="C136" s="1" t="str">
        <f t="shared" si="4"/>
        <v>Myles Gaskin</v>
      </c>
      <c r="D136" s="1" t="str">
        <f t="shared" si="5"/>
        <v>SEA</v>
      </c>
      <c r="E136" s="1">
        <v>3</v>
      </c>
      <c r="F136" s="1">
        <v>6</v>
      </c>
      <c r="G136" s="1">
        <v>2</v>
      </c>
      <c r="H136" s="1">
        <v>0</v>
      </c>
      <c r="I136">
        <v>0</v>
      </c>
      <c r="J136">
        <v>1</v>
      </c>
      <c r="K136" cm="1">
        <f t="array" ref="K136">IFERROR(_xlfn.XLOOKUP(D136&amp;A136, RBWR!A:A&amp;RBWR!C:C, RBWR!B:B), "N/A")</f>
        <v>73</v>
      </c>
      <c r="L136" t="str" cm="1">
        <f t="array" ref="L136">IFERROR(_xlfn.XLOOKUP(C136&amp;A136, RYOE!A:A&amp;RYOE!F:F, RYOE!C:C), "N/A")</f>
        <v>N/A</v>
      </c>
      <c r="M136" t="str" cm="1">
        <f t="array" ref="M136">IFERROR(_xlfn.XLOOKUP(C136&amp;A136, RYOE!A:A&amp;RYOE!F:F, RYOE!D:D), "N/A")</f>
        <v>N/A</v>
      </c>
      <c r="N136" t="str" cm="1">
        <f t="array" ref="N136">IFERROR(_xlfn.XLOOKUP(C136&amp;A136, RYOE!A:A&amp;RYOE!F:F, RYOE!E:E), "N/A")</f>
        <v>N/A</v>
      </c>
    </row>
    <row r="137" spans="1:14" ht="15" customHeight="1" x14ac:dyDescent="0.45">
      <c r="A137" s="8">
        <v>2025</v>
      </c>
      <c r="B137" s="6" t="s">
        <v>168</v>
      </c>
      <c r="C137" s="2" t="str">
        <f t="shared" si="4"/>
        <v>C.J. Ham</v>
      </c>
      <c r="D137" s="2" t="str">
        <f t="shared" si="5"/>
        <v>MIN</v>
      </c>
      <c r="E137" s="2">
        <v>3</v>
      </c>
      <c r="F137" s="2">
        <v>5</v>
      </c>
      <c r="G137" s="2">
        <v>1.7</v>
      </c>
      <c r="H137" s="2">
        <v>2</v>
      </c>
      <c r="I137">
        <v>0</v>
      </c>
      <c r="J137">
        <v>11</v>
      </c>
      <c r="K137" cm="1">
        <f t="array" ref="K137">IFERROR(_xlfn.XLOOKUP(D137&amp;A137, RBWR!A:A&amp;RBWR!C:C, RBWR!B:B), "N/A")</f>
        <v>74</v>
      </c>
      <c r="L137" t="str" cm="1">
        <f t="array" ref="L137">IFERROR(_xlfn.XLOOKUP(C137&amp;A137, RYOE!A:A&amp;RYOE!F:F, RYOE!C:C), "N/A")</f>
        <v>N/A</v>
      </c>
      <c r="M137" t="str" cm="1">
        <f t="array" ref="M137">IFERROR(_xlfn.XLOOKUP(C137&amp;A137, RYOE!A:A&amp;RYOE!F:F, RYOE!D:D), "N/A")</f>
        <v>N/A</v>
      </c>
      <c r="N137" t="str" cm="1">
        <f t="array" ref="N137">IFERROR(_xlfn.XLOOKUP(C137&amp;A137, RYOE!A:A&amp;RYOE!F:F, RYOE!E:E), "N/A")</f>
        <v>N/A</v>
      </c>
    </row>
    <row r="138" spans="1:14" ht="15" customHeight="1" x14ac:dyDescent="0.45">
      <c r="A138" s="7">
        <v>2025</v>
      </c>
      <c r="B138" s="5" t="s">
        <v>169</v>
      </c>
      <c r="C138" s="1" t="str">
        <f t="shared" si="4"/>
        <v>Andrew Beck</v>
      </c>
      <c r="D138" s="1" t="str">
        <f t="shared" si="5"/>
        <v>NYJ</v>
      </c>
      <c r="E138" s="1">
        <v>1</v>
      </c>
      <c r="F138" s="1">
        <v>5</v>
      </c>
      <c r="G138" s="1">
        <v>5</v>
      </c>
      <c r="H138" s="1">
        <v>0</v>
      </c>
      <c r="I138">
        <v>0</v>
      </c>
      <c r="J138">
        <v>17</v>
      </c>
      <c r="K138" cm="1">
        <f t="array" ref="K138">IFERROR(_xlfn.XLOOKUP(D138&amp;A138, RBWR!A:A&amp;RBWR!C:C, RBWR!B:B), "N/A")</f>
        <v>71</v>
      </c>
      <c r="L138" t="str" cm="1">
        <f t="array" ref="L138">IFERROR(_xlfn.XLOOKUP(C138&amp;A138, RYOE!A:A&amp;RYOE!F:F, RYOE!C:C), "N/A")</f>
        <v>N/A</v>
      </c>
      <c r="M138" t="str" cm="1">
        <f t="array" ref="M138">IFERROR(_xlfn.XLOOKUP(C138&amp;A138, RYOE!A:A&amp;RYOE!F:F, RYOE!D:D), "N/A")</f>
        <v>N/A</v>
      </c>
      <c r="N138" t="str" cm="1">
        <f t="array" ref="N138">IFERROR(_xlfn.XLOOKUP(C138&amp;A138, RYOE!A:A&amp;RYOE!F:F, RYOE!E:E), "N/A")</f>
        <v>N/A</v>
      </c>
    </row>
    <row r="139" spans="1:14" ht="15" customHeight="1" x14ac:dyDescent="0.45">
      <c r="A139" s="8">
        <v>2025</v>
      </c>
      <c r="B139" s="6" t="s">
        <v>170</v>
      </c>
      <c r="C139" s="2" t="str">
        <f t="shared" si="4"/>
        <v>Sione Vaki</v>
      </c>
      <c r="D139" s="2" t="str">
        <f t="shared" si="5"/>
        <v>DET</v>
      </c>
      <c r="E139" s="2">
        <v>1</v>
      </c>
      <c r="F139" s="2">
        <v>4</v>
      </c>
      <c r="G139" s="2">
        <v>4</v>
      </c>
      <c r="H139" s="2">
        <v>0</v>
      </c>
      <c r="I139">
        <v>0</v>
      </c>
      <c r="J139">
        <v>8</v>
      </c>
      <c r="K139" cm="1">
        <f t="array" ref="K139">IFERROR(_xlfn.XLOOKUP(D139&amp;A139, RBWR!A:A&amp;RBWR!C:C, RBWR!B:B), "N/A")</f>
        <v>71</v>
      </c>
      <c r="L139" t="str" cm="1">
        <f t="array" ref="L139">IFERROR(_xlfn.XLOOKUP(C139&amp;A139, RYOE!A:A&amp;RYOE!F:F, RYOE!C:C), "N/A")</f>
        <v>N/A</v>
      </c>
      <c r="M139" t="str" cm="1">
        <f t="array" ref="M139">IFERROR(_xlfn.XLOOKUP(C139&amp;A139, RYOE!A:A&amp;RYOE!F:F, RYOE!D:D), "N/A")</f>
        <v>N/A</v>
      </c>
      <c r="N139" t="str" cm="1">
        <f t="array" ref="N139">IFERROR(_xlfn.XLOOKUP(C139&amp;A139, RYOE!A:A&amp;RYOE!F:F, RYOE!E:E), "N/A")</f>
        <v>N/A</v>
      </c>
    </row>
    <row r="140" spans="1:14" ht="15" customHeight="1" x14ac:dyDescent="0.45">
      <c r="A140" s="7">
        <v>2025</v>
      </c>
      <c r="B140" s="5" t="s">
        <v>171</v>
      </c>
      <c r="C140" s="1" t="str">
        <f t="shared" si="4"/>
        <v>Reggie Gilliam</v>
      </c>
      <c r="D140" s="1" t="str">
        <f t="shared" si="5"/>
        <v>BUF</v>
      </c>
      <c r="E140" s="1">
        <v>2</v>
      </c>
      <c r="F140" s="1">
        <v>4</v>
      </c>
      <c r="G140" s="1">
        <v>2</v>
      </c>
      <c r="H140" s="1">
        <v>0</v>
      </c>
      <c r="I140">
        <v>0</v>
      </c>
      <c r="J140">
        <v>17</v>
      </c>
      <c r="K140" cm="1">
        <f t="array" ref="K140">IFERROR(_xlfn.XLOOKUP(D140&amp;A140, RBWR!A:A&amp;RBWR!C:C, RBWR!B:B), "N/A")</f>
        <v>75</v>
      </c>
      <c r="L140" t="str" cm="1">
        <f t="array" ref="L140">IFERROR(_xlfn.XLOOKUP(C140&amp;A140, RYOE!A:A&amp;RYOE!F:F, RYOE!C:C), "N/A")</f>
        <v>N/A</v>
      </c>
      <c r="M140" t="str" cm="1">
        <f t="array" ref="M140">IFERROR(_xlfn.XLOOKUP(C140&amp;A140, RYOE!A:A&amp;RYOE!F:F, RYOE!D:D), "N/A")</f>
        <v>N/A</v>
      </c>
      <c r="N140" t="str" cm="1">
        <f t="array" ref="N140">IFERROR(_xlfn.XLOOKUP(C140&amp;A140, RYOE!A:A&amp;RYOE!F:F, RYOE!E:E), "N/A")</f>
        <v>N/A</v>
      </c>
    </row>
    <row r="141" spans="1:14" ht="15" customHeight="1" x14ac:dyDescent="0.45">
      <c r="A141" s="8">
        <v>2025</v>
      </c>
      <c r="B141" s="6" t="s">
        <v>172</v>
      </c>
      <c r="C141" s="2" t="str">
        <f t="shared" si="4"/>
        <v>Craig Reynolds</v>
      </c>
      <c r="D141" s="2" t="str">
        <f t="shared" si="5"/>
        <v>DET</v>
      </c>
      <c r="E141" s="2">
        <v>3</v>
      </c>
      <c r="F141" s="2">
        <v>4</v>
      </c>
      <c r="G141" s="2">
        <v>1.3</v>
      </c>
      <c r="H141" s="2">
        <v>0</v>
      </c>
      <c r="I141">
        <v>0</v>
      </c>
      <c r="J141">
        <v>6</v>
      </c>
      <c r="K141" cm="1">
        <f t="array" ref="K141">IFERROR(_xlfn.XLOOKUP(D141&amp;A141, RBWR!A:A&amp;RBWR!C:C, RBWR!B:B), "N/A")</f>
        <v>71</v>
      </c>
      <c r="L141" t="str" cm="1">
        <f t="array" ref="L141">IFERROR(_xlfn.XLOOKUP(C141&amp;A141, RYOE!A:A&amp;RYOE!F:F, RYOE!C:C), "N/A")</f>
        <v>N/A</v>
      </c>
      <c r="M141" t="str" cm="1">
        <f t="array" ref="M141">IFERROR(_xlfn.XLOOKUP(C141&amp;A141, RYOE!A:A&amp;RYOE!F:F, RYOE!D:D), "N/A")</f>
        <v>N/A</v>
      </c>
      <c r="N141" t="str" cm="1">
        <f t="array" ref="N141">IFERROR(_xlfn.XLOOKUP(C141&amp;A141, RYOE!A:A&amp;RYOE!F:F, RYOE!E:E), "N/A")</f>
        <v>N/A</v>
      </c>
    </row>
    <row r="142" spans="1:14" ht="15" customHeight="1" x14ac:dyDescent="0.45">
      <c r="A142" s="7">
        <v>2025</v>
      </c>
      <c r="B142" s="5" t="s">
        <v>173</v>
      </c>
      <c r="C142" s="1" t="str">
        <f t="shared" si="4"/>
        <v>Patrick Ricard</v>
      </c>
      <c r="D142" s="1" t="str">
        <f t="shared" si="5"/>
        <v>BAL</v>
      </c>
      <c r="E142" s="1">
        <v>1</v>
      </c>
      <c r="F142" s="1">
        <v>3</v>
      </c>
      <c r="G142" s="1">
        <v>3</v>
      </c>
      <c r="H142" s="1">
        <v>0</v>
      </c>
      <c r="I142">
        <v>0</v>
      </c>
      <c r="J142">
        <v>12</v>
      </c>
      <c r="K142" cm="1">
        <f t="array" ref="K142">IFERROR(_xlfn.XLOOKUP(D142&amp;A142, RBWR!A:A&amp;RBWR!C:C, RBWR!B:B), "N/A")</f>
        <v>71</v>
      </c>
      <c r="L142" t="str" cm="1">
        <f t="array" ref="L142">IFERROR(_xlfn.XLOOKUP(C142&amp;A142, RYOE!A:A&amp;RYOE!F:F, RYOE!C:C), "N/A")</f>
        <v>N/A</v>
      </c>
      <c r="M142" t="str" cm="1">
        <f t="array" ref="M142">IFERROR(_xlfn.XLOOKUP(C142&amp;A142, RYOE!A:A&amp;RYOE!F:F, RYOE!D:D), "N/A")</f>
        <v>N/A</v>
      </c>
      <c r="N142" t="str" cm="1">
        <f t="array" ref="N142">IFERROR(_xlfn.XLOOKUP(C142&amp;A142, RYOE!A:A&amp;RYOE!F:F, RYOE!E:E), "N/A")</f>
        <v>N/A</v>
      </c>
    </row>
    <row r="143" spans="1:14" ht="15" customHeight="1" x14ac:dyDescent="0.45">
      <c r="A143" s="8">
        <v>2025</v>
      </c>
      <c r="B143" s="6" t="s">
        <v>174</v>
      </c>
      <c r="C143" s="2" t="str">
        <f t="shared" si="4"/>
        <v>Kendall Milton</v>
      </c>
      <c r="D143" s="2" t="str">
        <f t="shared" si="5"/>
        <v>CIN</v>
      </c>
      <c r="E143" s="2">
        <v>2</v>
      </c>
      <c r="F143" s="2">
        <v>2</v>
      </c>
      <c r="G143" s="2">
        <v>1</v>
      </c>
      <c r="H143" s="2">
        <v>0</v>
      </c>
      <c r="I143">
        <v>0</v>
      </c>
      <c r="J143">
        <v>1</v>
      </c>
      <c r="K143" cm="1">
        <f t="array" ref="K143">IFERROR(_xlfn.XLOOKUP(D143&amp;A143, RBWR!A:A&amp;RBWR!C:C, RBWR!B:B), "N/A")</f>
        <v>72</v>
      </c>
      <c r="L143" t="str" cm="1">
        <f t="array" ref="L143">IFERROR(_xlfn.XLOOKUP(C143&amp;A143, RYOE!A:A&amp;RYOE!F:F, RYOE!C:C), "N/A")</f>
        <v>N/A</v>
      </c>
      <c r="M143" t="str" cm="1">
        <f t="array" ref="M143">IFERROR(_xlfn.XLOOKUP(C143&amp;A143, RYOE!A:A&amp;RYOE!F:F, RYOE!D:D), "N/A")</f>
        <v>N/A</v>
      </c>
      <c r="N143" t="str" cm="1">
        <f t="array" ref="N143">IFERROR(_xlfn.XLOOKUP(C143&amp;A143, RYOE!A:A&amp;RYOE!F:F, RYOE!E:E), "N/A")</f>
        <v>N/A</v>
      </c>
    </row>
    <row r="144" spans="1:14" ht="15" customHeight="1" x14ac:dyDescent="0.45">
      <c r="A144" s="7">
        <v>2025</v>
      </c>
      <c r="B144" s="5" t="s">
        <v>175</v>
      </c>
      <c r="C144" s="1" t="str">
        <f t="shared" si="4"/>
        <v>Xazavian Valladay</v>
      </c>
      <c r="D144" s="1" t="str">
        <f t="shared" si="5"/>
        <v>MIN</v>
      </c>
      <c r="E144" s="1">
        <v>0</v>
      </c>
      <c r="F144" s="1">
        <v>0</v>
      </c>
      <c r="G144" s="1">
        <v>0</v>
      </c>
      <c r="H144" s="1">
        <v>0</v>
      </c>
      <c r="I144">
        <v>0</v>
      </c>
      <c r="J144">
        <v>1</v>
      </c>
      <c r="K144" cm="1">
        <f t="array" ref="K144">IFERROR(_xlfn.XLOOKUP(D144&amp;A144, RBWR!A:A&amp;RBWR!C:C, RBWR!B:B), "N/A")</f>
        <v>74</v>
      </c>
      <c r="L144" t="str" cm="1">
        <f t="array" ref="L144">IFERROR(_xlfn.XLOOKUP(C144&amp;A144, RYOE!A:A&amp;RYOE!F:F, RYOE!C:C), "N/A")</f>
        <v>N/A</v>
      </c>
      <c r="M144" t="str" cm="1">
        <f t="array" ref="M144">IFERROR(_xlfn.XLOOKUP(C144&amp;A144, RYOE!A:A&amp;RYOE!F:F, RYOE!D:D), "N/A")</f>
        <v>N/A</v>
      </c>
      <c r="N144" t="str" cm="1">
        <f t="array" ref="N144">IFERROR(_xlfn.XLOOKUP(C144&amp;A144, RYOE!A:A&amp;RYOE!F:F, RYOE!E:E), "N/A")</f>
        <v>N/A</v>
      </c>
    </row>
    <row r="145" spans="1:14" ht="15" customHeight="1" x14ac:dyDescent="0.45">
      <c r="A145" s="8">
        <v>2025</v>
      </c>
      <c r="B145" s="6" t="s">
        <v>176</v>
      </c>
      <c r="C145" s="2" t="str">
        <f t="shared" si="4"/>
        <v>Ulysses Bentley IV</v>
      </c>
      <c r="D145" s="2" t="str">
        <f t="shared" si="5"/>
        <v>IND</v>
      </c>
      <c r="E145" s="2">
        <v>1</v>
      </c>
      <c r="F145" s="2">
        <v>0</v>
      </c>
      <c r="G145" s="2">
        <v>0</v>
      </c>
      <c r="H145" s="2">
        <v>0</v>
      </c>
      <c r="I145">
        <v>0</v>
      </c>
      <c r="J145">
        <v>1</v>
      </c>
      <c r="K145" cm="1">
        <f t="array" ref="K145">IFERROR(_xlfn.XLOOKUP(D145&amp;A145, RBWR!A:A&amp;RBWR!C:C, RBWR!B:B), "N/A")</f>
        <v>73</v>
      </c>
      <c r="L145" t="str" cm="1">
        <f t="array" ref="L145">IFERROR(_xlfn.XLOOKUP(C145&amp;A145, RYOE!A:A&amp;RYOE!F:F, RYOE!C:C), "N/A")</f>
        <v>N/A</v>
      </c>
      <c r="M145" t="str" cm="1">
        <f t="array" ref="M145">IFERROR(_xlfn.XLOOKUP(C145&amp;A145, RYOE!A:A&amp;RYOE!F:F, RYOE!D:D), "N/A")</f>
        <v>N/A</v>
      </c>
      <c r="N145" t="str" cm="1">
        <f t="array" ref="N145">IFERROR(_xlfn.XLOOKUP(C145&amp;A145, RYOE!A:A&amp;RYOE!F:F, RYOE!E:E), "N/A")</f>
        <v>N/A</v>
      </c>
    </row>
    <row r="146" spans="1:14" ht="15" customHeight="1" x14ac:dyDescent="0.45">
      <c r="A146" s="7">
        <v>2025</v>
      </c>
      <c r="B146" s="5" t="s">
        <v>177</v>
      </c>
      <c r="C146" s="1" t="str">
        <f t="shared" si="4"/>
        <v>Trey Sermon</v>
      </c>
      <c r="D146" s="1" t="str">
        <f t="shared" si="5"/>
        <v>PIT</v>
      </c>
      <c r="E146" s="1">
        <v>0</v>
      </c>
      <c r="F146" s="1">
        <v>0</v>
      </c>
      <c r="G146" s="1">
        <v>0</v>
      </c>
      <c r="H146" s="1">
        <v>0</v>
      </c>
      <c r="I146">
        <v>0</v>
      </c>
      <c r="J146">
        <v>3</v>
      </c>
      <c r="K146" cm="1">
        <f t="array" ref="K146">IFERROR(_xlfn.XLOOKUP(D146&amp;A146, RBWR!A:A&amp;RBWR!C:C, RBWR!B:B), "N/A")</f>
        <v>72</v>
      </c>
      <c r="L146" t="str" cm="1">
        <f t="array" ref="L146">IFERROR(_xlfn.XLOOKUP(C146&amp;A146, RYOE!A:A&amp;RYOE!F:F, RYOE!C:C), "N/A")</f>
        <v>N/A</v>
      </c>
      <c r="M146" t="str" cm="1">
        <f t="array" ref="M146">IFERROR(_xlfn.XLOOKUP(C146&amp;A146, RYOE!A:A&amp;RYOE!F:F, RYOE!D:D), "N/A")</f>
        <v>N/A</v>
      </c>
      <c r="N146" t="str" cm="1">
        <f t="array" ref="N146">IFERROR(_xlfn.XLOOKUP(C146&amp;A146, RYOE!A:A&amp;RYOE!F:F, RYOE!E:E), "N/A")</f>
        <v>N/A</v>
      </c>
    </row>
    <row r="147" spans="1:14" ht="15" customHeight="1" x14ac:dyDescent="0.45">
      <c r="A147" s="8">
        <v>2025</v>
      </c>
      <c r="B147" s="6" t="s">
        <v>178</v>
      </c>
      <c r="C147" s="2" t="str">
        <f t="shared" si="4"/>
        <v>Sincere McCormick</v>
      </c>
      <c r="D147" s="2" t="str">
        <f t="shared" si="5"/>
        <v>SF</v>
      </c>
      <c r="E147" s="2">
        <v>0</v>
      </c>
      <c r="F147" s="2">
        <v>0</v>
      </c>
      <c r="G147" s="2">
        <v>0</v>
      </c>
      <c r="H147" s="2">
        <v>0</v>
      </c>
      <c r="I147">
        <v>0</v>
      </c>
      <c r="J147">
        <v>1</v>
      </c>
      <c r="K147" cm="1">
        <f t="array" ref="K147">IFERROR(_xlfn.XLOOKUP(D147&amp;A147, RBWR!A:A&amp;RBWR!C:C, RBWR!B:B), "N/A")</f>
        <v>72</v>
      </c>
      <c r="L147" t="str" cm="1">
        <f t="array" ref="L147">IFERROR(_xlfn.XLOOKUP(C147&amp;A147, RYOE!A:A&amp;RYOE!F:F, RYOE!C:C), "N/A")</f>
        <v>N/A</v>
      </c>
      <c r="M147" t="str" cm="1">
        <f t="array" ref="M147">IFERROR(_xlfn.XLOOKUP(C147&amp;A147, RYOE!A:A&amp;RYOE!F:F, RYOE!D:D), "N/A")</f>
        <v>N/A</v>
      </c>
      <c r="N147" t="str" cm="1">
        <f t="array" ref="N147">IFERROR(_xlfn.XLOOKUP(C147&amp;A147, RYOE!A:A&amp;RYOE!F:F, RYOE!E:E), "N/A")</f>
        <v>N/A</v>
      </c>
    </row>
    <row r="148" spans="1:14" ht="15" customHeight="1" x14ac:dyDescent="0.45">
      <c r="A148" s="7">
        <v>2025</v>
      </c>
      <c r="B148" s="5" t="s">
        <v>179</v>
      </c>
      <c r="C148" s="1" t="str">
        <f t="shared" si="4"/>
        <v>Scott Matlock</v>
      </c>
      <c r="D148" s="1" t="str">
        <f t="shared" si="5"/>
        <v>LAC</v>
      </c>
      <c r="E148" s="1">
        <v>0</v>
      </c>
      <c r="F148" s="1">
        <v>0</v>
      </c>
      <c r="G148" s="1">
        <v>0</v>
      </c>
      <c r="H148" s="1">
        <v>0</v>
      </c>
      <c r="I148">
        <v>0</v>
      </c>
      <c r="J148">
        <v>16</v>
      </c>
      <c r="K148" cm="1">
        <f t="array" ref="K148">IFERROR(_xlfn.XLOOKUP(D148&amp;A148, RBWR!A:A&amp;RBWR!C:C, RBWR!B:B), "N/A")</f>
        <v>69</v>
      </c>
      <c r="L148" t="str" cm="1">
        <f t="array" ref="L148">IFERROR(_xlfn.XLOOKUP(C148&amp;A148, RYOE!A:A&amp;RYOE!F:F, RYOE!C:C), "N/A")</f>
        <v>N/A</v>
      </c>
      <c r="M148" t="str" cm="1">
        <f t="array" ref="M148">IFERROR(_xlfn.XLOOKUP(C148&amp;A148, RYOE!A:A&amp;RYOE!F:F, RYOE!D:D), "N/A")</f>
        <v>N/A</v>
      </c>
      <c r="N148" t="str" cm="1">
        <f t="array" ref="N148">IFERROR(_xlfn.XLOOKUP(C148&amp;A148, RYOE!A:A&amp;RYOE!F:F, RYOE!E:E), "N/A")</f>
        <v>N/A</v>
      </c>
    </row>
    <row r="149" spans="1:14" ht="15" customHeight="1" x14ac:dyDescent="0.45">
      <c r="A149" s="8">
        <v>2025</v>
      </c>
      <c r="B149" s="6" t="s">
        <v>180</v>
      </c>
      <c r="C149" s="2" t="str">
        <f t="shared" si="4"/>
        <v>Robbie Ouzts</v>
      </c>
      <c r="D149" s="2" t="str">
        <f t="shared" si="5"/>
        <v>SEA</v>
      </c>
      <c r="E149" s="2">
        <v>0</v>
      </c>
      <c r="F149" s="2">
        <v>0</v>
      </c>
      <c r="G149" s="2">
        <v>0</v>
      </c>
      <c r="H149" s="2">
        <v>0</v>
      </c>
      <c r="I149">
        <v>0</v>
      </c>
      <c r="J149">
        <v>12</v>
      </c>
      <c r="K149" cm="1">
        <f t="array" ref="K149">IFERROR(_xlfn.XLOOKUP(D149&amp;A149, RBWR!A:A&amp;RBWR!C:C, RBWR!B:B), "N/A")</f>
        <v>73</v>
      </c>
      <c r="L149" t="str" cm="1">
        <f t="array" ref="L149">IFERROR(_xlfn.XLOOKUP(C149&amp;A149, RYOE!A:A&amp;RYOE!F:F, RYOE!C:C), "N/A")</f>
        <v>N/A</v>
      </c>
      <c r="M149" t="str" cm="1">
        <f t="array" ref="M149">IFERROR(_xlfn.XLOOKUP(C149&amp;A149, RYOE!A:A&amp;RYOE!F:F, RYOE!D:D), "N/A")</f>
        <v>N/A</v>
      </c>
      <c r="N149" t="str" cm="1">
        <f t="array" ref="N149">IFERROR(_xlfn.XLOOKUP(C149&amp;A149, RYOE!A:A&amp;RYOE!F:F, RYOE!E:E), "N/A")</f>
        <v>N/A</v>
      </c>
    </row>
    <row r="150" spans="1:14" ht="15" customHeight="1" x14ac:dyDescent="0.45">
      <c r="A150" s="7">
        <v>2025</v>
      </c>
      <c r="B150" s="5" t="s">
        <v>181</v>
      </c>
      <c r="C150" s="1" t="str">
        <f t="shared" si="4"/>
        <v>Raheem Blackshear</v>
      </c>
      <c r="D150" s="1" t="str">
        <f t="shared" si="5"/>
        <v>PIT</v>
      </c>
      <c r="E150" s="1">
        <v>0</v>
      </c>
      <c r="F150" s="1">
        <v>0</v>
      </c>
      <c r="G150" s="1">
        <v>0</v>
      </c>
      <c r="H150" s="1">
        <v>0</v>
      </c>
      <c r="I150">
        <v>0</v>
      </c>
      <c r="J150">
        <v>1</v>
      </c>
      <c r="K150" cm="1">
        <f t="array" ref="K150">IFERROR(_xlfn.XLOOKUP(D150&amp;A150, RBWR!A:A&amp;RBWR!C:C, RBWR!B:B), "N/A")</f>
        <v>72</v>
      </c>
      <c r="L150" t="str" cm="1">
        <f t="array" ref="L150">IFERROR(_xlfn.XLOOKUP(C150&amp;A150, RYOE!A:A&amp;RYOE!F:F, RYOE!C:C), "N/A")</f>
        <v>N/A</v>
      </c>
      <c r="M150" t="str" cm="1">
        <f t="array" ref="M150">IFERROR(_xlfn.XLOOKUP(C150&amp;A150, RYOE!A:A&amp;RYOE!F:F, RYOE!D:D), "N/A")</f>
        <v>N/A</v>
      </c>
      <c r="N150" t="str" cm="1">
        <f t="array" ref="N150">IFERROR(_xlfn.XLOOKUP(C150&amp;A150, RYOE!A:A&amp;RYOE!F:F, RYOE!E:E), "N/A")</f>
        <v>N/A</v>
      </c>
    </row>
    <row r="151" spans="1:14" ht="15" customHeight="1" x14ac:dyDescent="0.45">
      <c r="A151" s="8">
        <v>2025</v>
      </c>
      <c r="B151" s="6" t="s">
        <v>182</v>
      </c>
      <c r="C151" s="2" t="str">
        <f t="shared" si="4"/>
        <v>Michael Burton</v>
      </c>
      <c r="D151" s="2" t="str">
        <f t="shared" si="5"/>
        <v>DEN</v>
      </c>
      <c r="E151" s="2">
        <v>0</v>
      </c>
      <c r="F151" s="2">
        <v>0</v>
      </c>
      <c r="G151" s="2">
        <v>0</v>
      </c>
      <c r="H151" s="2">
        <v>0</v>
      </c>
      <c r="I151">
        <v>0</v>
      </c>
      <c r="J151">
        <v>1</v>
      </c>
      <c r="K151" cm="1">
        <f t="array" ref="K151">IFERROR(_xlfn.XLOOKUP(D151&amp;A151, RBWR!A:A&amp;RBWR!C:C, RBWR!B:B), "N/A")</f>
        <v>74</v>
      </c>
      <c r="L151" t="str" cm="1">
        <f t="array" ref="L151">IFERROR(_xlfn.XLOOKUP(C151&amp;A151, RYOE!A:A&amp;RYOE!F:F, RYOE!C:C), "N/A")</f>
        <v>N/A</v>
      </c>
      <c r="M151" t="str" cm="1">
        <f t="array" ref="M151">IFERROR(_xlfn.XLOOKUP(C151&amp;A151, RYOE!A:A&amp;RYOE!F:F, RYOE!D:D), "N/A")</f>
        <v>N/A</v>
      </c>
      <c r="N151" t="str" cm="1">
        <f t="array" ref="N151">IFERROR(_xlfn.XLOOKUP(C151&amp;A151, RYOE!A:A&amp;RYOE!F:F, RYOE!E:E), "N/A")</f>
        <v>N/A</v>
      </c>
    </row>
    <row r="152" spans="1:14" ht="15" customHeight="1" x14ac:dyDescent="0.45">
      <c r="A152" s="7">
        <v>2025</v>
      </c>
      <c r="B152" s="5" t="s">
        <v>183</v>
      </c>
      <c r="C152" s="1" t="str">
        <f t="shared" si="4"/>
        <v>Lew Nichols III</v>
      </c>
      <c r="D152" s="1" t="str">
        <f t="shared" si="5"/>
        <v>PIT</v>
      </c>
      <c r="E152" s="1">
        <v>0</v>
      </c>
      <c r="F152" s="1">
        <v>0</v>
      </c>
      <c r="G152" s="1">
        <v>0</v>
      </c>
      <c r="H152" s="1">
        <v>0</v>
      </c>
      <c r="I152">
        <v>0</v>
      </c>
      <c r="J152">
        <v>2</v>
      </c>
      <c r="K152" cm="1">
        <f t="array" ref="K152">IFERROR(_xlfn.XLOOKUP(D152&amp;A152, RBWR!A:A&amp;RBWR!C:C, RBWR!B:B), "N/A")</f>
        <v>72</v>
      </c>
      <c r="L152" t="str" cm="1">
        <f t="array" ref="L152">IFERROR(_xlfn.XLOOKUP(C152&amp;A152, RYOE!A:A&amp;RYOE!F:F, RYOE!C:C), "N/A")</f>
        <v>N/A</v>
      </c>
      <c r="M152" t="str" cm="1">
        <f t="array" ref="M152">IFERROR(_xlfn.XLOOKUP(C152&amp;A152, RYOE!A:A&amp;RYOE!F:F, RYOE!D:D), "N/A")</f>
        <v>N/A</v>
      </c>
      <c r="N152" t="str" cm="1">
        <f t="array" ref="N152">IFERROR(_xlfn.XLOOKUP(C152&amp;A152, RYOE!A:A&amp;RYOE!F:F, RYOE!E:E), "N/A")</f>
        <v>N/A</v>
      </c>
    </row>
    <row r="153" spans="1:14" ht="15" customHeight="1" x14ac:dyDescent="0.45">
      <c r="A153" s="8">
        <v>2025</v>
      </c>
      <c r="B153" s="6" t="s">
        <v>184</v>
      </c>
      <c r="C153" s="2" t="str">
        <f t="shared" si="4"/>
        <v>Kye Robichaux</v>
      </c>
      <c r="D153" s="2" t="str">
        <f t="shared" si="5"/>
        <v>DET</v>
      </c>
      <c r="E153" s="2">
        <v>0</v>
      </c>
      <c r="F153" s="2">
        <v>0</v>
      </c>
      <c r="G153" s="2">
        <v>0</v>
      </c>
      <c r="H153" s="2">
        <v>0</v>
      </c>
      <c r="I153">
        <v>0</v>
      </c>
      <c r="J153">
        <v>1</v>
      </c>
      <c r="K153" cm="1">
        <f t="array" ref="K153">IFERROR(_xlfn.XLOOKUP(D153&amp;A153, RBWR!A:A&amp;RBWR!C:C, RBWR!B:B), "N/A")</f>
        <v>71</v>
      </c>
      <c r="L153" t="str" cm="1">
        <f t="array" ref="L153">IFERROR(_xlfn.XLOOKUP(C153&amp;A153, RYOE!A:A&amp;RYOE!F:F, RYOE!C:C), "N/A")</f>
        <v>N/A</v>
      </c>
      <c r="M153" t="str" cm="1">
        <f t="array" ref="M153">IFERROR(_xlfn.XLOOKUP(C153&amp;A153, RYOE!A:A&amp;RYOE!F:F, RYOE!D:D), "N/A")</f>
        <v>N/A</v>
      </c>
      <c r="N153" t="str" cm="1">
        <f t="array" ref="N153">IFERROR(_xlfn.XLOOKUP(C153&amp;A153, RYOE!A:A&amp;RYOE!F:F, RYOE!E:E), "N/A")</f>
        <v>N/A</v>
      </c>
    </row>
    <row r="154" spans="1:14" ht="15" customHeight="1" x14ac:dyDescent="0.45">
      <c r="A154" s="7">
        <v>2025</v>
      </c>
      <c r="B154" s="5" t="s">
        <v>185</v>
      </c>
      <c r="C154" s="1" t="str">
        <f t="shared" si="4"/>
        <v>Keilan Robinson</v>
      </c>
      <c r="D154" s="1" t="str">
        <f t="shared" si="5"/>
        <v>NYJ</v>
      </c>
      <c r="E154" s="1">
        <v>0</v>
      </c>
      <c r="F154" s="1">
        <v>0</v>
      </c>
      <c r="G154" s="1">
        <v>0</v>
      </c>
      <c r="H154" s="1">
        <v>0</v>
      </c>
      <c r="I154">
        <v>0</v>
      </c>
      <c r="J154">
        <v>1</v>
      </c>
      <c r="K154" cm="1">
        <f t="array" ref="K154">IFERROR(_xlfn.XLOOKUP(D154&amp;A154, RBWR!A:A&amp;RBWR!C:C, RBWR!B:B), "N/A")</f>
        <v>71</v>
      </c>
      <c r="L154" t="str" cm="1">
        <f t="array" ref="L154">IFERROR(_xlfn.XLOOKUP(C154&amp;A154, RYOE!A:A&amp;RYOE!F:F, RYOE!C:C), "N/A")</f>
        <v>N/A</v>
      </c>
      <c r="M154" t="str" cm="1">
        <f t="array" ref="M154">IFERROR(_xlfn.XLOOKUP(C154&amp;A154, RYOE!A:A&amp;RYOE!F:F, RYOE!D:D), "N/A")</f>
        <v>N/A</v>
      </c>
      <c r="N154" t="str" cm="1">
        <f t="array" ref="N154">IFERROR(_xlfn.XLOOKUP(C154&amp;A154, RYOE!A:A&amp;RYOE!F:F, RYOE!E:E), "N/A")</f>
        <v>N/A</v>
      </c>
    </row>
    <row r="155" spans="1:14" ht="15" customHeight="1" x14ac:dyDescent="0.45">
      <c r="A155" s="8">
        <v>2025</v>
      </c>
      <c r="B155" s="6" t="s">
        <v>186</v>
      </c>
      <c r="C155" s="2" t="str">
        <f t="shared" si="4"/>
        <v>Keaontay Ingram</v>
      </c>
      <c r="D155" s="2" t="str">
        <f t="shared" si="5"/>
        <v>KC</v>
      </c>
      <c r="E155" s="2">
        <v>0</v>
      </c>
      <c r="F155" s="2">
        <v>0</v>
      </c>
      <c r="G155" s="2">
        <v>0</v>
      </c>
      <c r="H155" s="2">
        <v>0</v>
      </c>
      <c r="I155">
        <v>0</v>
      </c>
      <c r="J155">
        <v>2</v>
      </c>
      <c r="K155" cm="1">
        <f t="array" ref="K155">IFERROR(_xlfn.XLOOKUP(D155&amp;A155, RBWR!A:A&amp;RBWR!C:C, RBWR!B:B), "N/A")</f>
        <v>70</v>
      </c>
      <c r="L155" t="str" cm="1">
        <f t="array" ref="L155">IFERROR(_xlfn.XLOOKUP(C155&amp;A155, RYOE!A:A&amp;RYOE!F:F, RYOE!C:C), "N/A")</f>
        <v>N/A</v>
      </c>
      <c r="M155" t="str" cm="1">
        <f t="array" ref="M155">IFERROR(_xlfn.XLOOKUP(C155&amp;A155, RYOE!A:A&amp;RYOE!F:F, RYOE!D:D), "N/A")</f>
        <v>N/A</v>
      </c>
      <c r="N155" t="str" cm="1">
        <f t="array" ref="N155">IFERROR(_xlfn.XLOOKUP(C155&amp;A155, RYOE!A:A&amp;RYOE!F:F, RYOE!E:E), "N/A")</f>
        <v>N/A</v>
      </c>
    </row>
    <row r="156" spans="1:14" ht="15" customHeight="1" x14ac:dyDescent="0.45">
      <c r="A156" s="7">
        <v>2025</v>
      </c>
      <c r="B156" s="5" t="s">
        <v>187</v>
      </c>
      <c r="C156" s="1" t="str">
        <f t="shared" si="4"/>
        <v>Jordan Mims</v>
      </c>
      <c r="D156" s="1" t="str">
        <f t="shared" si="5"/>
        <v>TEN</v>
      </c>
      <c r="E156" s="1">
        <v>0</v>
      </c>
      <c r="F156" s="1">
        <v>0</v>
      </c>
      <c r="G156" s="1">
        <v>0</v>
      </c>
      <c r="H156" s="1">
        <v>0</v>
      </c>
      <c r="I156">
        <v>0</v>
      </c>
      <c r="J156">
        <v>1</v>
      </c>
      <c r="K156" cm="1">
        <f t="array" ref="K156">IFERROR(_xlfn.XLOOKUP(D156&amp;A156, RBWR!A:A&amp;RBWR!C:C, RBWR!B:B), "N/A")</f>
        <v>70</v>
      </c>
      <c r="L156" t="str" cm="1">
        <f t="array" ref="L156">IFERROR(_xlfn.XLOOKUP(C156&amp;A156, RYOE!A:A&amp;RYOE!F:F, RYOE!C:C), "N/A")</f>
        <v>N/A</v>
      </c>
      <c r="M156" t="str" cm="1">
        <f t="array" ref="M156">IFERROR(_xlfn.XLOOKUP(C156&amp;A156, RYOE!A:A&amp;RYOE!F:F, RYOE!D:D), "N/A")</f>
        <v>N/A</v>
      </c>
      <c r="N156" t="str" cm="1">
        <f t="array" ref="N156">IFERROR(_xlfn.XLOOKUP(C156&amp;A156, RYOE!A:A&amp;RYOE!F:F, RYOE!E:E), "N/A")</f>
        <v>N/A</v>
      </c>
    </row>
    <row r="157" spans="1:14" ht="15" customHeight="1" x14ac:dyDescent="0.45">
      <c r="A157" s="8">
        <v>2025</v>
      </c>
      <c r="B157" s="6" t="s">
        <v>188</v>
      </c>
      <c r="C157" s="2" t="str">
        <f t="shared" si="4"/>
        <v>Jordan James</v>
      </c>
      <c r="D157" s="2" t="str">
        <f t="shared" si="5"/>
        <v>SF</v>
      </c>
      <c r="E157" s="2">
        <v>0</v>
      </c>
      <c r="F157" s="2">
        <v>0</v>
      </c>
      <c r="G157" s="2">
        <v>0</v>
      </c>
      <c r="H157" s="2">
        <v>0</v>
      </c>
      <c r="I157">
        <v>0</v>
      </c>
      <c r="J157">
        <v>2</v>
      </c>
      <c r="K157" cm="1">
        <f t="array" ref="K157">IFERROR(_xlfn.XLOOKUP(D157&amp;A157, RBWR!A:A&amp;RBWR!C:C, RBWR!B:B), "N/A")</f>
        <v>72</v>
      </c>
      <c r="L157" t="str" cm="1">
        <f t="array" ref="L157">IFERROR(_xlfn.XLOOKUP(C157&amp;A157, RYOE!A:A&amp;RYOE!F:F, RYOE!C:C), "N/A")</f>
        <v>N/A</v>
      </c>
      <c r="M157" t="str" cm="1">
        <f t="array" ref="M157">IFERROR(_xlfn.XLOOKUP(C157&amp;A157, RYOE!A:A&amp;RYOE!F:F, RYOE!D:D), "N/A")</f>
        <v>N/A</v>
      </c>
      <c r="N157" t="str" cm="1">
        <f t="array" ref="N157">IFERROR(_xlfn.XLOOKUP(C157&amp;A157, RYOE!A:A&amp;RYOE!F:F, RYOE!E:E), "N/A")</f>
        <v>N/A</v>
      </c>
    </row>
    <row r="158" spans="1:14" ht="15" customHeight="1" x14ac:dyDescent="0.45">
      <c r="A158" s="7">
        <v>2025</v>
      </c>
      <c r="B158" s="5" t="s">
        <v>189</v>
      </c>
      <c r="C158" s="1" t="str">
        <f t="shared" si="4"/>
        <v>Jeff Wilson Jr.</v>
      </c>
      <c r="D158" s="1" t="str">
        <f t="shared" si="5"/>
        <v>MIA</v>
      </c>
      <c r="E158" s="1">
        <v>0</v>
      </c>
      <c r="F158" s="1">
        <v>0</v>
      </c>
      <c r="G158" s="1">
        <v>0</v>
      </c>
      <c r="H158" s="1">
        <v>0</v>
      </c>
      <c r="I158">
        <v>0</v>
      </c>
      <c r="J158">
        <v>2</v>
      </c>
      <c r="K158" cm="1">
        <f t="array" ref="K158">IFERROR(_xlfn.XLOOKUP(D158&amp;A158, RBWR!A:A&amp;RBWR!C:C, RBWR!B:B), "N/A")</f>
        <v>70</v>
      </c>
      <c r="L158" t="str" cm="1">
        <f t="array" ref="L158">IFERROR(_xlfn.XLOOKUP(C158&amp;A158, RYOE!A:A&amp;RYOE!F:F, RYOE!C:C), "N/A")</f>
        <v>N/A</v>
      </c>
      <c r="M158" t="str" cm="1">
        <f t="array" ref="M158">IFERROR(_xlfn.XLOOKUP(C158&amp;A158, RYOE!A:A&amp;RYOE!F:F, RYOE!D:D), "N/A")</f>
        <v>N/A</v>
      </c>
      <c r="N158" t="str" cm="1">
        <f t="array" ref="N158">IFERROR(_xlfn.XLOOKUP(C158&amp;A158, RYOE!A:A&amp;RYOE!F:F, RYOE!E:E), "N/A")</f>
        <v>N/A</v>
      </c>
    </row>
    <row r="159" spans="1:14" ht="15" customHeight="1" x14ac:dyDescent="0.45">
      <c r="A159" s="8">
        <v>2025</v>
      </c>
      <c r="B159" s="6" t="s">
        <v>190</v>
      </c>
      <c r="C159" s="2" t="str">
        <f t="shared" si="4"/>
        <v>Jashaun Corbin</v>
      </c>
      <c r="D159" s="2" t="str">
        <f t="shared" si="5"/>
        <v>NE</v>
      </c>
      <c r="E159" s="2">
        <v>0</v>
      </c>
      <c r="F159" s="2">
        <v>0</v>
      </c>
      <c r="G159" s="2">
        <v>0</v>
      </c>
      <c r="H159" s="2">
        <v>0</v>
      </c>
      <c r="I159">
        <v>0</v>
      </c>
      <c r="J159">
        <v>1</v>
      </c>
      <c r="K159" cm="1">
        <f t="array" ref="K159">IFERROR(_xlfn.XLOOKUP(D159&amp;A159, RBWR!A:A&amp;RBWR!C:C, RBWR!B:B), "N/A")</f>
        <v>72</v>
      </c>
      <c r="L159" t="str" cm="1">
        <f t="array" ref="L159">IFERROR(_xlfn.XLOOKUP(C159&amp;A159, RYOE!A:A&amp;RYOE!F:F, RYOE!C:C), "N/A")</f>
        <v>N/A</v>
      </c>
      <c r="M159" t="str" cm="1">
        <f t="array" ref="M159">IFERROR(_xlfn.XLOOKUP(C159&amp;A159, RYOE!A:A&amp;RYOE!F:F, RYOE!D:D), "N/A")</f>
        <v>N/A</v>
      </c>
      <c r="N159" t="str" cm="1">
        <f t="array" ref="N159">IFERROR(_xlfn.XLOOKUP(C159&amp;A159, RYOE!A:A&amp;RYOE!F:F, RYOE!E:E), "N/A")</f>
        <v>N/A</v>
      </c>
    </row>
    <row r="160" spans="1:14" ht="15" customHeight="1" x14ac:dyDescent="0.45">
      <c r="A160" s="7">
        <v>2025</v>
      </c>
      <c r="B160" s="5" t="s">
        <v>191</v>
      </c>
      <c r="C160" s="1" t="str">
        <f t="shared" si="4"/>
        <v>Jakob Johnson</v>
      </c>
      <c r="D160" s="1" t="str">
        <f t="shared" si="5"/>
        <v>HOU</v>
      </c>
      <c r="E160" s="1">
        <v>0</v>
      </c>
      <c r="F160" s="1">
        <v>0</v>
      </c>
      <c r="G160" s="1">
        <v>0</v>
      </c>
      <c r="H160" s="1">
        <v>0</v>
      </c>
      <c r="I160">
        <v>0</v>
      </c>
      <c r="J160">
        <v>7</v>
      </c>
      <c r="K160" cm="1">
        <f t="array" ref="K160">IFERROR(_xlfn.XLOOKUP(D160&amp;A160, RBWR!A:A&amp;RBWR!C:C, RBWR!B:B), "N/A")</f>
        <v>68</v>
      </c>
      <c r="L160" t="str" cm="1">
        <f t="array" ref="L160">IFERROR(_xlfn.XLOOKUP(C160&amp;A160, RYOE!A:A&amp;RYOE!F:F, RYOE!C:C), "N/A")</f>
        <v>N/A</v>
      </c>
      <c r="M160" t="str" cm="1">
        <f t="array" ref="M160">IFERROR(_xlfn.XLOOKUP(C160&amp;A160, RYOE!A:A&amp;RYOE!F:F, RYOE!D:D), "N/A")</f>
        <v>N/A</v>
      </c>
      <c r="N160" t="str" cm="1">
        <f t="array" ref="N160">IFERROR(_xlfn.XLOOKUP(C160&amp;A160, RYOE!A:A&amp;RYOE!F:F, RYOE!E:E), "N/A")</f>
        <v>N/A</v>
      </c>
    </row>
    <row r="161" spans="1:14" ht="15" customHeight="1" x14ac:dyDescent="0.45">
      <c r="A161" s="8">
        <v>2025</v>
      </c>
      <c r="B161" s="6" t="s">
        <v>192</v>
      </c>
      <c r="C161" s="2" t="str">
        <f t="shared" si="4"/>
        <v>Jack Westover</v>
      </c>
      <c r="D161" s="2" t="str">
        <f t="shared" si="5"/>
        <v>NE</v>
      </c>
      <c r="E161" s="2">
        <v>0</v>
      </c>
      <c r="F161" s="2">
        <v>0</v>
      </c>
      <c r="G161" s="2">
        <v>0</v>
      </c>
      <c r="H161" s="2">
        <v>0</v>
      </c>
      <c r="I161">
        <v>0</v>
      </c>
      <c r="J161">
        <v>17</v>
      </c>
      <c r="K161" cm="1">
        <f t="array" ref="K161">IFERROR(_xlfn.XLOOKUP(D161&amp;A161, RBWR!A:A&amp;RBWR!C:C, RBWR!B:B), "N/A")</f>
        <v>72</v>
      </c>
      <c r="L161" t="str" cm="1">
        <f t="array" ref="L161">IFERROR(_xlfn.XLOOKUP(C161&amp;A161, RYOE!A:A&amp;RYOE!F:F, RYOE!C:C), "N/A")</f>
        <v>N/A</v>
      </c>
      <c r="M161" t="str" cm="1">
        <f t="array" ref="M161">IFERROR(_xlfn.XLOOKUP(C161&amp;A161, RYOE!A:A&amp;RYOE!F:F, RYOE!D:D), "N/A")</f>
        <v>N/A</v>
      </c>
      <c r="N161" t="str" cm="1">
        <f t="array" ref="N161">IFERROR(_xlfn.XLOOKUP(C161&amp;A161, RYOE!A:A&amp;RYOE!F:F, RYOE!E:E), "N/A")</f>
        <v>N/A</v>
      </c>
    </row>
    <row r="162" spans="1:14" ht="15" customHeight="1" x14ac:dyDescent="0.45">
      <c r="A162" s="7">
        <v>2025</v>
      </c>
      <c r="B162" s="5" t="s">
        <v>193</v>
      </c>
      <c r="C162" s="1" t="str">
        <f t="shared" si="4"/>
        <v>Isaac Guerendo</v>
      </c>
      <c r="D162" s="1" t="str">
        <f t="shared" si="5"/>
        <v>SF</v>
      </c>
      <c r="E162" s="1">
        <v>0</v>
      </c>
      <c r="F162" s="1">
        <v>0</v>
      </c>
      <c r="G162" s="1">
        <v>0</v>
      </c>
      <c r="H162" s="1">
        <v>0</v>
      </c>
      <c r="I162">
        <v>0</v>
      </c>
      <c r="J162">
        <v>8</v>
      </c>
      <c r="K162" cm="1">
        <f t="array" ref="K162">IFERROR(_xlfn.XLOOKUP(D162&amp;A162, RBWR!A:A&amp;RBWR!C:C, RBWR!B:B), "N/A")</f>
        <v>72</v>
      </c>
      <c r="L162" t="str" cm="1">
        <f t="array" ref="L162">IFERROR(_xlfn.XLOOKUP(C162&amp;A162, RYOE!A:A&amp;RYOE!F:F, RYOE!C:C), "N/A")</f>
        <v>N/A</v>
      </c>
      <c r="M162" t="str" cm="1">
        <f t="array" ref="M162">IFERROR(_xlfn.XLOOKUP(C162&amp;A162, RYOE!A:A&amp;RYOE!F:F, RYOE!D:D), "N/A")</f>
        <v>N/A</v>
      </c>
      <c r="N162" t="str" cm="1">
        <f t="array" ref="N162">IFERROR(_xlfn.XLOOKUP(C162&amp;A162, RYOE!A:A&amp;RYOE!F:F, RYOE!E:E), "N/A")</f>
        <v>N/A</v>
      </c>
    </row>
    <row r="163" spans="1:14" ht="15" customHeight="1" x14ac:dyDescent="0.45">
      <c r="A163" s="8">
        <v>2025</v>
      </c>
      <c r="B163" s="6" t="s">
        <v>194</v>
      </c>
      <c r="C163" s="2" t="str">
        <f t="shared" si="4"/>
        <v>Gary Brightwell</v>
      </c>
      <c r="D163" s="2" t="str">
        <f t="shared" si="5"/>
        <v>CIN</v>
      </c>
      <c r="E163" s="2">
        <v>0</v>
      </c>
      <c r="F163" s="2">
        <v>0</v>
      </c>
      <c r="G163" s="2">
        <v>0</v>
      </c>
      <c r="H163" s="2">
        <v>0</v>
      </c>
      <c r="I163">
        <v>0</v>
      </c>
      <c r="J163">
        <v>2</v>
      </c>
      <c r="K163" cm="1">
        <f t="array" ref="K163">IFERROR(_xlfn.XLOOKUP(D163&amp;A163, RBWR!A:A&amp;RBWR!C:C, RBWR!B:B), "N/A")</f>
        <v>72</v>
      </c>
      <c r="L163" t="str" cm="1">
        <f t="array" ref="L163">IFERROR(_xlfn.XLOOKUP(C163&amp;A163, RYOE!A:A&amp;RYOE!F:F, RYOE!C:C), "N/A")</f>
        <v>N/A</v>
      </c>
      <c r="M163" t="str" cm="1">
        <f t="array" ref="M163">IFERROR(_xlfn.XLOOKUP(C163&amp;A163, RYOE!A:A&amp;RYOE!F:F, RYOE!D:D), "N/A")</f>
        <v>N/A</v>
      </c>
      <c r="N163" t="str" cm="1">
        <f t="array" ref="N163">IFERROR(_xlfn.XLOOKUP(C163&amp;A163, RYOE!A:A&amp;RYOE!F:F, RYOE!E:E), "N/A")</f>
        <v>N/A</v>
      </c>
    </row>
    <row r="164" spans="1:14" ht="15" customHeight="1" x14ac:dyDescent="0.45">
      <c r="A164" s="7">
        <v>2025</v>
      </c>
      <c r="B164" s="5" t="s">
        <v>195</v>
      </c>
      <c r="C164" s="1" t="str">
        <f t="shared" si="4"/>
        <v>Eric Gray</v>
      </c>
      <c r="D164" s="1" t="str">
        <f t="shared" si="5"/>
        <v>NYG</v>
      </c>
      <c r="E164" s="1">
        <v>0</v>
      </c>
      <c r="F164" s="1">
        <v>0</v>
      </c>
      <c r="G164" s="1">
        <v>0</v>
      </c>
      <c r="H164" s="1">
        <v>0</v>
      </c>
      <c r="I164">
        <v>0</v>
      </c>
      <c r="J164">
        <v>3</v>
      </c>
      <c r="K164" cm="1">
        <f t="array" ref="K164">IFERROR(_xlfn.XLOOKUP(D164&amp;A164, RBWR!A:A&amp;RBWR!C:C, RBWR!B:B), "N/A")</f>
        <v>71</v>
      </c>
      <c r="L164" t="str" cm="1">
        <f t="array" ref="L164">IFERROR(_xlfn.XLOOKUP(C164&amp;A164, RYOE!A:A&amp;RYOE!F:F, RYOE!C:C), "N/A")</f>
        <v>N/A</v>
      </c>
      <c r="M164" t="str" cm="1">
        <f t="array" ref="M164">IFERROR(_xlfn.XLOOKUP(C164&amp;A164, RYOE!A:A&amp;RYOE!F:F, RYOE!D:D), "N/A")</f>
        <v>N/A</v>
      </c>
      <c r="N164" t="str" cm="1">
        <f t="array" ref="N164">IFERROR(_xlfn.XLOOKUP(C164&amp;A164, RYOE!A:A&amp;RYOE!F:F, RYOE!E:E), "N/A")</f>
        <v>N/A</v>
      </c>
    </row>
    <row r="165" spans="1:14" ht="15" customHeight="1" x14ac:dyDescent="0.45">
      <c r="A165" s="8">
        <v>2025</v>
      </c>
      <c r="B165" s="6" t="s">
        <v>196</v>
      </c>
      <c r="C165" s="2" t="str">
        <f t="shared" si="4"/>
        <v>Elijah Mitchell</v>
      </c>
      <c r="D165" s="2" t="str">
        <f t="shared" si="5"/>
        <v>KC</v>
      </c>
      <c r="E165" s="2">
        <v>0</v>
      </c>
      <c r="F165" s="2">
        <v>0</v>
      </c>
      <c r="G165" s="2">
        <v>0</v>
      </c>
      <c r="H165" s="2">
        <v>0</v>
      </c>
      <c r="I165">
        <v>0</v>
      </c>
      <c r="J165">
        <v>1</v>
      </c>
      <c r="K165" cm="1">
        <f t="array" ref="K165">IFERROR(_xlfn.XLOOKUP(D165&amp;A165, RBWR!A:A&amp;RBWR!C:C, RBWR!B:B), "N/A")</f>
        <v>70</v>
      </c>
      <c r="L165" t="str" cm="1">
        <f t="array" ref="L165">IFERROR(_xlfn.XLOOKUP(C165&amp;A165, RYOE!A:A&amp;RYOE!F:F, RYOE!C:C), "N/A")</f>
        <v>N/A</v>
      </c>
      <c r="M165" t="str" cm="1">
        <f t="array" ref="M165">IFERROR(_xlfn.XLOOKUP(C165&amp;A165, RYOE!A:A&amp;RYOE!F:F, RYOE!D:D), "N/A")</f>
        <v>N/A</v>
      </c>
      <c r="N165" t="str" cm="1">
        <f t="array" ref="N165">IFERROR(_xlfn.XLOOKUP(C165&amp;A165, RYOE!A:A&amp;RYOE!F:F, RYOE!E:E), "N/A")</f>
        <v>N/A</v>
      </c>
    </row>
    <row r="166" spans="1:14" ht="15" customHeight="1" x14ac:dyDescent="0.45">
      <c r="A166" s="7">
        <v>2025</v>
      </c>
      <c r="B166" s="5" t="s">
        <v>197</v>
      </c>
      <c r="C166" s="1" t="str">
        <f t="shared" si="4"/>
        <v>Deion Hankins</v>
      </c>
      <c r="D166" s="1" t="str">
        <f t="shared" si="5"/>
        <v>CHI</v>
      </c>
      <c r="E166" s="1">
        <v>0</v>
      </c>
      <c r="F166" s="1">
        <v>0</v>
      </c>
      <c r="G166" s="1">
        <v>0</v>
      </c>
      <c r="H166" s="1">
        <v>0</v>
      </c>
      <c r="I166">
        <v>0</v>
      </c>
      <c r="J166">
        <v>1</v>
      </c>
      <c r="K166" cm="1">
        <f t="array" ref="K166">IFERROR(_xlfn.XLOOKUP(D166&amp;A166, RBWR!A:A&amp;RBWR!C:C, RBWR!B:B), "N/A")</f>
        <v>74</v>
      </c>
      <c r="L166" t="str" cm="1">
        <f t="array" ref="L166">IFERROR(_xlfn.XLOOKUP(C166&amp;A166, RYOE!A:A&amp;RYOE!F:F, RYOE!C:C), "N/A")</f>
        <v>N/A</v>
      </c>
      <c r="M166" t="str" cm="1">
        <f t="array" ref="M166">IFERROR(_xlfn.XLOOKUP(C166&amp;A166, RYOE!A:A&amp;RYOE!F:F, RYOE!D:D), "N/A")</f>
        <v>N/A</v>
      </c>
      <c r="N166" t="str" cm="1">
        <f t="array" ref="N166">IFERROR(_xlfn.XLOOKUP(C166&amp;A166, RYOE!A:A&amp;RYOE!F:F, RYOE!E:E), "N/A")</f>
        <v>N/A</v>
      </c>
    </row>
    <row r="167" spans="1:14" ht="15" customHeight="1" x14ac:dyDescent="0.45">
      <c r="A167" s="8">
        <v>2025</v>
      </c>
      <c r="B167" s="6" t="s">
        <v>198</v>
      </c>
      <c r="C167" s="2" t="str">
        <f t="shared" si="4"/>
        <v>Chris Collier</v>
      </c>
      <c r="D167" s="2" t="str">
        <f t="shared" si="5"/>
        <v>LV</v>
      </c>
      <c r="E167" s="2">
        <v>0</v>
      </c>
      <c r="F167" s="2">
        <v>0</v>
      </c>
      <c r="G167" s="2">
        <v>0</v>
      </c>
      <c r="H167" s="2">
        <v>0</v>
      </c>
      <c r="I167">
        <v>0</v>
      </c>
      <c r="J167">
        <v>1</v>
      </c>
      <c r="K167" cm="1">
        <f t="array" ref="K167">IFERROR(_xlfn.XLOOKUP(D167&amp;A167, RBWR!A:A&amp;RBWR!C:C, RBWR!B:B), "N/A")</f>
        <v>70</v>
      </c>
      <c r="L167" t="str" cm="1">
        <f t="array" ref="L167">IFERROR(_xlfn.XLOOKUP(C167&amp;A167, RYOE!A:A&amp;RYOE!F:F, RYOE!C:C), "N/A")</f>
        <v>N/A</v>
      </c>
      <c r="M167" t="str" cm="1">
        <f t="array" ref="M167">IFERROR(_xlfn.XLOOKUP(C167&amp;A167, RYOE!A:A&amp;RYOE!F:F, RYOE!D:D), "N/A")</f>
        <v>N/A</v>
      </c>
      <c r="N167" t="str" cm="1">
        <f t="array" ref="N167">IFERROR(_xlfn.XLOOKUP(C167&amp;A167, RYOE!A:A&amp;RYOE!F:F, RYOE!E:E), "N/A")</f>
        <v>N/A</v>
      </c>
    </row>
    <row r="168" spans="1:14" ht="15" customHeight="1" x14ac:dyDescent="0.45">
      <c r="A168" s="7">
        <v>2025</v>
      </c>
      <c r="B168" s="5" t="s">
        <v>199</v>
      </c>
      <c r="C168" s="1" t="str">
        <f t="shared" si="4"/>
        <v>Chase Edmonds</v>
      </c>
      <c r="D168" s="1" t="str">
        <f t="shared" si="5"/>
        <v>WAS</v>
      </c>
      <c r="E168" s="1">
        <v>0</v>
      </c>
      <c r="F168" s="1">
        <v>0</v>
      </c>
      <c r="G168" s="1">
        <v>0</v>
      </c>
      <c r="H168" s="1">
        <v>0</v>
      </c>
      <c r="I168">
        <v>0</v>
      </c>
      <c r="J168">
        <v>3</v>
      </c>
      <c r="K168" cm="1">
        <f t="array" ref="K168">IFERROR(_xlfn.XLOOKUP(D168&amp;A168, RBWR!A:A&amp;RBWR!C:C, RBWR!B:B), "N/A")</f>
        <v>70</v>
      </c>
      <c r="L168" t="str" cm="1">
        <f t="array" ref="L168">IFERROR(_xlfn.XLOOKUP(C168&amp;A168, RYOE!A:A&amp;RYOE!F:F, RYOE!C:C), "N/A")</f>
        <v>N/A</v>
      </c>
      <c r="M168" t="str" cm="1">
        <f t="array" ref="M168">IFERROR(_xlfn.XLOOKUP(C168&amp;A168, RYOE!A:A&amp;RYOE!F:F, RYOE!D:D), "N/A")</f>
        <v>N/A</v>
      </c>
      <c r="N168" t="str" cm="1">
        <f t="array" ref="N168">IFERROR(_xlfn.XLOOKUP(C168&amp;A168, RYOE!A:A&amp;RYOE!F:F, RYOE!E:E), "N/A")</f>
        <v>N/A</v>
      </c>
    </row>
    <row r="169" spans="1:14" ht="15" customHeight="1" x14ac:dyDescent="0.45">
      <c r="A169" s="8">
        <v>2025</v>
      </c>
      <c r="B169" s="6" t="s">
        <v>200</v>
      </c>
      <c r="C169" s="2" t="str">
        <f t="shared" si="4"/>
        <v>Brady Russell</v>
      </c>
      <c r="D169" s="2" t="str">
        <f t="shared" si="5"/>
        <v>SEA</v>
      </c>
      <c r="E169" s="2">
        <v>0</v>
      </c>
      <c r="F169" s="2">
        <v>0</v>
      </c>
      <c r="G169" s="2">
        <v>0</v>
      </c>
      <c r="H169" s="2">
        <v>0</v>
      </c>
      <c r="I169">
        <v>0</v>
      </c>
      <c r="J169">
        <v>16</v>
      </c>
      <c r="K169" cm="1">
        <f t="array" ref="K169">IFERROR(_xlfn.XLOOKUP(D169&amp;A169, RBWR!A:A&amp;RBWR!C:C, RBWR!B:B), "N/A")</f>
        <v>73</v>
      </c>
      <c r="L169" t="str" cm="1">
        <f t="array" ref="L169">IFERROR(_xlfn.XLOOKUP(C169&amp;A169, RYOE!A:A&amp;RYOE!F:F, RYOE!C:C), "N/A")</f>
        <v>N/A</v>
      </c>
      <c r="M169" t="str" cm="1">
        <f t="array" ref="M169">IFERROR(_xlfn.XLOOKUP(C169&amp;A169, RYOE!A:A&amp;RYOE!F:F, RYOE!D:D), "N/A")</f>
        <v>N/A</v>
      </c>
      <c r="N169" t="str" cm="1">
        <f t="array" ref="N169">IFERROR(_xlfn.XLOOKUP(C169&amp;A169, RYOE!A:A&amp;RYOE!F:F, RYOE!E:E), "N/A")</f>
        <v>N/A</v>
      </c>
    </row>
    <row r="170" spans="1:14" ht="15" customHeight="1" x14ac:dyDescent="0.45">
      <c r="A170" s="7">
        <v>2025</v>
      </c>
      <c r="B170" s="5" t="s">
        <v>201</v>
      </c>
      <c r="C170" s="1" t="str">
        <f t="shared" si="4"/>
        <v>Avery Williams</v>
      </c>
      <c r="D170" s="1" t="str">
        <f t="shared" si="5"/>
        <v>NYJ</v>
      </c>
      <c r="E170" s="1">
        <v>0</v>
      </c>
      <c r="F170" s="1">
        <v>0</v>
      </c>
      <c r="G170" s="1">
        <v>0</v>
      </c>
      <c r="H170" s="1">
        <v>0</v>
      </c>
      <c r="I170">
        <v>0</v>
      </c>
      <c r="J170">
        <v>1</v>
      </c>
      <c r="K170" cm="1">
        <f t="array" ref="K170">IFERROR(_xlfn.XLOOKUP(D170&amp;A170, RBWR!A:A&amp;RBWR!C:C, RBWR!B:B), "N/A")</f>
        <v>71</v>
      </c>
      <c r="L170" t="str" cm="1">
        <f t="array" ref="L170">IFERROR(_xlfn.XLOOKUP(C170&amp;A170, RYOE!A:A&amp;RYOE!F:F, RYOE!C:C), "N/A")</f>
        <v>N/A</v>
      </c>
      <c r="M170" t="str" cm="1">
        <f t="array" ref="M170">IFERROR(_xlfn.XLOOKUP(C170&amp;A170, RYOE!A:A&amp;RYOE!F:F, RYOE!D:D), "N/A")</f>
        <v>N/A</v>
      </c>
      <c r="N170" t="str" cm="1">
        <f t="array" ref="N170">IFERROR(_xlfn.XLOOKUP(C170&amp;A170, RYOE!A:A&amp;RYOE!F:F, RYOE!E:E), "N/A")</f>
        <v>N/A</v>
      </c>
    </row>
    <row r="171" spans="1:14" ht="15" customHeight="1" x14ac:dyDescent="0.45">
      <c r="A171" s="8">
        <v>2025</v>
      </c>
      <c r="B171" s="6" t="s">
        <v>202</v>
      </c>
      <c r="C171" s="2" t="str">
        <f t="shared" si="4"/>
        <v>Alexander Mattison</v>
      </c>
      <c r="D171" s="2" t="str">
        <f t="shared" si="5"/>
        <v>MIA</v>
      </c>
      <c r="E171" s="2">
        <v>0</v>
      </c>
      <c r="F171" s="2">
        <v>0</v>
      </c>
      <c r="G171" s="2">
        <v>0</v>
      </c>
      <c r="H171" s="2">
        <v>0</v>
      </c>
      <c r="I171">
        <v>0</v>
      </c>
      <c r="J171">
        <v>2</v>
      </c>
      <c r="K171" cm="1">
        <f t="array" ref="K171">IFERROR(_xlfn.XLOOKUP(D171&amp;A171, RBWR!A:A&amp;RBWR!C:C, RBWR!B:B), "N/A")</f>
        <v>70</v>
      </c>
      <c r="L171" t="str" cm="1">
        <f t="array" ref="L171">IFERROR(_xlfn.XLOOKUP(C171&amp;A171, RYOE!A:A&amp;RYOE!F:F, RYOE!C:C), "N/A")</f>
        <v>N/A</v>
      </c>
      <c r="M171" t="str" cm="1">
        <f t="array" ref="M171">IFERROR(_xlfn.XLOOKUP(C171&amp;A171, RYOE!A:A&amp;RYOE!F:F, RYOE!D:D), "N/A")</f>
        <v>N/A</v>
      </c>
      <c r="N171" t="str" cm="1">
        <f t="array" ref="N171">IFERROR(_xlfn.XLOOKUP(C171&amp;A171, RYOE!A:A&amp;RYOE!F:F, RYOE!E:E), "N/A")</f>
        <v>N/A</v>
      </c>
    </row>
    <row r="172" spans="1:14" ht="15" customHeight="1" x14ac:dyDescent="0.45">
      <c r="A172" s="7">
        <v>2025</v>
      </c>
      <c r="B172" s="5" t="s">
        <v>203</v>
      </c>
      <c r="C172" s="1" t="str">
        <f t="shared" si="4"/>
        <v>Travis Homer</v>
      </c>
      <c r="D172" s="1" t="str">
        <f t="shared" si="5"/>
        <v>CHI</v>
      </c>
      <c r="E172" s="1">
        <v>1</v>
      </c>
      <c r="F172" s="1">
        <v>-2</v>
      </c>
      <c r="G172" s="1">
        <v>-2</v>
      </c>
      <c r="H172" s="1">
        <v>0</v>
      </c>
      <c r="I172">
        <v>0</v>
      </c>
      <c r="J172">
        <v>8</v>
      </c>
      <c r="K172" cm="1">
        <f t="array" ref="K172">IFERROR(_xlfn.XLOOKUP(D172&amp;A172, RBWR!A:A&amp;RBWR!C:C, RBWR!B:B), "N/A")</f>
        <v>74</v>
      </c>
      <c r="L172" t="str" cm="1">
        <f t="array" ref="L172">IFERROR(_xlfn.XLOOKUP(C172&amp;A172, RYOE!A:A&amp;RYOE!F:F, RYOE!C:C), "N/A")</f>
        <v>N/A</v>
      </c>
      <c r="M172" t="str" cm="1">
        <f t="array" ref="M172">IFERROR(_xlfn.XLOOKUP(C172&amp;A172, RYOE!A:A&amp;RYOE!F:F, RYOE!D:D), "N/A")</f>
        <v>N/A</v>
      </c>
      <c r="N172" t="str" cm="1">
        <f t="array" ref="N172">IFERROR(_xlfn.XLOOKUP(C172&amp;A172, RYOE!A:A&amp;RYOE!F:F, RYOE!E:E), "N/A")</f>
        <v>N/A</v>
      </c>
    </row>
    <row r="173" spans="1:14" ht="15" customHeight="1" x14ac:dyDescent="0.45">
      <c r="A173" s="8">
        <v>2025</v>
      </c>
      <c r="B173" s="6" t="s">
        <v>204</v>
      </c>
      <c r="C173" s="2" t="str">
        <f t="shared" si="4"/>
        <v>Nyheim Miller-Hines</v>
      </c>
      <c r="D173" s="2" t="str">
        <f t="shared" si="5"/>
        <v>NO</v>
      </c>
      <c r="E173" s="2">
        <v>2</v>
      </c>
      <c r="F173" s="2">
        <v>-2</v>
      </c>
      <c r="G173" s="2">
        <v>-1</v>
      </c>
      <c r="H173" s="2">
        <v>0</v>
      </c>
      <c r="I173">
        <v>0</v>
      </c>
      <c r="J173">
        <v>4</v>
      </c>
      <c r="K173" cm="1">
        <f t="array" ref="K173">IFERROR(_xlfn.XLOOKUP(D173&amp;A173, RBWR!A:A&amp;RBWR!C:C, RBWR!B:B), "N/A")</f>
        <v>70</v>
      </c>
      <c r="L173" t="str" cm="1">
        <f t="array" ref="L173">IFERROR(_xlfn.XLOOKUP(C173&amp;A173, RYOE!A:A&amp;RYOE!F:F, RYOE!C:C), "N/A")</f>
        <v>N/A</v>
      </c>
      <c r="M173" t="str" cm="1">
        <f t="array" ref="M173">IFERROR(_xlfn.XLOOKUP(C173&amp;A173, RYOE!A:A&amp;RYOE!F:F, RYOE!D:D), "N/A")</f>
        <v>N/A</v>
      </c>
      <c r="N173" t="str" cm="1">
        <f t="array" ref="N173">IFERROR(_xlfn.XLOOKUP(C173&amp;A173, RYOE!A:A&amp;RYOE!F:F, RYOE!E:E), "N/A")</f>
        <v>N/A</v>
      </c>
    </row>
    <row r="174" spans="1:14" ht="15" customHeight="1" x14ac:dyDescent="0.45">
      <c r="A174" s="7">
        <v>2025</v>
      </c>
      <c r="B174" s="5" t="s">
        <v>205</v>
      </c>
      <c r="C174" s="1" t="str">
        <f t="shared" si="4"/>
        <v>Kyle Juszczyk</v>
      </c>
      <c r="D174" s="1" t="str">
        <f t="shared" si="5"/>
        <v>SF</v>
      </c>
      <c r="E174" s="1">
        <v>2</v>
      </c>
      <c r="F174" s="1">
        <v>-3</v>
      </c>
      <c r="G174" s="1">
        <v>-1.5</v>
      </c>
      <c r="H174" s="1">
        <v>0</v>
      </c>
      <c r="I174">
        <v>0</v>
      </c>
      <c r="J174">
        <v>17</v>
      </c>
      <c r="K174" cm="1">
        <f t="array" ref="K174">IFERROR(_xlfn.XLOOKUP(D174&amp;A174, RBWR!A:A&amp;RBWR!C:C, RBWR!B:B), "N/A")</f>
        <v>72</v>
      </c>
      <c r="L174" t="str" cm="1">
        <f t="array" ref="L174">IFERROR(_xlfn.XLOOKUP(C174&amp;A174, RYOE!A:A&amp;RYOE!F:F, RYOE!C:C), "N/A")</f>
        <v>N/A</v>
      </c>
      <c r="M174" t="str" cm="1">
        <f t="array" ref="M174">IFERROR(_xlfn.XLOOKUP(C174&amp;A174, RYOE!A:A&amp;RYOE!F:F, RYOE!D:D), "N/A")</f>
        <v>N/A</v>
      </c>
      <c r="N174" t="str" cm="1">
        <f t="array" ref="N174">IFERROR(_xlfn.XLOOKUP(C174&amp;A174, RYOE!A:A&amp;RYOE!F:F, RYOE!E:E), "N/A")</f>
        <v>N/A</v>
      </c>
    </row>
    <row r="175" spans="1:14" ht="15" customHeight="1" x14ac:dyDescent="0.45">
      <c r="A175" s="8">
        <v>2024</v>
      </c>
      <c r="B175" s="6" t="s">
        <v>42</v>
      </c>
      <c r="C175" s="2" t="str">
        <f t="shared" si="4"/>
        <v>Saquon Barkley</v>
      </c>
      <c r="D175" s="2" t="str">
        <f t="shared" si="5"/>
        <v>PHI</v>
      </c>
      <c r="E175" s="2">
        <v>345</v>
      </c>
      <c r="F175" s="2">
        <v>2005</v>
      </c>
      <c r="G175" s="2">
        <v>5.8</v>
      </c>
      <c r="H175" s="2">
        <v>13</v>
      </c>
      <c r="I175">
        <v>1</v>
      </c>
      <c r="J175">
        <v>16</v>
      </c>
      <c r="K175" cm="1">
        <f t="array" ref="K175">IFERROR(_xlfn.XLOOKUP(D175&amp;A175, RBWR!A:A&amp;RBWR!C:C, RBWR!B:B), "N/A")</f>
        <v>72</v>
      </c>
      <c r="L175" cm="1">
        <f t="array" ref="L175">IFERROR(_xlfn.XLOOKUP(C175&amp;A175, RYOE!A:A&amp;RYOE!F:F, RYOE!C:C), "N/A")</f>
        <v>546</v>
      </c>
      <c r="M175" cm="1">
        <f t="array" ref="M175">IFERROR(_xlfn.XLOOKUP(C175&amp;A175, RYOE!A:A&amp;RYOE!F:F, RYOE!D:D), "N/A")</f>
        <v>1.61</v>
      </c>
      <c r="N175" cm="1">
        <f t="array" ref="N175">IFERROR(_xlfn.XLOOKUP(C175&amp;A175, RYOE!A:A&amp;RYOE!F:F, RYOE!E:E), "N/A")</f>
        <v>44</v>
      </c>
    </row>
    <row r="176" spans="1:14" ht="15" customHeight="1" x14ac:dyDescent="0.45">
      <c r="A176" s="7">
        <v>2024</v>
      </c>
      <c r="B176" s="5" t="s">
        <v>34</v>
      </c>
      <c r="C176" s="1" t="str">
        <f t="shared" si="4"/>
        <v>Derrick Henry</v>
      </c>
      <c r="D176" s="1" t="str">
        <f t="shared" si="5"/>
        <v>BAL</v>
      </c>
      <c r="E176" s="1">
        <v>325</v>
      </c>
      <c r="F176" s="1">
        <v>1921</v>
      </c>
      <c r="G176" s="1">
        <v>5.9</v>
      </c>
      <c r="H176" s="1">
        <v>16</v>
      </c>
      <c r="I176">
        <v>1</v>
      </c>
      <c r="J176">
        <v>17</v>
      </c>
      <c r="K176" cm="1">
        <f t="array" ref="K176">IFERROR(_xlfn.XLOOKUP(D176&amp;A176, RBWR!A:A&amp;RBWR!C:C, RBWR!B:B), "N/A")</f>
        <v>74</v>
      </c>
      <c r="L176" cm="1">
        <f t="array" ref="L176">IFERROR(_xlfn.XLOOKUP(C176&amp;A176, RYOE!A:A&amp;RYOE!F:F, RYOE!C:C), "N/A")</f>
        <v>562</v>
      </c>
      <c r="M176" cm="1">
        <f t="array" ref="M176">IFERROR(_xlfn.XLOOKUP(C176&amp;A176, RYOE!A:A&amp;RYOE!F:F, RYOE!D:D), "N/A")</f>
        <v>1.77</v>
      </c>
      <c r="N176" cm="1">
        <f t="array" ref="N176">IFERROR(_xlfn.XLOOKUP(C176&amp;A176, RYOE!A:A&amp;RYOE!F:F, RYOE!E:E), "N/A")</f>
        <v>46.9</v>
      </c>
    </row>
    <row r="177" spans="1:14" ht="15" customHeight="1" x14ac:dyDescent="0.45">
      <c r="A177" s="8">
        <v>2024</v>
      </c>
      <c r="B177" s="6" t="s">
        <v>39</v>
      </c>
      <c r="C177" s="2" t="str">
        <f t="shared" si="4"/>
        <v>Jahmyr Gibbs</v>
      </c>
      <c r="D177" s="2" t="str">
        <f t="shared" si="5"/>
        <v>DET</v>
      </c>
      <c r="E177" s="2">
        <v>250</v>
      </c>
      <c r="F177" s="2">
        <v>1412</v>
      </c>
      <c r="G177" s="2">
        <v>5.6</v>
      </c>
      <c r="H177" s="2">
        <v>16</v>
      </c>
      <c r="I177">
        <v>1</v>
      </c>
      <c r="J177">
        <v>17</v>
      </c>
      <c r="K177" cm="1">
        <f t="array" ref="K177">IFERROR(_xlfn.XLOOKUP(D177&amp;A177, RBWR!A:A&amp;RBWR!C:C, RBWR!B:B), "N/A")</f>
        <v>72</v>
      </c>
      <c r="L177" cm="1">
        <f t="array" ref="L177">IFERROR(_xlfn.XLOOKUP(C177&amp;A177, RYOE!A:A&amp;RYOE!F:F, RYOE!C:C), "N/A")</f>
        <v>218</v>
      </c>
      <c r="M177" cm="1">
        <f t="array" ref="M177">IFERROR(_xlfn.XLOOKUP(C177&amp;A177, RYOE!A:A&amp;RYOE!F:F, RYOE!D:D), "N/A")</f>
        <v>0.88</v>
      </c>
      <c r="N177" cm="1">
        <f t="array" ref="N177">IFERROR(_xlfn.XLOOKUP(C177&amp;A177, RYOE!A:A&amp;RYOE!F:F, RYOE!E:E), "N/A")</f>
        <v>39.799999999999997</v>
      </c>
    </row>
    <row r="178" spans="1:14" ht="15" customHeight="1" x14ac:dyDescent="0.45">
      <c r="A178" s="7">
        <v>2024</v>
      </c>
      <c r="B178" s="5" t="s">
        <v>36</v>
      </c>
      <c r="C178" s="1" t="str">
        <f t="shared" si="4"/>
        <v>Bijan Robinson</v>
      </c>
      <c r="D178" s="1" t="str">
        <f t="shared" si="5"/>
        <v>ATL</v>
      </c>
      <c r="E178" s="1">
        <v>304</v>
      </c>
      <c r="F178" s="1">
        <v>1456</v>
      </c>
      <c r="G178" s="1">
        <v>4.8</v>
      </c>
      <c r="H178" s="1">
        <v>14</v>
      </c>
      <c r="I178">
        <v>0</v>
      </c>
      <c r="J178">
        <v>17</v>
      </c>
      <c r="K178" cm="1">
        <f t="array" ref="K178">IFERROR(_xlfn.XLOOKUP(D178&amp;A178, RBWR!A:A&amp;RBWR!C:C, RBWR!B:B), "N/A")</f>
        <v>71</v>
      </c>
      <c r="L178" cm="1">
        <f t="array" ref="L178">IFERROR(_xlfn.XLOOKUP(C178&amp;A178, RYOE!A:A&amp;RYOE!F:F, RYOE!C:C), "N/A")</f>
        <v>199</v>
      </c>
      <c r="M178" cm="1">
        <f t="array" ref="M178">IFERROR(_xlfn.XLOOKUP(C178&amp;A178, RYOE!A:A&amp;RYOE!F:F, RYOE!D:D), "N/A")</f>
        <v>0.68</v>
      </c>
      <c r="N178" cm="1">
        <f t="array" ref="N178">IFERROR(_xlfn.XLOOKUP(C178&amp;A178, RYOE!A:A&amp;RYOE!F:F, RYOE!E:E), "N/A")</f>
        <v>48.3</v>
      </c>
    </row>
    <row r="179" spans="1:14" ht="15" customHeight="1" x14ac:dyDescent="0.45">
      <c r="A179" s="8">
        <v>2024</v>
      </c>
      <c r="B179" s="6" t="s">
        <v>52</v>
      </c>
      <c r="C179" s="2" t="str">
        <f t="shared" si="4"/>
        <v>Josh Jacobs</v>
      </c>
      <c r="D179" s="2" t="str">
        <f t="shared" si="5"/>
        <v>GB</v>
      </c>
      <c r="E179" s="2">
        <v>301</v>
      </c>
      <c r="F179" s="2">
        <v>1329</v>
      </c>
      <c r="G179" s="2">
        <v>4.4000000000000004</v>
      </c>
      <c r="H179" s="2">
        <v>15</v>
      </c>
      <c r="I179">
        <v>3</v>
      </c>
      <c r="J179">
        <v>17</v>
      </c>
      <c r="K179" cm="1">
        <f t="array" ref="K179">IFERROR(_xlfn.XLOOKUP(D179&amp;A179, RBWR!A:A&amp;RBWR!C:C, RBWR!B:B), "N/A")</f>
        <v>71</v>
      </c>
      <c r="L179" cm="1">
        <f t="array" ref="L179">IFERROR(_xlfn.XLOOKUP(C179&amp;A179, RYOE!A:A&amp;RYOE!F:F, RYOE!C:C), "N/A")</f>
        <v>217</v>
      </c>
      <c r="M179" cm="1">
        <f t="array" ref="M179">IFERROR(_xlfn.XLOOKUP(C179&amp;A179, RYOE!A:A&amp;RYOE!F:F, RYOE!D:D), "N/A")</f>
        <v>0.73</v>
      </c>
      <c r="N179" cm="1">
        <f t="array" ref="N179">IFERROR(_xlfn.XLOOKUP(C179&amp;A179, RYOE!A:A&amp;RYOE!F:F, RYOE!E:E), "N/A")</f>
        <v>48.8</v>
      </c>
    </row>
    <row r="180" spans="1:14" ht="15" customHeight="1" x14ac:dyDescent="0.45">
      <c r="A180" s="7">
        <v>2024</v>
      </c>
      <c r="B180" s="5" t="s">
        <v>38</v>
      </c>
      <c r="C180" s="1" t="str">
        <f t="shared" si="4"/>
        <v>Kyren Williams</v>
      </c>
      <c r="D180" s="1" t="str">
        <f t="shared" si="5"/>
        <v>LAR</v>
      </c>
      <c r="E180" s="1">
        <v>316</v>
      </c>
      <c r="F180" s="1">
        <v>1299</v>
      </c>
      <c r="G180" s="1">
        <v>4.0999999999999996</v>
      </c>
      <c r="H180" s="1">
        <v>14</v>
      </c>
      <c r="I180">
        <v>3</v>
      </c>
      <c r="J180">
        <v>16</v>
      </c>
      <c r="K180" cm="1">
        <f t="array" ref="K180">IFERROR(_xlfn.XLOOKUP(D180&amp;A180, RBWR!A:A&amp;RBWR!C:C, RBWR!B:B), "N/A")</f>
        <v>72</v>
      </c>
      <c r="L180" cm="1">
        <f t="array" ref="L180">IFERROR(_xlfn.XLOOKUP(C180&amp;A180, RYOE!A:A&amp;RYOE!F:F, RYOE!C:C), "N/A")</f>
        <v>0</v>
      </c>
      <c r="M180" cm="1">
        <f t="array" ref="M180">IFERROR(_xlfn.XLOOKUP(C180&amp;A180, RYOE!A:A&amp;RYOE!F:F, RYOE!D:D), "N/A")</f>
        <v>0</v>
      </c>
      <c r="N180" cm="1">
        <f t="array" ref="N180">IFERROR(_xlfn.XLOOKUP(C180&amp;A180, RYOE!A:A&amp;RYOE!F:F, RYOE!E:E), "N/A")</f>
        <v>39</v>
      </c>
    </row>
    <row r="181" spans="1:14" ht="15" customHeight="1" x14ac:dyDescent="0.45">
      <c r="A181" s="8">
        <v>2024</v>
      </c>
      <c r="B181" s="6" t="s">
        <v>33</v>
      </c>
      <c r="C181" s="2" t="str">
        <f t="shared" si="4"/>
        <v>James Cook III</v>
      </c>
      <c r="D181" s="2" t="str">
        <f t="shared" si="5"/>
        <v>BUF</v>
      </c>
      <c r="E181" s="2">
        <v>207</v>
      </c>
      <c r="F181" s="2">
        <v>1009</v>
      </c>
      <c r="G181" s="2">
        <v>4.9000000000000004</v>
      </c>
      <c r="H181" s="2">
        <v>16</v>
      </c>
      <c r="I181">
        <v>0</v>
      </c>
      <c r="J181">
        <v>16</v>
      </c>
      <c r="K181" cm="1">
        <f t="array" ref="K181">IFERROR(_xlfn.XLOOKUP(D181&amp;A181, RBWR!A:A&amp;RBWR!C:C, RBWR!B:B), "N/A")</f>
        <v>71</v>
      </c>
      <c r="L181" cm="1">
        <f t="array" ref="L181">IFERROR(_xlfn.XLOOKUP(C181&amp;A181, RYOE!A:A&amp;RYOE!F:F, RYOE!C:C), "N/A")</f>
        <v>167</v>
      </c>
      <c r="M181" cm="1">
        <f t="array" ref="M181">IFERROR(_xlfn.XLOOKUP(C181&amp;A181, RYOE!A:A&amp;RYOE!F:F, RYOE!D:D), "N/A")</f>
        <v>0.82</v>
      </c>
      <c r="N181" cm="1">
        <f t="array" ref="N181">IFERROR(_xlfn.XLOOKUP(C181&amp;A181, RYOE!A:A&amp;RYOE!F:F, RYOE!E:E), "N/A")</f>
        <v>37.700000000000003</v>
      </c>
    </row>
    <row r="182" spans="1:14" ht="15" customHeight="1" x14ac:dyDescent="0.45">
      <c r="A182" s="7">
        <v>2024</v>
      </c>
      <c r="B182" s="5" t="s">
        <v>35</v>
      </c>
      <c r="C182" s="1" t="str">
        <f t="shared" si="4"/>
        <v>Jonathan Taylor</v>
      </c>
      <c r="D182" s="1" t="str">
        <f t="shared" si="5"/>
        <v>IND</v>
      </c>
      <c r="E182" s="1">
        <v>303</v>
      </c>
      <c r="F182" s="1">
        <v>1431</v>
      </c>
      <c r="G182" s="1">
        <v>4.7</v>
      </c>
      <c r="H182" s="1">
        <v>11</v>
      </c>
      <c r="I182">
        <v>1</v>
      </c>
      <c r="J182">
        <v>14</v>
      </c>
      <c r="K182" cm="1">
        <f t="array" ref="K182">IFERROR(_xlfn.XLOOKUP(D182&amp;A182, RBWR!A:A&amp;RBWR!C:C, RBWR!B:B), "N/A")</f>
        <v>74</v>
      </c>
      <c r="L182" cm="1">
        <f t="array" ref="L182">IFERROR(_xlfn.XLOOKUP(C182&amp;A182, RYOE!A:A&amp;RYOE!F:F, RYOE!C:C), "N/A")</f>
        <v>194</v>
      </c>
      <c r="M182" cm="1">
        <f t="array" ref="M182">IFERROR(_xlfn.XLOOKUP(C182&amp;A182, RYOE!A:A&amp;RYOE!F:F, RYOE!D:D), "N/A")</f>
        <v>0.65</v>
      </c>
      <c r="N182" cm="1">
        <f t="array" ref="N182">IFERROR(_xlfn.XLOOKUP(C182&amp;A182, RYOE!A:A&amp;RYOE!F:F, RYOE!E:E), "N/A")</f>
        <v>39</v>
      </c>
    </row>
    <row r="183" spans="1:14" ht="15" customHeight="1" x14ac:dyDescent="0.45">
      <c r="A183" s="8">
        <v>2024</v>
      </c>
      <c r="B183" s="6" t="s">
        <v>37</v>
      </c>
      <c r="C183" s="2" t="str">
        <f t="shared" si="4"/>
        <v>De'Von Achane</v>
      </c>
      <c r="D183" s="2" t="str">
        <f t="shared" si="5"/>
        <v>MIA</v>
      </c>
      <c r="E183" s="2">
        <v>203</v>
      </c>
      <c r="F183" s="2">
        <v>907</v>
      </c>
      <c r="G183" s="2">
        <v>4.5</v>
      </c>
      <c r="H183" s="2">
        <v>6</v>
      </c>
      <c r="I183">
        <v>0</v>
      </c>
      <c r="J183">
        <v>17</v>
      </c>
      <c r="K183" cm="1">
        <f t="array" ref="K183">IFERROR(_xlfn.XLOOKUP(D183&amp;A183, RBWR!A:A&amp;RBWR!C:C, RBWR!B:B), "N/A")</f>
        <v>70</v>
      </c>
      <c r="L183" cm="1">
        <f t="array" ref="L183">IFERROR(_xlfn.XLOOKUP(C183&amp;A183, RYOE!A:A&amp;RYOE!F:F, RYOE!C:C), "N/A")</f>
        <v>-96</v>
      </c>
      <c r="M183" cm="1">
        <f t="array" ref="M183">IFERROR(_xlfn.XLOOKUP(C183&amp;A183, RYOE!A:A&amp;RYOE!F:F, RYOE!D:D), "N/A")</f>
        <v>-0.49</v>
      </c>
      <c r="N183" cm="1">
        <f t="array" ref="N183">IFERROR(_xlfn.XLOOKUP(C183&amp;A183, RYOE!A:A&amp;RYOE!F:F, RYOE!E:E), "N/A")</f>
        <v>30.1</v>
      </c>
    </row>
    <row r="184" spans="1:14" ht="15" customHeight="1" x14ac:dyDescent="0.45">
      <c r="A184" s="7">
        <v>2024</v>
      </c>
      <c r="B184" s="5" t="s">
        <v>115</v>
      </c>
      <c r="C184" s="1" t="str">
        <f t="shared" si="4"/>
        <v>James Conner</v>
      </c>
      <c r="D184" s="1" t="str">
        <f t="shared" si="5"/>
        <v>ARI</v>
      </c>
      <c r="E184" s="1">
        <v>236</v>
      </c>
      <c r="F184" s="1">
        <v>1094</v>
      </c>
      <c r="G184" s="1">
        <v>4.5999999999999996</v>
      </c>
      <c r="H184" s="1">
        <v>8</v>
      </c>
      <c r="I184">
        <v>1</v>
      </c>
      <c r="J184">
        <v>16</v>
      </c>
      <c r="K184" cm="1">
        <f t="array" ref="K184">IFERROR(_xlfn.XLOOKUP(D184&amp;A184, RBWR!A:A&amp;RBWR!C:C, RBWR!B:B), "N/A")</f>
        <v>72</v>
      </c>
      <c r="L184" cm="1">
        <f t="array" ref="L184">IFERROR(_xlfn.XLOOKUP(C184&amp;A184, RYOE!A:A&amp;RYOE!F:F, RYOE!C:C), "N/A")</f>
        <v>110</v>
      </c>
      <c r="M184" cm="1">
        <f t="array" ref="M184">IFERROR(_xlfn.XLOOKUP(C184&amp;A184, RYOE!A:A&amp;RYOE!F:F, RYOE!D:D), "N/A")</f>
        <v>0.48</v>
      </c>
      <c r="N184" cm="1">
        <f t="array" ref="N184">IFERROR(_xlfn.XLOOKUP(C184&amp;A184, RYOE!A:A&amp;RYOE!F:F, RYOE!E:E), "N/A")</f>
        <v>39.6</v>
      </c>
    </row>
    <row r="185" spans="1:14" ht="15" customHeight="1" x14ac:dyDescent="0.45">
      <c r="A185" s="8">
        <v>2024</v>
      </c>
      <c r="B185" s="6" t="s">
        <v>206</v>
      </c>
      <c r="C185" s="2" t="str">
        <f t="shared" si="4"/>
        <v>Joe Mixon</v>
      </c>
      <c r="D185" s="2" t="str">
        <f t="shared" si="5"/>
        <v>HOU</v>
      </c>
      <c r="E185" s="2">
        <v>245</v>
      </c>
      <c r="F185" s="2">
        <v>1016</v>
      </c>
      <c r="G185" s="2">
        <v>4.0999999999999996</v>
      </c>
      <c r="H185" s="2">
        <v>11</v>
      </c>
      <c r="I185">
        <v>0</v>
      </c>
      <c r="J185">
        <v>14</v>
      </c>
      <c r="K185" cm="1">
        <f t="array" ref="K185">IFERROR(_xlfn.XLOOKUP(D185&amp;A185, RBWR!A:A&amp;RBWR!C:C, RBWR!B:B), "N/A")</f>
        <v>68</v>
      </c>
      <c r="L185" cm="1">
        <f t="array" ref="L185">IFERROR(_xlfn.XLOOKUP(C185&amp;A185, RYOE!A:A&amp;RYOE!F:F, RYOE!C:C), "N/A")</f>
        <v>80</v>
      </c>
      <c r="M185" cm="1">
        <f t="array" ref="M185">IFERROR(_xlfn.XLOOKUP(C185&amp;A185, RYOE!A:A&amp;RYOE!F:F, RYOE!D:D), "N/A")</f>
        <v>0.33</v>
      </c>
      <c r="N185" cm="1">
        <f t="array" ref="N185">IFERROR(_xlfn.XLOOKUP(C185&amp;A185, RYOE!A:A&amp;RYOE!F:F, RYOE!E:E), "N/A")</f>
        <v>38.200000000000003</v>
      </c>
    </row>
    <row r="186" spans="1:14" ht="15" customHeight="1" x14ac:dyDescent="0.45">
      <c r="A186" s="7">
        <v>2024</v>
      </c>
      <c r="B186" s="5" t="s">
        <v>49</v>
      </c>
      <c r="C186" s="1" t="str">
        <f t="shared" si="4"/>
        <v>Chase Brown</v>
      </c>
      <c r="D186" s="1" t="str">
        <f t="shared" si="5"/>
        <v>CIN</v>
      </c>
      <c r="E186" s="1">
        <v>229</v>
      </c>
      <c r="F186" s="1">
        <v>990</v>
      </c>
      <c r="G186" s="1">
        <v>4.3</v>
      </c>
      <c r="H186" s="1">
        <v>7</v>
      </c>
      <c r="I186">
        <v>1</v>
      </c>
      <c r="J186">
        <v>16</v>
      </c>
      <c r="K186" cm="1">
        <f t="array" ref="K186">IFERROR(_xlfn.XLOOKUP(D186&amp;A186, RBWR!A:A&amp;RBWR!C:C, RBWR!B:B), "N/A")</f>
        <v>68</v>
      </c>
      <c r="L186" cm="1">
        <f t="array" ref="L186">IFERROR(_xlfn.XLOOKUP(C186&amp;A186, RYOE!A:A&amp;RYOE!F:F, RYOE!C:C), "N/A")</f>
        <v>67</v>
      </c>
      <c r="M186" cm="1">
        <f t="array" ref="M186">IFERROR(_xlfn.XLOOKUP(C186&amp;A186, RYOE!A:A&amp;RYOE!F:F, RYOE!D:D), "N/A")</f>
        <v>0.3</v>
      </c>
      <c r="N186" cm="1">
        <f t="array" ref="N186">IFERROR(_xlfn.XLOOKUP(C186&amp;A186, RYOE!A:A&amp;RYOE!F:F, RYOE!E:E), "N/A")</f>
        <v>39.299999999999997</v>
      </c>
    </row>
    <row r="187" spans="1:14" ht="15" customHeight="1" x14ac:dyDescent="0.45">
      <c r="A187" s="8">
        <v>2024</v>
      </c>
      <c r="B187" s="6" t="s">
        <v>74</v>
      </c>
      <c r="C187" s="2" t="str">
        <f t="shared" si="4"/>
        <v>Chuba Hubbard</v>
      </c>
      <c r="D187" s="2" t="str">
        <f t="shared" si="5"/>
        <v>CAR</v>
      </c>
      <c r="E187" s="2">
        <v>250</v>
      </c>
      <c r="F187" s="2">
        <v>1195</v>
      </c>
      <c r="G187" s="2">
        <v>4.8</v>
      </c>
      <c r="H187" s="2">
        <v>10</v>
      </c>
      <c r="I187">
        <v>3</v>
      </c>
      <c r="J187">
        <v>15</v>
      </c>
      <c r="K187" cm="1">
        <f t="array" ref="K187">IFERROR(_xlfn.XLOOKUP(D187&amp;A187, RBWR!A:A&amp;RBWR!C:C, RBWR!B:B), "N/A")</f>
        <v>72</v>
      </c>
      <c r="L187" cm="1">
        <f t="array" ref="L187">IFERROR(_xlfn.XLOOKUP(C187&amp;A187, RYOE!A:A&amp;RYOE!F:F, RYOE!C:C), "N/A")</f>
        <v>270</v>
      </c>
      <c r="M187" cm="1">
        <f t="array" ref="M187">IFERROR(_xlfn.XLOOKUP(C187&amp;A187, RYOE!A:A&amp;RYOE!F:F, RYOE!D:D), "N/A")</f>
        <v>1.1100000000000001</v>
      </c>
      <c r="N187" cm="1">
        <f t="array" ref="N187">IFERROR(_xlfn.XLOOKUP(C187&amp;A187, RYOE!A:A&amp;RYOE!F:F, RYOE!E:E), "N/A")</f>
        <v>51</v>
      </c>
    </row>
    <row r="188" spans="1:14" ht="15" customHeight="1" x14ac:dyDescent="0.45">
      <c r="A188" s="7">
        <v>2024</v>
      </c>
      <c r="B188" s="5" t="s">
        <v>67</v>
      </c>
      <c r="C188" s="1" t="str">
        <f t="shared" si="4"/>
        <v>Bucky Irving</v>
      </c>
      <c r="D188" s="1" t="str">
        <f t="shared" si="5"/>
        <v>TB</v>
      </c>
      <c r="E188" s="1">
        <v>207</v>
      </c>
      <c r="F188" s="1">
        <v>1122</v>
      </c>
      <c r="G188" s="1">
        <v>5.4</v>
      </c>
      <c r="H188" s="1">
        <v>8</v>
      </c>
      <c r="I188">
        <v>1</v>
      </c>
      <c r="J188">
        <v>17</v>
      </c>
      <c r="K188" cm="1">
        <f t="array" ref="K188">IFERROR(_xlfn.XLOOKUP(D188&amp;A188, RBWR!A:A&amp;RBWR!C:C, RBWR!B:B), "N/A")</f>
        <v>73</v>
      </c>
      <c r="L188" cm="1">
        <f t="array" ref="L188">IFERROR(_xlfn.XLOOKUP(C188&amp;A188, RYOE!A:A&amp;RYOE!F:F, RYOE!C:C), "N/A")</f>
        <v>186</v>
      </c>
      <c r="M188" cm="1">
        <f t="array" ref="M188">IFERROR(_xlfn.XLOOKUP(C188&amp;A188, RYOE!A:A&amp;RYOE!F:F, RYOE!D:D), "N/A")</f>
        <v>0.94</v>
      </c>
      <c r="N188" cm="1">
        <f t="array" ref="N188">IFERROR(_xlfn.XLOOKUP(C188&amp;A188, RYOE!A:A&amp;RYOE!F:F, RYOE!E:E), "N/A")</f>
        <v>41.9</v>
      </c>
    </row>
    <row r="189" spans="1:14" ht="15" customHeight="1" x14ac:dyDescent="0.45">
      <c r="A189" s="8">
        <v>2024</v>
      </c>
      <c r="B189" s="6" t="s">
        <v>78</v>
      </c>
      <c r="C189" s="2" t="str">
        <f t="shared" si="4"/>
        <v>Alvin Kamara</v>
      </c>
      <c r="D189" s="2" t="str">
        <f t="shared" si="5"/>
        <v>NO</v>
      </c>
      <c r="E189" s="2">
        <v>228</v>
      </c>
      <c r="F189" s="2">
        <v>950</v>
      </c>
      <c r="G189" s="2">
        <v>4.2</v>
      </c>
      <c r="H189" s="2">
        <v>6</v>
      </c>
      <c r="I189">
        <v>0</v>
      </c>
      <c r="J189">
        <v>14</v>
      </c>
      <c r="K189" cm="1">
        <f t="array" ref="K189">IFERROR(_xlfn.XLOOKUP(D189&amp;A189, RBWR!A:A&amp;RBWR!C:C, RBWR!B:B), "N/A")</f>
        <v>71</v>
      </c>
      <c r="L189" cm="1">
        <f t="array" ref="L189">IFERROR(_xlfn.XLOOKUP(C189&amp;A189, RYOE!A:A&amp;RYOE!F:F, RYOE!C:C), "N/A")</f>
        <v>-35</v>
      </c>
      <c r="M189" cm="1">
        <f t="array" ref="M189">IFERROR(_xlfn.XLOOKUP(C189&amp;A189, RYOE!A:A&amp;RYOE!F:F, RYOE!D:D), "N/A")</f>
        <v>-0.15</v>
      </c>
      <c r="N189" cm="1">
        <f t="array" ref="N189">IFERROR(_xlfn.XLOOKUP(C189&amp;A189, RYOE!A:A&amp;RYOE!F:F, RYOE!E:E), "N/A")</f>
        <v>38.1</v>
      </c>
    </row>
    <row r="190" spans="1:14" ht="15" customHeight="1" x14ac:dyDescent="0.45">
      <c r="A190" s="7">
        <v>2024</v>
      </c>
      <c r="B190" s="5" t="s">
        <v>69</v>
      </c>
      <c r="C190" s="1" t="str">
        <f t="shared" si="4"/>
        <v>Aaron Jones Sr.</v>
      </c>
      <c r="D190" s="1" t="str">
        <f t="shared" si="5"/>
        <v>MIN</v>
      </c>
      <c r="E190" s="1">
        <v>255</v>
      </c>
      <c r="F190" s="1">
        <v>1138</v>
      </c>
      <c r="G190" s="1">
        <v>4.5</v>
      </c>
      <c r="H190" s="1">
        <v>5</v>
      </c>
      <c r="I190">
        <v>3</v>
      </c>
      <c r="J190">
        <v>17</v>
      </c>
      <c r="K190" cm="1">
        <f t="array" ref="K190">IFERROR(_xlfn.XLOOKUP(D190&amp;A190, RBWR!A:A&amp;RBWR!C:C, RBWR!B:B), "N/A")</f>
        <v>72</v>
      </c>
      <c r="L190" cm="1">
        <f t="array" ref="L190">IFERROR(_xlfn.XLOOKUP(C190&amp;A190, RYOE!A:A&amp;RYOE!F:F, RYOE!C:C), "N/A")</f>
        <v>42</v>
      </c>
      <c r="M190" cm="1">
        <f t="array" ref="M190">IFERROR(_xlfn.XLOOKUP(C190&amp;A190, RYOE!A:A&amp;RYOE!F:F, RYOE!D:D), "N/A")</f>
        <v>0.17</v>
      </c>
      <c r="N190" cm="1">
        <f t="array" ref="N190">IFERROR(_xlfn.XLOOKUP(C190&amp;A190, RYOE!A:A&amp;RYOE!F:F, RYOE!E:E), "N/A")</f>
        <v>40.6</v>
      </c>
    </row>
    <row r="191" spans="1:14" ht="15" customHeight="1" x14ac:dyDescent="0.45">
      <c r="A191" s="8">
        <v>2024</v>
      </c>
      <c r="B191" s="6" t="s">
        <v>62</v>
      </c>
      <c r="C191" s="2" t="str">
        <f t="shared" si="4"/>
        <v>David Montgomery</v>
      </c>
      <c r="D191" s="2" t="str">
        <f t="shared" si="5"/>
        <v>DET</v>
      </c>
      <c r="E191" s="2">
        <v>185</v>
      </c>
      <c r="F191" s="2">
        <v>775</v>
      </c>
      <c r="G191" s="2">
        <v>4.2</v>
      </c>
      <c r="H191" s="2">
        <v>12</v>
      </c>
      <c r="I191">
        <v>1</v>
      </c>
      <c r="J191">
        <v>14</v>
      </c>
      <c r="K191" cm="1">
        <f t="array" ref="K191">IFERROR(_xlfn.XLOOKUP(D191&amp;A191, RBWR!A:A&amp;RBWR!C:C, RBWR!B:B), "N/A")</f>
        <v>72</v>
      </c>
      <c r="L191" cm="1">
        <f t="array" ref="L191">IFERROR(_xlfn.XLOOKUP(C191&amp;A191, RYOE!A:A&amp;RYOE!F:F, RYOE!C:C), "N/A")</f>
        <v>-4</v>
      </c>
      <c r="M191" cm="1">
        <f t="array" ref="M191">IFERROR(_xlfn.XLOOKUP(C191&amp;A191, RYOE!A:A&amp;RYOE!F:F, RYOE!D:D), "N/A")</f>
        <v>-0.02</v>
      </c>
      <c r="N191" cm="1">
        <f t="array" ref="N191">IFERROR(_xlfn.XLOOKUP(C191&amp;A191, RYOE!A:A&amp;RYOE!F:F, RYOE!E:E), "N/A")</f>
        <v>42</v>
      </c>
    </row>
    <row r="192" spans="1:14" ht="15" customHeight="1" x14ac:dyDescent="0.45">
      <c r="A192" s="7">
        <v>2024</v>
      </c>
      <c r="B192" s="5" t="s">
        <v>47</v>
      </c>
      <c r="C192" s="1" t="str">
        <f t="shared" si="4"/>
        <v>Breece Hall</v>
      </c>
      <c r="D192" s="1" t="str">
        <f t="shared" si="5"/>
        <v>NYJ</v>
      </c>
      <c r="E192" s="1">
        <v>209</v>
      </c>
      <c r="F192" s="1">
        <v>876</v>
      </c>
      <c r="G192" s="1">
        <v>4.2</v>
      </c>
      <c r="H192" s="1">
        <v>5</v>
      </c>
      <c r="I192">
        <v>2</v>
      </c>
      <c r="J192">
        <v>16</v>
      </c>
      <c r="K192" cm="1">
        <f t="array" ref="K192">IFERROR(_xlfn.XLOOKUP(D192&amp;A192, RBWR!A:A&amp;RBWR!C:C, RBWR!B:B), "N/A")</f>
        <v>68</v>
      </c>
      <c r="L192" cm="1">
        <f t="array" ref="L192">IFERROR(_xlfn.XLOOKUP(C192&amp;A192, RYOE!A:A&amp;RYOE!F:F, RYOE!C:C), "N/A")</f>
        <v>2</v>
      </c>
      <c r="M192" cm="1">
        <f t="array" ref="M192">IFERROR(_xlfn.XLOOKUP(C192&amp;A192, RYOE!A:A&amp;RYOE!F:F, RYOE!D:D), "N/A")</f>
        <v>0.01</v>
      </c>
      <c r="N192" cm="1">
        <f t="array" ref="N192">IFERROR(_xlfn.XLOOKUP(C192&amp;A192, RYOE!A:A&amp;RYOE!F:F, RYOE!E:E), "N/A")</f>
        <v>38.5</v>
      </c>
    </row>
    <row r="193" spans="1:14" ht="15" customHeight="1" x14ac:dyDescent="0.45">
      <c r="A193" s="8">
        <v>2024</v>
      </c>
      <c r="B193" s="6" t="s">
        <v>44</v>
      </c>
      <c r="C193" s="2" t="str">
        <f t="shared" si="4"/>
        <v>D'Andre Swift</v>
      </c>
      <c r="D193" s="2" t="str">
        <f t="shared" si="5"/>
        <v>CHI</v>
      </c>
      <c r="E193" s="2">
        <v>253</v>
      </c>
      <c r="F193" s="2">
        <v>959</v>
      </c>
      <c r="G193" s="2">
        <v>3.8</v>
      </c>
      <c r="H193" s="2">
        <v>6</v>
      </c>
      <c r="I193">
        <v>0</v>
      </c>
      <c r="J193">
        <v>17</v>
      </c>
      <c r="K193" cm="1">
        <f t="array" ref="K193">IFERROR(_xlfn.XLOOKUP(D193&amp;A193, RBWR!A:A&amp;RBWR!C:C, RBWR!B:B), "N/A")</f>
        <v>73</v>
      </c>
      <c r="L193" cm="1">
        <f t="array" ref="L193">IFERROR(_xlfn.XLOOKUP(C193&amp;A193, RYOE!A:A&amp;RYOE!F:F, RYOE!C:C), "N/A")</f>
        <v>-174</v>
      </c>
      <c r="M193" cm="1">
        <f t="array" ref="M193">IFERROR(_xlfn.XLOOKUP(C193&amp;A193, RYOE!A:A&amp;RYOE!F:F, RYOE!D:D), "N/A")</f>
        <v>-0.69</v>
      </c>
      <c r="N193" cm="1">
        <f t="array" ref="N193">IFERROR(_xlfn.XLOOKUP(C193&amp;A193, RYOE!A:A&amp;RYOE!F:F, RYOE!E:E), "N/A")</f>
        <v>28.8</v>
      </c>
    </row>
    <row r="194" spans="1:14" ht="15" customHeight="1" x14ac:dyDescent="0.45">
      <c r="A194" s="7">
        <v>2024</v>
      </c>
      <c r="B194" s="5" t="s">
        <v>207</v>
      </c>
      <c r="C194" s="1" t="str">
        <f t="shared" ref="C194:C257" si="6">TRIM(LEFT(B194, LEN(B194) - LEN(TRIM(RIGHT(SUBSTITUTE(TRIM(B194)," ",REPT(" ",100)),100)))))</f>
        <v>Najee Harris</v>
      </c>
      <c r="D194" s="1" t="str">
        <f t="shared" ref="D194:D257" si="7">MID(B194, FIND("(", B194) + 1, FIND(")", B194) - FIND("(", B194) - 1)</f>
        <v>PIT</v>
      </c>
      <c r="E194" s="1">
        <v>263</v>
      </c>
      <c r="F194" s="1">
        <v>1043</v>
      </c>
      <c r="G194" s="1">
        <v>4</v>
      </c>
      <c r="H194" s="1">
        <v>6</v>
      </c>
      <c r="I194">
        <v>0</v>
      </c>
      <c r="J194">
        <v>17</v>
      </c>
      <c r="K194" cm="1">
        <f t="array" ref="K194">IFERROR(_xlfn.XLOOKUP(D194&amp;A194, RBWR!A:A&amp;RBWR!C:C, RBWR!B:B), "N/A")</f>
        <v>71</v>
      </c>
      <c r="L194" cm="1">
        <f t="array" ref="L194">IFERROR(_xlfn.XLOOKUP(C194&amp;A194, RYOE!A:A&amp;RYOE!F:F, RYOE!C:C), "N/A")</f>
        <v>-3</v>
      </c>
      <c r="M194" cm="1">
        <f t="array" ref="M194">IFERROR(_xlfn.XLOOKUP(C194&amp;A194, RYOE!A:A&amp;RYOE!F:F, RYOE!D:D), "N/A")</f>
        <v>-0.01</v>
      </c>
      <c r="N194" cm="1">
        <f t="array" ref="N194">IFERROR(_xlfn.XLOOKUP(C194&amp;A194, RYOE!A:A&amp;RYOE!F:F, RYOE!E:E), "N/A")</f>
        <v>35.4</v>
      </c>
    </row>
    <row r="195" spans="1:14" ht="15" customHeight="1" x14ac:dyDescent="0.45">
      <c r="A195" s="8">
        <v>2024</v>
      </c>
      <c r="B195" s="6" t="s">
        <v>208</v>
      </c>
      <c r="C195" s="2" t="str">
        <f t="shared" si="6"/>
        <v>J.K. Dobbins</v>
      </c>
      <c r="D195" s="2" t="str">
        <f t="shared" si="7"/>
        <v>LAC</v>
      </c>
      <c r="E195" s="2">
        <v>195</v>
      </c>
      <c r="F195" s="2">
        <v>905</v>
      </c>
      <c r="G195" s="2">
        <v>4.5999999999999996</v>
      </c>
      <c r="H195" s="2">
        <v>9</v>
      </c>
      <c r="I195">
        <v>0</v>
      </c>
      <c r="J195">
        <v>13</v>
      </c>
      <c r="K195" cm="1">
        <f t="array" ref="K195">IFERROR(_xlfn.XLOOKUP(D195&amp;A195, RBWR!A:A&amp;RBWR!C:C, RBWR!B:B), "N/A")</f>
        <v>72</v>
      </c>
      <c r="L195" cm="1">
        <f t="array" ref="L195">IFERROR(_xlfn.XLOOKUP(C195&amp;A195, RYOE!A:A&amp;RYOE!F:F, RYOE!C:C), "N/A")</f>
        <v>115</v>
      </c>
      <c r="M195" cm="1">
        <f t="array" ref="M195">IFERROR(_xlfn.XLOOKUP(C195&amp;A195, RYOE!A:A&amp;RYOE!F:F, RYOE!D:D), "N/A")</f>
        <v>0.6</v>
      </c>
      <c r="N195" cm="1">
        <f t="array" ref="N195">IFERROR(_xlfn.XLOOKUP(C195&amp;A195, RYOE!A:A&amp;RYOE!F:F, RYOE!E:E), "N/A")</f>
        <v>34.4</v>
      </c>
    </row>
    <row r="196" spans="1:14" ht="15" customHeight="1" x14ac:dyDescent="0.45">
      <c r="A196" s="7">
        <v>2024</v>
      </c>
      <c r="B196" s="5" t="s">
        <v>45</v>
      </c>
      <c r="C196" s="1" t="str">
        <f t="shared" si="6"/>
        <v>Tony Pollard</v>
      </c>
      <c r="D196" s="1" t="str">
        <f t="shared" si="7"/>
        <v>TEN</v>
      </c>
      <c r="E196" s="1">
        <v>260</v>
      </c>
      <c r="F196" s="1">
        <v>1079</v>
      </c>
      <c r="G196" s="1">
        <v>4.2</v>
      </c>
      <c r="H196" s="1">
        <v>5</v>
      </c>
      <c r="I196">
        <v>2</v>
      </c>
      <c r="J196">
        <v>16</v>
      </c>
      <c r="K196" cm="1">
        <f t="array" ref="K196">IFERROR(_xlfn.XLOOKUP(D196&amp;A196, RBWR!A:A&amp;RBWR!C:C, RBWR!B:B), "N/A")</f>
        <v>71</v>
      </c>
      <c r="L196" cm="1">
        <f t="array" ref="L196">IFERROR(_xlfn.XLOOKUP(C196&amp;A196, RYOE!A:A&amp;RYOE!F:F, RYOE!C:C), "N/A")</f>
        <v>12</v>
      </c>
      <c r="M196" cm="1">
        <f t="array" ref="M196">IFERROR(_xlfn.XLOOKUP(C196&amp;A196, RYOE!A:A&amp;RYOE!F:F, RYOE!D:D), "N/A")</f>
        <v>0.05</v>
      </c>
      <c r="N196" cm="1">
        <f t="array" ref="N196">IFERROR(_xlfn.XLOOKUP(C196&amp;A196, RYOE!A:A&amp;RYOE!F:F, RYOE!E:E), "N/A")</f>
        <v>38.200000000000003</v>
      </c>
    </row>
    <row r="197" spans="1:14" ht="15" customHeight="1" x14ac:dyDescent="0.45">
      <c r="A197" s="8">
        <v>2024</v>
      </c>
      <c r="B197" s="6" t="s">
        <v>209</v>
      </c>
      <c r="C197" s="2" t="str">
        <f t="shared" si="6"/>
        <v>Rico Dowdle</v>
      </c>
      <c r="D197" s="2" t="str">
        <f t="shared" si="7"/>
        <v>DAL</v>
      </c>
      <c r="E197" s="2">
        <v>235</v>
      </c>
      <c r="F197" s="2">
        <v>1079</v>
      </c>
      <c r="G197" s="2">
        <v>4.5999999999999996</v>
      </c>
      <c r="H197" s="2">
        <v>2</v>
      </c>
      <c r="I197">
        <v>2</v>
      </c>
      <c r="J197">
        <v>16</v>
      </c>
      <c r="K197" cm="1">
        <f t="array" ref="K197">IFERROR(_xlfn.XLOOKUP(D197&amp;A197, RBWR!A:A&amp;RBWR!C:C, RBWR!B:B), "N/A")</f>
        <v>73</v>
      </c>
      <c r="L197" cm="1">
        <f t="array" ref="L197">IFERROR(_xlfn.XLOOKUP(C197&amp;A197, RYOE!A:A&amp;RYOE!F:F, RYOE!C:C), "N/A")</f>
        <v>60</v>
      </c>
      <c r="M197" cm="1">
        <f t="array" ref="M197">IFERROR(_xlfn.XLOOKUP(C197&amp;A197, RYOE!A:A&amp;RYOE!F:F, RYOE!D:D), "N/A")</f>
        <v>0.26</v>
      </c>
      <c r="N197" cm="1">
        <f t="array" ref="N197">IFERROR(_xlfn.XLOOKUP(C197&amp;A197, RYOE!A:A&amp;RYOE!F:F, RYOE!E:E), "N/A")</f>
        <v>41.5</v>
      </c>
    </row>
    <row r="198" spans="1:14" ht="15" customHeight="1" x14ac:dyDescent="0.45">
      <c r="A198" s="7">
        <v>2024</v>
      </c>
      <c r="B198" s="5" t="s">
        <v>68</v>
      </c>
      <c r="C198" s="1" t="str">
        <f t="shared" si="6"/>
        <v>Rachaad White</v>
      </c>
      <c r="D198" s="1" t="str">
        <f t="shared" si="7"/>
        <v>TB</v>
      </c>
      <c r="E198" s="1">
        <v>144</v>
      </c>
      <c r="F198" s="1">
        <v>613</v>
      </c>
      <c r="G198" s="1">
        <v>4.3</v>
      </c>
      <c r="H198" s="1">
        <v>3</v>
      </c>
      <c r="I198">
        <v>3</v>
      </c>
      <c r="J198">
        <v>16</v>
      </c>
      <c r="K198" cm="1">
        <f t="array" ref="K198">IFERROR(_xlfn.XLOOKUP(D198&amp;A198, RBWR!A:A&amp;RBWR!C:C, RBWR!B:B), "N/A")</f>
        <v>73</v>
      </c>
      <c r="L198" cm="1">
        <f t="array" ref="L198">IFERROR(_xlfn.XLOOKUP(C198&amp;A198, RYOE!A:A&amp;RYOE!F:F, RYOE!C:C), "N/A")</f>
        <v>48</v>
      </c>
      <c r="M198" cm="1">
        <f t="array" ref="M198">IFERROR(_xlfn.XLOOKUP(C198&amp;A198, RYOE!A:A&amp;RYOE!F:F, RYOE!D:D), "N/A")</f>
        <v>0.34</v>
      </c>
      <c r="N198" cm="1">
        <f t="array" ref="N198">IFERROR(_xlfn.XLOOKUP(C198&amp;A198, RYOE!A:A&amp;RYOE!F:F, RYOE!E:E), "N/A")</f>
        <v>40.299999999999997</v>
      </c>
    </row>
    <row r="199" spans="1:14" ht="15" customHeight="1" x14ac:dyDescent="0.45">
      <c r="A199" s="8">
        <v>2024</v>
      </c>
      <c r="B199" s="6" t="s">
        <v>61</v>
      </c>
      <c r="C199" s="2" t="str">
        <f t="shared" si="6"/>
        <v>Zach Charbonnet</v>
      </c>
      <c r="D199" s="2" t="str">
        <f t="shared" si="7"/>
        <v>SEA</v>
      </c>
      <c r="E199" s="2">
        <v>135</v>
      </c>
      <c r="F199" s="2">
        <v>569</v>
      </c>
      <c r="G199" s="2">
        <v>4.2</v>
      </c>
      <c r="H199" s="2">
        <v>8</v>
      </c>
      <c r="I199">
        <v>0</v>
      </c>
      <c r="J199">
        <v>17</v>
      </c>
      <c r="K199" cm="1">
        <f t="array" ref="K199">IFERROR(_xlfn.XLOOKUP(D199&amp;A199, RBWR!A:A&amp;RBWR!C:C, RBWR!B:B), "N/A")</f>
        <v>69</v>
      </c>
      <c r="L199" cm="1">
        <f t="array" ref="L199">IFERROR(_xlfn.XLOOKUP(C199&amp;A199, RYOE!A:A&amp;RYOE!F:F, RYOE!C:C), "N/A")</f>
        <v>73</v>
      </c>
      <c r="M199" cm="1">
        <f t="array" ref="M199">IFERROR(_xlfn.XLOOKUP(C199&amp;A199, RYOE!A:A&amp;RYOE!F:F, RYOE!D:D), "N/A")</f>
        <v>0.56000000000000005</v>
      </c>
      <c r="N199" cm="1">
        <f t="array" ref="N199">IFERROR(_xlfn.XLOOKUP(C199&amp;A199, RYOE!A:A&amp;RYOE!F:F, RYOE!E:E), "N/A")</f>
        <v>40.200000000000003</v>
      </c>
    </row>
    <row r="200" spans="1:14" ht="15" customHeight="1" x14ac:dyDescent="0.45">
      <c r="A200" s="7">
        <v>2024</v>
      </c>
      <c r="B200" s="5" t="s">
        <v>60</v>
      </c>
      <c r="C200" s="1" t="str">
        <f t="shared" si="6"/>
        <v>Tyrone Tracy Jr.</v>
      </c>
      <c r="D200" s="1" t="str">
        <f t="shared" si="7"/>
        <v>NYG</v>
      </c>
      <c r="E200" s="1">
        <v>192</v>
      </c>
      <c r="F200" s="1">
        <v>839</v>
      </c>
      <c r="G200" s="1">
        <v>4.4000000000000004</v>
      </c>
      <c r="H200" s="1">
        <v>5</v>
      </c>
      <c r="I200">
        <v>2</v>
      </c>
      <c r="J200">
        <v>17</v>
      </c>
      <c r="K200" cm="1">
        <f t="array" ref="K200">IFERROR(_xlfn.XLOOKUP(D200&amp;A200, RBWR!A:A&amp;RBWR!C:C, RBWR!B:B), "N/A")</f>
        <v>69</v>
      </c>
      <c r="L200" cm="1">
        <f t="array" ref="L200">IFERROR(_xlfn.XLOOKUP(C200&amp;A200, RYOE!A:A&amp;RYOE!F:F, RYOE!C:C), "N/A")</f>
        <v>-18</v>
      </c>
      <c r="M200" cm="1">
        <f t="array" ref="M200">IFERROR(_xlfn.XLOOKUP(C200&amp;A200, RYOE!A:A&amp;RYOE!F:F, RYOE!D:D), "N/A")</f>
        <v>-0.1</v>
      </c>
      <c r="N200" cm="1">
        <f t="array" ref="N200">IFERROR(_xlfn.XLOOKUP(C200&amp;A200, RYOE!A:A&amp;RYOE!F:F, RYOE!E:E), "N/A")</f>
        <v>30.3</v>
      </c>
    </row>
    <row r="201" spans="1:14" ht="15" customHeight="1" x14ac:dyDescent="0.45">
      <c r="A201" s="8">
        <v>2024</v>
      </c>
      <c r="B201" s="6" t="s">
        <v>66</v>
      </c>
      <c r="C201" s="2" t="str">
        <f t="shared" si="6"/>
        <v>Rhamondre Stevenson</v>
      </c>
      <c r="D201" s="2" t="str">
        <f t="shared" si="7"/>
        <v>NE</v>
      </c>
      <c r="E201" s="2">
        <v>207</v>
      </c>
      <c r="F201" s="2">
        <v>801</v>
      </c>
      <c r="G201" s="2">
        <v>3.9</v>
      </c>
      <c r="H201" s="2">
        <v>7</v>
      </c>
      <c r="I201">
        <v>3</v>
      </c>
      <c r="J201">
        <v>15</v>
      </c>
      <c r="K201" cm="1">
        <f t="array" ref="K201">IFERROR(_xlfn.XLOOKUP(D201&amp;A201, RBWR!A:A&amp;RBWR!C:C, RBWR!B:B), "N/A")</f>
        <v>67</v>
      </c>
      <c r="L201" cm="1">
        <f t="array" ref="L201">IFERROR(_xlfn.XLOOKUP(C201&amp;A201, RYOE!A:A&amp;RYOE!F:F, RYOE!C:C), "N/A")</f>
        <v>35</v>
      </c>
      <c r="M201" cm="1">
        <f t="array" ref="M201">IFERROR(_xlfn.XLOOKUP(C201&amp;A201, RYOE!A:A&amp;RYOE!F:F, RYOE!D:D), "N/A")</f>
        <v>0.18</v>
      </c>
      <c r="N201" cm="1">
        <f t="array" ref="N201">IFERROR(_xlfn.XLOOKUP(C201&amp;A201, RYOE!A:A&amp;RYOE!F:F, RYOE!E:E), "N/A")</f>
        <v>41.6</v>
      </c>
    </row>
    <row r="202" spans="1:14" ht="15" customHeight="1" x14ac:dyDescent="0.45">
      <c r="A202" s="7">
        <v>2024</v>
      </c>
      <c r="B202" s="5" t="s">
        <v>210</v>
      </c>
      <c r="C202" s="1" t="str">
        <f t="shared" si="6"/>
        <v>Brian Robinson Jr.</v>
      </c>
      <c r="D202" s="1" t="str">
        <f t="shared" si="7"/>
        <v>WAS</v>
      </c>
      <c r="E202" s="1">
        <v>187</v>
      </c>
      <c r="F202" s="1">
        <v>799</v>
      </c>
      <c r="G202" s="1">
        <v>4.3</v>
      </c>
      <c r="H202" s="1">
        <v>8</v>
      </c>
      <c r="I202">
        <v>2</v>
      </c>
      <c r="J202">
        <v>14</v>
      </c>
      <c r="K202" cm="1">
        <f t="array" ref="K202">IFERROR(_xlfn.XLOOKUP(D202&amp;A202, RBWR!A:A&amp;RBWR!C:C, RBWR!B:B), "N/A")</f>
        <v>74</v>
      </c>
      <c r="L202" cm="1">
        <f t="array" ref="L202">IFERROR(_xlfn.XLOOKUP(C202&amp;A202, RYOE!A:A&amp;RYOE!F:F, RYOE!C:C), "N/A")</f>
        <v>25</v>
      </c>
      <c r="M202" cm="1">
        <f t="array" ref="M202">IFERROR(_xlfn.XLOOKUP(C202&amp;A202, RYOE!A:A&amp;RYOE!F:F, RYOE!D:D), "N/A")</f>
        <v>0.14000000000000001</v>
      </c>
      <c r="N202" cm="1">
        <f t="array" ref="N202">IFERROR(_xlfn.XLOOKUP(C202&amp;A202, RYOE!A:A&amp;RYOE!F:F, RYOE!E:E), "N/A")</f>
        <v>35.1</v>
      </c>
    </row>
    <row r="203" spans="1:14" ht="15" customHeight="1" x14ac:dyDescent="0.45">
      <c r="A203" s="8">
        <v>2024</v>
      </c>
      <c r="B203" s="6" t="s">
        <v>48</v>
      </c>
      <c r="C203" s="2" t="str">
        <f t="shared" si="6"/>
        <v>Kenneth Walker III</v>
      </c>
      <c r="D203" s="2" t="str">
        <f t="shared" si="7"/>
        <v>SEA</v>
      </c>
      <c r="E203" s="2">
        <v>153</v>
      </c>
      <c r="F203" s="2">
        <v>573</v>
      </c>
      <c r="G203" s="2">
        <v>3.7</v>
      </c>
      <c r="H203" s="2">
        <v>7</v>
      </c>
      <c r="I203">
        <v>0</v>
      </c>
      <c r="J203">
        <v>11</v>
      </c>
      <c r="K203" cm="1">
        <f t="array" ref="K203">IFERROR(_xlfn.XLOOKUP(D203&amp;A203, RBWR!A:A&amp;RBWR!C:C, RBWR!B:B), "N/A")</f>
        <v>69</v>
      </c>
      <c r="L203" cm="1">
        <f t="array" ref="L203">IFERROR(_xlfn.XLOOKUP(C203&amp;A203, RYOE!A:A&amp;RYOE!F:F, RYOE!C:C), "N/A")</f>
        <v>-16</v>
      </c>
      <c r="M203" cm="1">
        <f t="array" ref="M203">IFERROR(_xlfn.XLOOKUP(C203&amp;A203, RYOE!A:A&amp;RYOE!F:F, RYOE!D:D), "N/A")</f>
        <v>-0.1</v>
      </c>
      <c r="N203" cm="1">
        <f t="array" ref="N203">IFERROR(_xlfn.XLOOKUP(C203&amp;A203, RYOE!A:A&amp;RYOE!F:F, RYOE!E:E), "N/A")</f>
        <v>40.4</v>
      </c>
    </row>
    <row r="204" spans="1:14" ht="15" customHeight="1" x14ac:dyDescent="0.45">
      <c r="A204" s="7">
        <v>2024</v>
      </c>
      <c r="B204" s="5" t="s">
        <v>65</v>
      </c>
      <c r="C204" s="1" t="str">
        <f t="shared" si="6"/>
        <v>Kareem Hunt</v>
      </c>
      <c r="D204" s="1" t="str">
        <f t="shared" si="7"/>
        <v>KC</v>
      </c>
      <c r="E204" s="1">
        <v>200</v>
      </c>
      <c r="F204" s="1">
        <v>728</v>
      </c>
      <c r="G204" s="1">
        <v>3.6</v>
      </c>
      <c r="H204" s="1">
        <v>7</v>
      </c>
      <c r="I204">
        <v>0</v>
      </c>
      <c r="J204">
        <v>13</v>
      </c>
      <c r="K204" cm="1">
        <f t="array" ref="K204">IFERROR(_xlfn.XLOOKUP(D204&amp;A204, RBWR!A:A&amp;RBWR!C:C, RBWR!B:B), "N/A")</f>
        <v>73</v>
      </c>
      <c r="L204" cm="1">
        <f t="array" ref="L204">IFERROR(_xlfn.XLOOKUP(C204&amp;A204, RYOE!A:A&amp;RYOE!F:F, RYOE!C:C), "N/A")</f>
        <v>-112</v>
      </c>
      <c r="M204" cm="1">
        <f t="array" ref="M204">IFERROR(_xlfn.XLOOKUP(C204&amp;A204, RYOE!A:A&amp;RYOE!F:F, RYOE!D:D), "N/A")</f>
        <v>-0.56999999999999995</v>
      </c>
      <c r="N204" cm="1">
        <f t="array" ref="N204">IFERROR(_xlfn.XLOOKUP(C204&amp;A204, RYOE!A:A&amp;RYOE!F:F, RYOE!E:E), "N/A")</f>
        <v>34.200000000000003</v>
      </c>
    </row>
    <row r="205" spans="1:14" ht="15" customHeight="1" x14ac:dyDescent="0.45">
      <c r="A205" s="8">
        <v>2024</v>
      </c>
      <c r="B205" s="6" t="s">
        <v>211</v>
      </c>
      <c r="C205" s="2" t="str">
        <f t="shared" si="6"/>
        <v>Tank Bigsby</v>
      </c>
      <c r="D205" s="2" t="str">
        <f t="shared" si="7"/>
        <v>JAC</v>
      </c>
      <c r="E205" s="2">
        <v>168</v>
      </c>
      <c r="F205" s="2">
        <v>766</v>
      </c>
      <c r="G205" s="2">
        <v>4.5999999999999996</v>
      </c>
      <c r="H205" s="2">
        <v>7</v>
      </c>
      <c r="I205">
        <v>1</v>
      </c>
      <c r="J205">
        <v>16</v>
      </c>
      <c r="K205" cm="1">
        <f t="array" ref="K205">IFERROR(_xlfn.XLOOKUP(D205&amp;A205, RBWR!A:A&amp;RBWR!C:C, RBWR!B:B), "N/A")</f>
        <v>70</v>
      </c>
      <c r="L205" cm="1">
        <f t="array" ref="L205">IFERROR(_xlfn.XLOOKUP(C205&amp;A205, RYOE!A:A&amp;RYOE!F:F, RYOE!C:C), "N/A")</f>
        <v>124</v>
      </c>
      <c r="M205" cm="1">
        <f t="array" ref="M205">IFERROR(_xlfn.XLOOKUP(C205&amp;A205, RYOE!A:A&amp;RYOE!F:F, RYOE!D:D), "N/A")</f>
        <v>0.74</v>
      </c>
      <c r="N205" cm="1">
        <f t="array" ref="N205">IFERROR(_xlfn.XLOOKUP(C205&amp;A205, RYOE!A:A&amp;RYOE!F:F, RYOE!E:E), "N/A")</f>
        <v>38.9</v>
      </c>
    </row>
    <row r="206" spans="1:14" ht="15" customHeight="1" x14ac:dyDescent="0.45">
      <c r="A206" s="7">
        <v>2024</v>
      </c>
      <c r="B206" s="5" t="s">
        <v>212</v>
      </c>
      <c r="C206" s="1" t="str">
        <f t="shared" si="6"/>
        <v>Javonte Williams</v>
      </c>
      <c r="D206" s="1" t="str">
        <f t="shared" si="7"/>
        <v>DEN</v>
      </c>
      <c r="E206" s="1">
        <v>139</v>
      </c>
      <c r="F206" s="1">
        <v>513</v>
      </c>
      <c r="G206" s="1">
        <v>3.7</v>
      </c>
      <c r="H206" s="1">
        <v>4</v>
      </c>
      <c r="I206">
        <v>2</v>
      </c>
      <c r="J206">
        <v>17</v>
      </c>
      <c r="K206" cm="1">
        <f t="array" ref="K206">IFERROR(_xlfn.XLOOKUP(D206&amp;A206, RBWR!A:A&amp;RBWR!C:C, RBWR!B:B), "N/A")</f>
        <v>75</v>
      </c>
      <c r="L206" cm="1">
        <f t="array" ref="L206">IFERROR(_xlfn.XLOOKUP(C206&amp;A206, RYOE!A:A&amp;RYOE!F:F, RYOE!C:C), "N/A")</f>
        <v>-83</v>
      </c>
      <c r="M206" cm="1">
        <f t="array" ref="M206">IFERROR(_xlfn.XLOOKUP(C206&amp;A206, RYOE!A:A&amp;RYOE!F:F, RYOE!D:D), "N/A")</f>
        <v>-0.6</v>
      </c>
      <c r="N206" cm="1">
        <f t="array" ref="N206">IFERROR(_xlfn.XLOOKUP(C206&amp;A206, RYOE!A:A&amp;RYOE!F:F, RYOE!E:E), "N/A")</f>
        <v>30.4</v>
      </c>
    </row>
    <row r="207" spans="1:14" ht="15" customHeight="1" x14ac:dyDescent="0.45">
      <c r="A207" s="8">
        <v>2024</v>
      </c>
      <c r="B207" s="6" t="s">
        <v>213</v>
      </c>
      <c r="C207" s="2" t="str">
        <f t="shared" si="6"/>
        <v>Jordan Mason</v>
      </c>
      <c r="D207" s="2" t="str">
        <f t="shared" si="7"/>
        <v>SF</v>
      </c>
      <c r="E207" s="2">
        <v>153</v>
      </c>
      <c r="F207" s="2">
        <v>789</v>
      </c>
      <c r="G207" s="2">
        <v>5.2</v>
      </c>
      <c r="H207" s="2">
        <v>3</v>
      </c>
      <c r="I207">
        <v>1</v>
      </c>
      <c r="J207">
        <v>12</v>
      </c>
      <c r="K207" cm="1">
        <f t="array" ref="K207">IFERROR(_xlfn.XLOOKUP(D207&amp;A207, RBWR!A:A&amp;RBWR!C:C, RBWR!B:B), "N/A")</f>
        <v>71</v>
      </c>
      <c r="L207" cm="1">
        <f t="array" ref="L207">IFERROR(_xlfn.XLOOKUP(C207&amp;A207, RYOE!A:A&amp;RYOE!F:F, RYOE!C:C), "N/A")</f>
        <v>207</v>
      </c>
      <c r="M207" cm="1">
        <f t="array" ref="M207">IFERROR(_xlfn.XLOOKUP(C207&amp;A207, RYOE!A:A&amp;RYOE!F:F, RYOE!D:D), "N/A")</f>
        <v>1.38</v>
      </c>
      <c r="N207" cm="1">
        <f t="array" ref="N207">IFERROR(_xlfn.XLOOKUP(C207&amp;A207, RYOE!A:A&amp;RYOE!F:F, RYOE!E:E), "N/A")</f>
        <v>48.7</v>
      </c>
    </row>
    <row r="208" spans="1:14" ht="15" customHeight="1" x14ac:dyDescent="0.45">
      <c r="A208" s="7">
        <v>2024</v>
      </c>
      <c r="B208" s="5" t="s">
        <v>214</v>
      </c>
      <c r="C208" s="1" t="str">
        <f t="shared" si="6"/>
        <v>Alexander Mattison</v>
      </c>
      <c r="D208" s="1" t="str">
        <f t="shared" si="7"/>
        <v>LV</v>
      </c>
      <c r="E208" s="1">
        <v>132</v>
      </c>
      <c r="F208" s="1">
        <v>420</v>
      </c>
      <c r="G208" s="1">
        <v>3.2</v>
      </c>
      <c r="H208" s="1">
        <v>4</v>
      </c>
      <c r="I208">
        <v>1</v>
      </c>
      <c r="J208">
        <v>14</v>
      </c>
      <c r="K208" cm="1">
        <f t="array" ref="K208">IFERROR(_xlfn.XLOOKUP(D208&amp;A208, RBWR!A:A&amp;RBWR!C:C, RBWR!B:B), "N/A")</f>
        <v>71</v>
      </c>
      <c r="L208" cm="1">
        <f t="array" ref="L208">IFERROR(_xlfn.XLOOKUP(C208&amp;A208, RYOE!A:A&amp;RYOE!F:F, RYOE!C:C), "N/A")</f>
        <v>-77</v>
      </c>
      <c r="M208" cm="1">
        <f t="array" ref="M208">IFERROR(_xlfn.XLOOKUP(C208&amp;A208, RYOE!A:A&amp;RYOE!F:F, RYOE!D:D), "N/A")</f>
        <v>-0.59</v>
      </c>
      <c r="N208" cm="1">
        <f t="array" ref="N208">IFERROR(_xlfn.XLOOKUP(C208&amp;A208, RYOE!A:A&amp;RYOE!F:F, RYOE!E:E), "N/A")</f>
        <v>31.8</v>
      </c>
    </row>
    <row r="209" spans="1:14" ht="15" customHeight="1" x14ac:dyDescent="0.45">
      <c r="A209" s="8">
        <v>2024</v>
      </c>
      <c r="B209" s="6" t="s">
        <v>92</v>
      </c>
      <c r="C209" s="2" t="str">
        <f t="shared" si="6"/>
        <v>Ray Davis</v>
      </c>
      <c r="D209" s="2" t="str">
        <f t="shared" si="7"/>
        <v>BUF</v>
      </c>
      <c r="E209" s="2">
        <v>113</v>
      </c>
      <c r="F209" s="2">
        <v>442</v>
      </c>
      <c r="G209" s="2">
        <v>3.9</v>
      </c>
      <c r="H209" s="2">
        <v>3</v>
      </c>
      <c r="I209">
        <v>0</v>
      </c>
      <c r="J209">
        <v>17</v>
      </c>
      <c r="K209" cm="1">
        <f t="array" ref="K209">IFERROR(_xlfn.XLOOKUP(D209&amp;A209, RBWR!A:A&amp;RBWR!C:C, RBWR!B:B), "N/A")</f>
        <v>71</v>
      </c>
      <c r="L209" cm="1">
        <f t="array" ref="L209">IFERROR(_xlfn.XLOOKUP(C209&amp;A209, RYOE!A:A&amp;RYOE!F:F, RYOE!C:C), "N/A")</f>
        <v>9</v>
      </c>
      <c r="M209" cm="1">
        <f t="array" ref="M209">IFERROR(_xlfn.XLOOKUP(C209&amp;A209, RYOE!A:A&amp;RYOE!F:F, RYOE!D:D), "N/A")</f>
        <v>0.08</v>
      </c>
      <c r="N209" cm="1">
        <f t="array" ref="N209">IFERROR(_xlfn.XLOOKUP(C209&amp;A209, RYOE!A:A&amp;RYOE!F:F, RYOE!E:E), "N/A")</f>
        <v>42.5</v>
      </c>
    </row>
    <row r="210" spans="1:14" ht="15" customHeight="1" x14ac:dyDescent="0.45">
      <c r="A210" s="7">
        <v>2024</v>
      </c>
      <c r="B210" s="5" t="s">
        <v>142</v>
      </c>
      <c r="C210" s="1" t="str">
        <f t="shared" si="6"/>
        <v>Austin Ekeler</v>
      </c>
      <c r="D210" s="1" t="str">
        <f t="shared" si="7"/>
        <v>WAS</v>
      </c>
      <c r="E210" s="1">
        <v>77</v>
      </c>
      <c r="F210" s="1">
        <v>367</v>
      </c>
      <c r="G210" s="1">
        <v>4.8</v>
      </c>
      <c r="H210" s="1">
        <v>4</v>
      </c>
      <c r="I210">
        <v>0</v>
      </c>
      <c r="J210">
        <v>12</v>
      </c>
      <c r="K210" cm="1">
        <f t="array" ref="K210">IFERROR(_xlfn.XLOOKUP(D210&amp;A210, RBWR!A:A&amp;RBWR!C:C, RBWR!B:B), "N/A")</f>
        <v>74</v>
      </c>
      <c r="L210" t="str" cm="1">
        <f t="array" ref="L210">IFERROR(_xlfn.XLOOKUP(C210&amp;A210, RYOE!A:A&amp;RYOE!F:F, RYOE!C:C), "N/A")</f>
        <v>N/A</v>
      </c>
      <c r="M210" t="str" cm="1">
        <f t="array" ref="M210">IFERROR(_xlfn.XLOOKUP(C210&amp;A210, RYOE!A:A&amp;RYOE!F:F, RYOE!D:D), "N/A")</f>
        <v>N/A</v>
      </c>
      <c r="N210" t="str" cm="1">
        <f t="array" ref="N210">IFERROR(_xlfn.XLOOKUP(C210&amp;A210, RYOE!A:A&amp;RYOE!F:F, RYOE!E:E), "N/A")</f>
        <v>N/A</v>
      </c>
    </row>
    <row r="211" spans="1:14" ht="15" customHeight="1" x14ac:dyDescent="0.45">
      <c r="A211" s="8">
        <v>2024</v>
      </c>
      <c r="B211" s="6" t="s">
        <v>123</v>
      </c>
      <c r="C211" s="2" t="str">
        <f t="shared" si="6"/>
        <v>Jerome Ford</v>
      </c>
      <c r="D211" s="2" t="str">
        <f t="shared" si="7"/>
        <v>CLE</v>
      </c>
      <c r="E211" s="2">
        <v>104</v>
      </c>
      <c r="F211" s="2">
        <v>565</v>
      </c>
      <c r="G211" s="2">
        <v>5.4</v>
      </c>
      <c r="H211" s="2">
        <v>3</v>
      </c>
      <c r="I211">
        <v>0</v>
      </c>
      <c r="J211">
        <v>14</v>
      </c>
      <c r="K211" cm="1">
        <f t="array" ref="K211">IFERROR(_xlfn.XLOOKUP(D211&amp;A211, RBWR!A:A&amp;RBWR!C:C, RBWR!B:B), "N/A")</f>
        <v>72</v>
      </c>
      <c r="L211" cm="1">
        <f t="array" ref="L211">IFERROR(_xlfn.XLOOKUP(C211&amp;A211, RYOE!A:A&amp;RYOE!F:F, RYOE!C:C), "N/A")</f>
        <v>114</v>
      </c>
      <c r="M211" cm="1">
        <f t="array" ref="M211">IFERROR(_xlfn.XLOOKUP(C211&amp;A211, RYOE!A:A&amp;RYOE!F:F, RYOE!D:D), "N/A")</f>
        <v>1.1000000000000001</v>
      </c>
      <c r="N211" cm="1">
        <f t="array" ref="N211">IFERROR(_xlfn.XLOOKUP(C211&amp;A211, RYOE!A:A&amp;RYOE!F:F, RYOE!E:E), "N/A")</f>
        <v>39.799999999999997</v>
      </c>
    </row>
    <row r="212" spans="1:14" ht="15" customHeight="1" x14ac:dyDescent="0.45">
      <c r="A212" s="7">
        <v>2024</v>
      </c>
      <c r="B212" s="5" t="s">
        <v>73</v>
      </c>
      <c r="C212" s="1" t="str">
        <f t="shared" si="6"/>
        <v>Tyler Allgeier</v>
      </c>
      <c r="D212" s="1" t="str">
        <f t="shared" si="7"/>
        <v>ATL</v>
      </c>
      <c r="E212" s="1">
        <v>137</v>
      </c>
      <c r="F212" s="1">
        <v>644</v>
      </c>
      <c r="G212" s="1">
        <v>4.7</v>
      </c>
      <c r="H212" s="1">
        <v>3</v>
      </c>
      <c r="I212">
        <v>0</v>
      </c>
      <c r="J212">
        <v>17</v>
      </c>
      <c r="K212" cm="1">
        <f t="array" ref="K212">IFERROR(_xlfn.XLOOKUP(D212&amp;A212, RBWR!A:A&amp;RBWR!C:C, RBWR!B:B), "N/A")</f>
        <v>71</v>
      </c>
      <c r="L212" cm="1">
        <f t="array" ref="L212">IFERROR(_xlfn.XLOOKUP(C212&amp;A212, RYOE!A:A&amp;RYOE!F:F, RYOE!C:C), "N/A")</f>
        <v>84</v>
      </c>
      <c r="M212" cm="1">
        <f t="array" ref="M212">IFERROR(_xlfn.XLOOKUP(C212&amp;A212, RYOE!A:A&amp;RYOE!F:F, RYOE!D:D), "N/A")</f>
        <v>0.61</v>
      </c>
      <c r="N212" cm="1">
        <f t="array" ref="N212">IFERROR(_xlfn.XLOOKUP(C212&amp;A212, RYOE!A:A&amp;RYOE!F:F, RYOE!E:E), "N/A")</f>
        <v>50.4</v>
      </c>
    </row>
    <row r="213" spans="1:14" ht="15" customHeight="1" x14ac:dyDescent="0.45">
      <c r="A213" s="8">
        <v>2024</v>
      </c>
      <c r="B213" s="6" t="s">
        <v>43</v>
      </c>
      <c r="C213" s="2" t="str">
        <f t="shared" si="6"/>
        <v>Travis Etienne Jr.</v>
      </c>
      <c r="D213" s="2" t="str">
        <f t="shared" si="7"/>
        <v>JAC</v>
      </c>
      <c r="E213" s="2">
        <v>150</v>
      </c>
      <c r="F213" s="2">
        <v>558</v>
      </c>
      <c r="G213" s="2">
        <v>3.7</v>
      </c>
      <c r="H213" s="2">
        <v>2</v>
      </c>
      <c r="I213">
        <v>1</v>
      </c>
      <c r="J213">
        <v>15</v>
      </c>
      <c r="K213" cm="1">
        <f t="array" ref="K213">IFERROR(_xlfn.XLOOKUP(D213&amp;A213, RBWR!A:A&amp;RBWR!C:C, RBWR!B:B), "N/A")</f>
        <v>70</v>
      </c>
      <c r="L213" cm="1">
        <f t="array" ref="L213">IFERROR(_xlfn.XLOOKUP(C213&amp;A213, RYOE!A:A&amp;RYOE!F:F, RYOE!C:C), "N/A")</f>
        <v>-43</v>
      </c>
      <c r="M213" cm="1">
        <f t="array" ref="M213">IFERROR(_xlfn.XLOOKUP(C213&amp;A213, RYOE!A:A&amp;RYOE!F:F, RYOE!D:D), "N/A")</f>
        <v>-0.28999999999999998</v>
      </c>
      <c r="N213" cm="1">
        <f t="array" ref="N213">IFERROR(_xlfn.XLOOKUP(C213&amp;A213, RYOE!A:A&amp;RYOE!F:F, RYOE!E:E), "N/A")</f>
        <v>30.4</v>
      </c>
    </row>
    <row r="214" spans="1:14" ht="15" customHeight="1" x14ac:dyDescent="0.45">
      <c r="A214" s="7">
        <v>2024</v>
      </c>
      <c r="B214" s="5" t="s">
        <v>51</v>
      </c>
      <c r="C214" s="1" t="str">
        <f t="shared" si="6"/>
        <v>Jaylen Warren</v>
      </c>
      <c r="D214" s="1" t="str">
        <f t="shared" si="7"/>
        <v>PIT</v>
      </c>
      <c r="E214" s="1">
        <v>120</v>
      </c>
      <c r="F214" s="1">
        <v>511</v>
      </c>
      <c r="G214" s="1">
        <v>4.3</v>
      </c>
      <c r="H214" s="1">
        <v>1</v>
      </c>
      <c r="I214">
        <v>1</v>
      </c>
      <c r="J214">
        <v>15</v>
      </c>
      <c r="K214" cm="1">
        <f t="array" ref="K214">IFERROR(_xlfn.XLOOKUP(D214&amp;A214, RBWR!A:A&amp;RBWR!C:C, RBWR!B:B), "N/A")</f>
        <v>71</v>
      </c>
      <c r="L214" cm="1">
        <f t="array" ref="L214">IFERROR(_xlfn.XLOOKUP(C214&amp;A214, RYOE!A:A&amp;RYOE!F:F, RYOE!C:C), "N/A")</f>
        <v>-14</v>
      </c>
      <c r="M214" cm="1">
        <f t="array" ref="M214">IFERROR(_xlfn.XLOOKUP(C214&amp;A214, RYOE!A:A&amp;RYOE!F:F, RYOE!D:D), "N/A")</f>
        <v>-0.11</v>
      </c>
      <c r="N214" cm="1">
        <f t="array" ref="N214">IFERROR(_xlfn.XLOOKUP(C214&amp;A214, RYOE!A:A&amp;RYOE!F:F, RYOE!E:E), "N/A")</f>
        <v>37.5</v>
      </c>
    </row>
    <row r="215" spans="1:14" ht="15" customHeight="1" x14ac:dyDescent="0.45">
      <c r="A215" s="8">
        <v>2024</v>
      </c>
      <c r="B215" s="6" t="s">
        <v>215</v>
      </c>
      <c r="C215" s="2" t="str">
        <f t="shared" si="6"/>
        <v>Ameer Abdullah</v>
      </c>
      <c r="D215" s="2" t="str">
        <f t="shared" si="7"/>
        <v>LV</v>
      </c>
      <c r="E215" s="2">
        <v>66</v>
      </c>
      <c r="F215" s="2">
        <v>311</v>
      </c>
      <c r="G215" s="2">
        <v>4.7</v>
      </c>
      <c r="H215" s="2">
        <v>2</v>
      </c>
      <c r="I215">
        <v>1</v>
      </c>
      <c r="J215">
        <v>15</v>
      </c>
      <c r="K215" cm="1">
        <f t="array" ref="K215">IFERROR(_xlfn.XLOOKUP(D215&amp;A215, RBWR!A:A&amp;RBWR!C:C, RBWR!B:B), "N/A")</f>
        <v>71</v>
      </c>
      <c r="L215" t="str" cm="1">
        <f t="array" ref="L215">IFERROR(_xlfn.XLOOKUP(C215&amp;A215, RYOE!A:A&amp;RYOE!F:F, RYOE!C:C), "N/A")</f>
        <v>N/A</v>
      </c>
      <c r="M215" t="str" cm="1">
        <f t="array" ref="M215">IFERROR(_xlfn.XLOOKUP(C215&amp;A215, RYOE!A:A&amp;RYOE!F:F, RYOE!D:D), "N/A")</f>
        <v>N/A</v>
      </c>
      <c r="N215" t="str" cm="1">
        <f t="array" ref="N215">IFERROR(_xlfn.XLOOKUP(C215&amp;A215, RYOE!A:A&amp;RYOE!F:F, RYOE!E:E), "N/A")</f>
        <v>N/A</v>
      </c>
    </row>
    <row r="216" spans="1:14" ht="15" customHeight="1" x14ac:dyDescent="0.45">
      <c r="A216" s="7">
        <v>2024</v>
      </c>
      <c r="B216" s="5" t="s">
        <v>118</v>
      </c>
      <c r="C216" s="1" t="str">
        <f t="shared" si="6"/>
        <v>Justice Hill</v>
      </c>
      <c r="D216" s="1" t="str">
        <f t="shared" si="7"/>
        <v>BAL</v>
      </c>
      <c r="E216" s="1">
        <v>47</v>
      </c>
      <c r="F216" s="1">
        <v>228</v>
      </c>
      <c r="G216" s="1">
        <v>4.9000000000000004</v>
      </c>
      <c r="H216" s="1">
        <v>1</v>
      </c>
      <c r="I216">
        <v>0</v>
      </c>
      <c r="J216">
        <v>15</v>
      </c>
      <c r="K216" cm="1">
        <f t="array" ref="K216">IFERROR(_xlfn.XLOOKUP(D216&amp;A216, RBWR!A:A&amp;RBWR!C:C, RBWR!B:B), "N/A")</f>
        <v>74</v>
      </c>
      <c r="L216" t="str" cm="1">
        <f t="array" ref="L216">IFERROR(_xlfn.XLOOKUP(C216&amp;A216, RYOE!A:A&amp;RYOE!F:F, RYOE!C:C), "N/A")</f>
        <v>N/A</v>
      </c>
      <c r="M216" t="str" cm="1">
        <f t="array" ref="M216">IFERROR(_xlfn.XLOOKUP(C216&amp;A216, RYOE!A:A&amp;RYOE!F:F, RYOE!D:D), "N/A")</f>
        <v>N/A</v>
      </c>
      <c r="N216" t="str" cm="1">
        <f t="array" ref="N216">IFERROR(_xlfn.XLOOKUP(C216&amp;A216, RYOE!A:A&amp;RYOE!F:F, RYOE!E:E), "N/A")</f>
        <v>N/A</v>
      </c>
    </row>
    <row r="217" spans="1:14" ht="15" customHeight="1" x14ac:dyDescent="0.45">
      <c r="A217" s="8">
        <v>2024</v>
      </c>
      <c r="B217" s="6" t="s">
        <v>77</v>
      </c>
      <c r="C217" s="2" t="str">
        <f t="shared" si="6"/>
        <v>Emanuel Wilson</v>
      </c>
      <c r="D217" s="2" t="str">
        <f t="shared" si="7"/>
        <v>GB</v>
      </c>
      <c r="E217" s="2">
        <v>103</v>
      </c>
      <c r="F217" s="2">
        <v>502</v>
      </c>
      <c r="G217" s="2">
        <v>4.9000000000000004</v>
      </c>
      <c r="H217" s="2">
        <v>4</v>
      </c>
      <c r="I217">
        <v>0</v>
      </c>
      <c r="J217">
        <v>17</v>
      </c>
      <c r="K217" cm="1">
        <f t="array" ref="K217">IFERROR(_xlfn.XLOOKUP(D217&amp;A217, RBWR!A:A&amp;RBWR!C:C, RBWR!B:B), "N/A")</f>
        <v>71</v>
      </c>
      <c r="L217" cm="1">
        <f t="array" ref="L217">IFERROR(_xlfn.XLOOKUP(C217&amp;A217, RYOE!A:A&amp;RYOE!F:F, RYOE!C:C), "N/A")</f>
        <v>74</v>
      </c>
      <c r="M217" cm="1">
        <f t="array" ref="M217">IFERROR(_xlfn.XLOOKUP(C217&amp;A217, RYOE!A:A&amp;RYOE!F:F, RYOE!D:D), "N/A")</f>
        <v>0.73</v>
      </c>
      <c r="N217" cm="1">
        <f t="array" ref="N217">IFERROR(_xlfn.XLOOKUP(C217&amp;A217, RYOE!A:A&amp;RYOE!F:F, RYOE!E:E), "N/A")</f>
        <v>43.1</v>
      </c>
    </row>
    <row r="218" spans="1:14" ht="15" customHeight="1" x14ac:dyDescent="0.45">
      <c r="A218" s="7">
        <v>2024</v>
      </c>
      <c r="B218" s="5" t="s">
        <v>91</v>
      </c>
      <c r="C218" s="1" t="str">
        <f t="shared" si="6"/>
        <v>Tyjae Spears</v>
      </c>
      <c r="D218" s="1" t="str">
        <f t="shared" si="7"/>
        <v>TEN</v>
      </c>
      <c r="E218" s="1">
        <v>84</v>
      </c>
      <c r="F218" s="1">
        <v>312</v>
      </c>
      <c r="G218" s="1">
        <v>3.7</v>
      </c>
      <c r="H218" s="1">
        <v>4</v>
      </c>
      <c r="I218">
        <v>0</v>
      </c>
      <c r="J218">
        <v>12</v>
      </c>
      <c r="K218" cm="1">
        <f t="array" ref="K218">IFERROR(_xlfn.XLOOKUP(D218&amp;A218, RBWR!A:A&amp;RBWR!C:C, RBWR!B:B), "N/A")</f>
        <v>71</v>
      </c>
      <c r="L218" t="str" cm="1">
        <f t="array" ref="L218">IFERROR(_xlfn.XLOOKUP(C218&amp;A218, RYOE!A:A&amp;RYOE!F:F, RYOE!C:C), "N/A")</f>
        <v>N/A</v>
      </c>
      <c r="M218" t="str" cm="1">
        <f t="array" ref="M218">IFERROR(_xlfn.XLOOKUP(C218&amp;A218, RYOE!A:A&amp;RYOE!F:F, RYOE!D:D), "N/A")</f>
        <v>N/A</v>
      </c>
      <c r="N218" t="str" cm="1">
        <f t="array" ref="N218">IFERROR(_xlfn.XLOOKUP(C218&amp;A218, RYOE!A:A&amp;RYOE!F:F, RYOE!E:E), "N/A")</f>
        <v>N/A</v>
      </c>
    </row>
    <row r="219" spans="1:14" ht="15" customHeight="1" x14ac:dyDescent="0.45">
      <c r="A219" s="8">
        <v>2024</v>
      </c>
      <c r="B219" s="6" t="s">
        <v>112</v>
      </c>
      <c r="C219" s="2" t="str">
        <f t="shared" si="6"/>
        <v>Antonio Gibson</v>
      </c>
      <c r="D219" s="2" t="str">
        <f t="shared" si="7"/>
        <v>NE</v>
      </c>
      <c r="E219" s="2">
        <v>120</v>
      </c>
      <c r="F219" s="2">
        <v>538</v>
      </c>
      <c r="G219" s="2">
        <v>4.5</v>
      </c>
      <c r="H219" s="2">
        <v>1</v>
      </c>
      <c r="I219">
        <v>0</v>
      </c>
      <c r="J219">
        <v>17</v>
      </c>
      <c r="K219" cm="1">
        <f t="array" ref="K219">IFERROR(_xlfn.XLOOKUP(D219&amp;A219, RBWR!A:A&amp;RBWR!C:C, RBWR!B:B), "N/A")</f>
        <v>67</v>
      </c>
      <c r="L219" cm="1">
        <f t="array" ref="L219">IFERROR(_xlfn.XLOOKUP(C219&amp;A219, RYOE!A:A&amp;RYOE!F:F, RYOE!C:C), "N/A")</f>
        <v>83</v>
      </c>
      <c r="M219" cm="1">
        <f t="array" ref="M219">IFERROR(_xlfn.XLOOKUP(C219&amp;A219, RYOE!A:A&amp;RYOE!F:F, RYOE!D:D), "N/A")</f>
        <v>0.7</v>
      </c>
      <c r="N219" cm="1">
        <f t="array" ref="N219">IFERROR(_xlfn.XLOOKUP(C219&amp;A219, RYOE!A:A&amp;RYOE!F:F, RYOE!E:E), "N/A")</f>
        <v>45.4</v>
      </c>
    </row>
    <row r="220" spans="1:14" ht="15" customHeight="1" x14ac:dyDescent="0.45">
      <c r="A220" s="7">
        <v>2024</v>
      </c>
      <c r="B220" s="5" t="s">
        <v>216</v>
      </c>
      <c r="C220" s="1" t="str">
        <f t="shared" si="6"/>
        <v>Cam Akers</v>
      </c>
      <c r="D220" s="1" t="str">
        <f t="shared" si="7"/>
        <v>MIN</v>
      </c>
      <c r="E220" s="1">
        <v>104</v>
      </c>
      <c r="F220" s="1">
        <v>444</v>
      </c>
      <c r="G220" s="1">
        <v>4.3</v>
      </c>
      <c r="H220" s="1">
        <v>2</v>
      </c>
      <c r="I220">
        <v>1</v>
      </c>
      <c r="J220">
        <v>16</v>
      </c>
      <c r="K220" cm="1">
        <f t="array" ref="K220">IFERROR(_xlfn.XLOOKUP(D220&amp;A220, RBWR!A:A&amp;RBWR!C:C, RBWR!B:B), "N/A")</f>
        <v>72</v>
      </c>
      <c r="L220" cm="1">
        <f t="array" ref="L220">IFERROR(_xlfn.XLOOKUP(C220&amp;A220, RYOE!A:A&amp;RYOE!F:F, RYOE!C:C), "N/A")</f>
        <v>-6</v>
      </c>
      <c r="M220" cm="1">
        <f t="array" ref="M220">IFERROR(_xlfn.XLOOKUP(C220&amp;A220, RYOE!A:A&amp;RYOE!F:F, RYOE!D:D), "N/A")</f>
        <v>-0.06</v>
      </c>
      <c r="N220" cm="1">
        <f t="array" ref="N220">IFERROR(_xlfn.XLOOKUP(C220&amp;A220, RYOE!A:A&amp;RYOE!F:F, RYOE!E:E), "N/A")</f>
        <v>31.1</v>
      </c>
    </row>
    <row r="221" spans="1:14" ht="15" customHeight="1" x14ac:dyDescent="0.45">
      <c r="A221" s="8">
        <v>2024</v>
      </c>
      <c r="B221" s="6" t="s">
        <v>193</v>
      </c>
      <c r="C221" s="2" t="str">
        <f t="shared" si="6"/>
        <v>Isaac Guerendo</v>
      </c>
      <c r="D221" s="2" t="str">
        <f t="shared" si="7"/>
        <v>SF</v>
      </c>
      <c r="E221" s="2">
        <v>84</v>
      </c>
      <c r="F221" s="2">
        <v>420</v>
      </c>
      <c r="G221" s="2">
        <v>5</v>
      </c>
      <c r="H221" s="2">
        <v>4</v>
      </c>
      <c r="I221">
        <v>1</v>
      </c>
      <c r="J221">
        <v>16</v>
      </c>
      <c r="K221" cm="1">
        <f t="array" ref="K221">IFERROR(_xlfn.XLOOKUP(D221&amp;A221, RBWR!A:A&amp;RBWR!C:C, RBWR!B:B), "N/A")</f>
        <v>71</v>
      </c>
      <c r="L221" t="str" cm="1">
        <f t="array" ref="L221">IFERROR(_xlfn.XLOOKUP(C221&amp;A221, RYOE!A:A&amp;RYOE!F:F, RYOE!C:C), "N/A")</f>
        <v>N/A</v>
      </c>
      <c r="M221" t="str" cm="1">
        <f t="array" ref="M221">IFERROR(_xlfn.XLOOKUP(C221&amp;A221, RYOE!A:A&amp;RYOE!F:F, RYOE!D:D), "N/A")</f>
        <v>N/A</v>
      </c>
      <c r="N221" t="str" cm="1">
        <f t="array" ref="N221">IFERROR(_xlfn.XLOOKUP(C221&amp;A221, RYOE!A:A&amp;RYOE!F:F, RYOE!E:E), "N/A")</f>
        <v>N/A</v>
      </c>
    </row>
    <row r="222" spans="1:14" ht="15" customHeight="1" x14ac:dyDescent="0.45">
      <c r="A222" s="7">
        <v>2024</v>
      </c>
      <c r="B222" s="5" t="s">
        <v>80</v>
      </c>
      <c r="C222" s="1" t="str">
        <f t="shared" si="6"/>
        <v>Devin Singletary</v>
      </c>
      <c r="D222" s="1" t="str">
        <f t="shared" si="7"/>
        <v>NYG</v>
      </c>
      <c r="E222" s="1">
        <v>113</v>
      </c>
      <c r="F222" s="1">
        <v>437</v>
      </c>
      <c r="G222" s="1">
        <v>3.9</v>
      </c>
      <c r="H222" s="1">
        <v>4</v>
      </c>
      <c r="I222">
        <v>2</v>
      </c>
      <c r="J222">
        <v>16</v>
      </c>
      <c r="K222" cm="1">
        <f t="array" ref="K222">IFERROR(_xlfn.XLOOKUP(D222&amp;A222, RBWR!A:A&amp;RBWR!C:C, RBWR!B:B), "N/A")</f>
        <v>69</v>
      </c>
      <c r="L222" cm="1">
        <f t="array" ref="L222">IFERROR(_xlfn.XLOOKUP(C222&amp;A222, RYOE!A:A&amp;RYOE!F:F, RYOE!C:C), "N/A")</f>
        <v>-54</v>
      </c>
      <c r="M222" cm="1">
        <f t="array" ref="M222">IFERROR(_xlfn.XLOOKUP(C222&amp;A222, RYOE!A:A&amp;RYOE!F:F, RYOE!D:D), "N/A")</f>
        <v>-0.48</v>
      </c>
      <c r="N222" cm="1">
        <f t="array" ref="N222">IFERROR(_xlfn.XLOOKUP(C222&amp;A222, RYOE!A:A&amp;RYOE!F:F, RYOE!E:E), "N/A")</f>
        <v>33.9</v>
      </c>
    </row>
    <row r="223" spans="1:14" ht="15" customHeight="1" x14ac:dyDescent="0.45">
      <c r="A223" s="8">
        <v>2024</v>
      </c>
      <c r="B223" s="6" t="s">
        <v>98</v>
      </c>
      <c r="C223" s="2" t="str">
        <f t="shared" si="6"/>
        <v>Ty Johnson</v>
      </c>
      <c r="D223" s="2" t="str">
        <f t="shared" si="7"/>
        <v>BUF</v>
      </c>
      <c r="E223" s="2">
        <v>41</v>
      </c>
      <c r="F223" s="2">
        <v>213</v>
      </c>
      <c r="G223" s="2">
        <v>5.2</v>
      </c>
      <c r="H223" s="2">
        <v>1</v>
      </c>
      <c r="I223">
        <v>0</v>
      </c>
      <c r="J223">
        <v>17</v>
      </c>
      <c r="K223" cm="1">
        <f t="array" ref="K223">IFERROR(_xlfn.XLOOKUP(D223&amp;A223, RBWR!A:A&amp;RBWR!C:C, RBWR!B:B), "N/A")</f>
        <v>71</v>
      </c>
      <c r="L223" t="str" cm="1">
        <f t="array" ref="L223">IFERROR(_xlfn.XLOOKUP(C223&amp;A223, RYOE!A:A&amp;RYOE!F:F, RYOE!C:C), "N/A")</f>
        <v>N/A</v>
      </c>
      <c r="M223" t="str" cm="1">
        <f t="array" ref="M223">IFERROR(_xlfn.XLOOKUP(C223&amp;A223, RYOE!A:A&amp;RYOE!F:F, RYOE!D:D), "N/A")</f>
        <v>N/A</v>
      </c>
      <c r="N223" t="str" cm="1">
        <f t="array" ref="N223">IFERROR(_xlfn.XLOOKUP(C223&amp;A223, RYOE!A:A&amp;RYOE!F:F, RYOE!E:E), "N/A")</f>
        <v>N/A</v>
      </c>
    </row>
    <row r="224" spans="1:14" ht="15" customHeight="1" x14ac:dyDescent="0.45">
      <c r="A224" s="7">
        <v>2024</v>
      </c>
      <c r="B224" s="5" t="s">
        <v>103</v>
      </c>
      <c r="C224" s="1" t="str">
        <f t="shared" si="6"/>
        <v>Jaleel McLaughlin</v>
      </c>
      <c r="D224" s="1" t="str">
        <f t="shared" si="7"/>
        <v>DEN</v>
      </c>
      <c r="E224" s="1">
        <v>113</v>
      </c>
      <c r="F224" s="1">
        <v>496</v>
      </c>
      <c r="G224" s="1">
        <v>4.4000000000000004</v>
      </c>
      <c r="H224" s="1">
        <v>1</v>
      </c>
      <c r="I224">
        <v>1</v>
      </c>
      <c r="J224">
        <v>16</v>
      </c>
      <c r="K224" cm="1">
        <f t="array" ref="K224">IFERROR(_xlfn.XLOOKUP(D224&amp;A224, RBWR!A:A&amp;RBWR!C:C, RBWR!B:B), "N/A")</f>
        <v>75</v>
      </c>
      <c r="L224" cm="1">
        <f t="array" ref="L224">IFERROR(_xlfn.XLOOKUP(C224&amp;A224, RYOE!A:A&amp;RYOE!F:F, RYOE!C:C), "N/A")</f>
        <v>-41</v>
      </c>
      <c r="M224" cm="1">
        <f t="array" ref="M224">IFERROR(_xlfn.XLOOKUP(C224&amp;A224, RYOE!A:A&amp;RYOE!F:F, RYOE!D:D), "N/A")</f>
        <v>-0.36</v>
      </c>
      <c r="N224" cm="1">
        <f t="array" ref="N224">IFERROR(_xlfn.XLOOKUP(C224&amp;A224, RYOE!A:A&amp;RYOE!F:F, RYOE!E:E), "N/A")</f>
        <v>38.1</v>
      </c>
    </row>
    <row r="225" spans="1:14" ht="15" customHeight="1" x14ac:dyDescent="0.45">
      <c r="A225" s="8">
        <v>2024</v>
      </c>
      <c r="B225" s="6" t="s">
        <v>121</v>
      </c>
      <c r="C225" s="2" t="str">
        <f t="shared" si="6"/>
        <v>Braelon Allen</v>
      </c>
      <c r="D225" s="2" t="str">
        <f t="shared" si="7"/>
        <v>NYJ</v>
      </c>
      <c r="E225" s="2">
        <v>92</v>
      </c>
      <c r="F225" s="2">
        <v>334</v>
      </c>
      <c r="G225" s="2">
        <v>3.6</v>
      </c>
      <c r="H225" s="2">
        <v>2</v>
      </c>
      <c r="I225">
        <v>0</v>
      </c>
      <c r="J225">
        <v>17</v>
      </c>
      <c r="K225" cm="1">
        <f t="array" ref="K225">IFERROR(_xlfn.XLOOKUP(D225&amp;A225, RBWR!A:A&amp;RBWR!C:C, RBWR!B:B), "N/A")</f>
        <v>68</v>
      </c>
      <c r="L225" cm="1">
        <f t="array" ref="L225">IFERROR(_xlfn.XLOOKUP(C225&amp;A225, RYOE!A:A&amp;RYOE!F:F, RYOE!C:C), "N/A")</f>
        <v>-58</v>
      </c>
      <c r="M225" cm="1">
        <f t="array" ref="M225">IFERROR(_xlfn.XLOOKUP(C225&amp;A225, RYOE!A:A&amp;RYOE!F:F, RYOE!D:D), "N/A")</f>
        <v>-0.64</v>
      </c>
      <c r="N225" cm="1">
        <f t="array" ref="N225">IFERROR(_xlfn.XLOOKUP(C225&amp;A225, RYOE!A:A&amp;RYOE!F:F, RYOE!E:E), "N/A")</f>
        <v>31.1</v>
      </c>
    </row>
    <row r="226" spans="1:14" ht="15" customHeight="1" x14ac:dyDescent="0.45">
      <c r="A226" s="7">
        <v>2024</v>
      </c>
      <c r="B226" s="5" t="s">
        <v>158</v>
      </c>
      <c r="C226" s="1" t="str">
        <f t="shared" si="6"/>
        <v>Roschon Johnson</v>
      </c>
      <c r="D226" s="1" t="str">
        <f t="shared" si="7"/>
        <v>CHI</v>
      </c>
      <c r="E226" s="1">
        <v>55</v>
      </c>
      <c r="F226" s="1">
        <v>150</v>
      </c>
      <c r="G226" s="1">
        <v>2.7</v>
      </c>
      <c r="H226" s="1">
        <v>6</v>
      </c>
      <c r="I226">
        <v>0</v>
      </c>
      <c r="J226">
        <v>13</v>
      </c>
      <c r="K226" cm="1">
        <f t="array" ref="K226">IFERROR(_xlfn.XLOOKUP(D226&amp;A226, RBWR!A:A&amp;RBWR!C:C, RBWR!B:B), "N/A")</f>
        <v>73</v>
      </c>
      <c r="L226" t="str" cm="1">
        <f t="array" ref="L226">IFERROR(_xlfn.XLOOKUP(C226&amp;A226, RYOE!A:A&amp;RYOE!F:F, RYOE!C:C), "N/A")</f>
        <v>N/A</v>
      </c>
      <c r="M226" t="str" cm="1">
        <f t="array" ref="M226">IFERROR(_xlfn.XLOOKUP(C226&amp;A226, RYOE!A:A&amp;RYOE!F:F, RYOE!D:D), "N/A")</f>
        <v>N/A</v>
      </c>
      <c r="N226" t="str" cm="1">
        <f t="array" ref="N226">IFERROR(_xlfn.XLOOKUP(C226&amp;A226, RYOE!A:A&amp;RYOE!F:F, RYOE!E:E), "N/A")</f>
        <v>N/A</v>
      </c>
    </row>
    <row r="227" spans="1:14" ht="15" customHeight="1" x14ac:dyDescent="0.45">
      <c r="A227" s="8">
        <v>2024</v>
      </c>
      <c r="B227" s="6" t="s">
        <v>217</v>
      </c>
      <c r="C227" s="2" t="str">
        <f t="shared" si="6"/>
        <v>Gus Edwards</v>
      </c>
      <c r="D227" s="2" t="str">
        <f t="shared" si="7"/>
        <v>LAC</v>
      </c>
      <c r="E227" s="2">
        <v>101</v>
      </c>
      <c r="F227" s="2">
        <v>365</v>
      </c>
      <c r="G227" s="2">
        <v>3.6</v>
      </c>
      <c r="H227" s="2">
        <v>4</v>
      </c>
      <c r="I227">
        <v>0</v>
      </c>
      <c r="J227">
        <v>11</v>
      </c>
      <c r="K227" cm="1">
        <f t="array" ref="K227">IFERROR(_xlfn.XLOOKUP(D227&amp;A227, RBWR!A:A&amp;RBWR!C:C, RBWR!B:B), "N/A")</f>
        <v>72</v>
      </c>
      <c r="L227" cm="1">
        <f t="array" ref="L227">IFERROR(_xlfn.XLOOKUP(C227&amp;A227, RYOE!A:A&amp;RYOE!F:F, RYOE!C:C), "N/A")</f>
        <v>-50</v>
      </c>
      <c r="M227" cm="1">
        <f t="array" ref="M227">IFERROR(_xlfn.XLOOKUP(C227&amp;A227, RYOE!A:A&amp;RYOE!F:F, RYOE!D:D), "N/A")</f>
        <v>-0.5</v>
      </c>
      <c r="N227" cm="1">
        <f t="array" ref="N227">IFERROR(_xlfn.XLOOKUP(C227&amp;A227, RYOE!A:A&amp;RYOE!F:F, RYOE!E:E), "N/A")</f>
        <v>33.700000000000003</v>
      </c>
    </row>
    <row r="228" spans="1:14" ht="15" customHeight="1" x14ac:dyDescent="0.45">
      <c r="A228" s="7">
        <v>2024</v>
      </c>
      <c r="B228" s="5" t="s">
        <v>87</v>
      </c>
      <c r="C228" s="1" t="str">
        <f t="shared" si="6"/>
        <v>Sean Tucker</v>
      </c>
      <c r="D228" s="1" t="str">
        <f t="shared" si="7"/>
        <v>TB</v>
      </c>
      <c r="E228" s="1">
        <v>50</v>
      </c>
      <c r="F228" s="1">
        <v>308</v>
      </c>
      <c r="G228" s="1">
        <v>6.2</v>
      </c>
      <c r="H228" s="1">
        <v>2</v>
      </c>
      <c r="I228">
        <v>0</v>
      </c>
      <c r="J228">
        <v>17</v>
      </c>
      <c r="K228" cm="1">
        <f t="array" ref="K228">IFERROR(_xlfn.XLOOKUP(D228&amp;A228, RBWR!A:A&amp;RBWR!C:C, RBWR!B:B), "N/A")</f>
        <v>73</v>
      </c>
      <c r="L228" t="str" cm="1">
        <f t="array" ref="L228">IFERROR(_xlfn.XLOOKUP(C228&amp;A228, RYOE!A:A&amp;RYOE!F:F, RYOE!C:C), "N/A")</f>
        <v>N/A</v>
      </c>
      <c r="M228" t="str" cm="1">
        <f t="array" ref="M228">IFERROR(_xlfn.XLOOKUP(C228&amp;A228, RYOE!A:A&amp;RYOE!F:F, RYOE!D:D), "N/A")</f>
        <v>N/A</v>
      </c>
      <c r="N228" t="str" cm="1">
        <f t="array" ref="N228">IFERROR(_xlfn.XLOOKUP(C228&amp;A228, RYOE!A:A&amp;RYOE!F:F, RYOE!E:E), "N/A")</f>
        <v>N/A</v>
      </c>
    </row>
    <row r="229" spans="1:14" ht="15" customHeight="1" x14ac:dyDescent="0.45">
      <c r="A229" s="8">
        <v>2024</v>
      </c>
      <c r="B229" s="6" t="s">
        <v>218</v>
      </c>
      <c r="C229" s="2" t="str">
        <f t="shared" si="6"/>
        <v>Zack Moss</v>
      </c>
      <c r="D229" s="2" t="str">
        <f t="shared" si="7"/>
        <v>CIN</v>
      </c>
      <c r="E229" s="2">
        <v>74</v>
      </c>
      <c r="F229" s="2">
        <v>242</v>
      </c>
      <c r="G229" s="2">
        <v>3.3</v>
      </c>
      <c r="H229" s="2">
        <v>2</v>
      </c>
      <c r="I229">
        <v>1</v>
      </c>
      <c r="J229">
        <v>9</v>
      </c>
      <c r="K229" cm="1">
        <f t="array" ref="K229">IFERROR(_xlfn.XLOOKUP(D229&amp;A229, RBWR!A:A&amp;RBWR!C:C, RBWR!B:B), "N/A")</f>
        <v>68</v>
      </c>
      <c r="L229" t="str" cm="1">
        <f t="array" ref="L229">IFERROR(_xlfn.XLOOKUP(C229&amp;A229, RYOE!A:A&amp;RYOE!F:F, RYOE!C:C), "N/A")</f>
        <v>N/A</v>
      </c>
      <c r="M229" t="str" cm="1">
        <f t="array" ref="M229">IFERROR(_xlfn.XLOOKUP(C229&amp;A229, RYOE!A:A&amp;RYOE!F:F, RYOE!D:D), "N/A")</f>
        <v>N/A</v>
      </c>
      <c r="N229" t="str" cm="1">
        <f t="array" ref="N229">IFERROR(_xlfn.XLOOKUP(C229&amp;A229, RYOE!A:A&amp;RYOE!F:F, RYOE!E:E), "N/A")</f>
        <v>N/A</v>
      </c>
    </row>
    <row r="230" spans="1:14" ht="15" customHeight="1" x14ac:dyDescent="0.45">
      <c r="A230" s="7">
        <v>2024</v>
      </c>
      <c r="B230" s="5" t="s">
        <v>219</v>
      </c>
      <c r="C230" s="1" t="str">
        <f t="shared" si="6"/>
        <v>Nick Chubb</v>
      </c>
      <c r="D230" s="1" t="str">
        <f t="shared" si="7"/>
        <v>CLE</v>
      </c>
      <c r="E230" s="1">
        <v>102</v>
      </c>
      <c r="F230" s="1">
        <v>332</v>
      </c>
      <c r="G230" s="1">
        <v>3.3</v>
      </c>
      <c r="H230" s="1">
        <v>3</v>
      </c>
      <c r="I230">
        <v>1</v>
      </c>
      <c r="J230">
        <v>8</v>
      </c>
      <c r="K230" cm="1">
        <f t="array" ref="K230">IFERROR(_xlfn.XLOOKUP(D230&amp;A230, RBWR!A:A&amp;RBWR!C:C, RBWR!B:B), "N/A")</f>
        <v>72</v>
      </c>
      <c r="L230" cm="1">
        <f t="array" ref="L230">IFERROR(_xlfn.XLOOKUP(C230&amp;A230, RYOE!A:A&amp;RYOE!F:F, RYOE!C:C), "N/A")</f>
        <v>-25</v>
      </c>
      <c r="M230" cm="1">
        <f t="array" ref="M230">IFERROR(_xlfn.XLOOKUP(C230&amp;A230, RYOE!A:A&amp;RYOE!F:F, RYOE!D:D), "N/A")</f>
        <v>-0.25</v>
      </c>
      <c r="N230" cm="1">
        <f t="array" ref="N230">IFERROR(_xlfn.XLOOKUP(C230&amp;A230, RYOE!A:A&amp;RYOE!F:F, RYOE!E:E), "N/A")</f>
        <v>42</v>
      </c>
    </row>
    <row r="231" spans="1:14" ht="15" customHeight="1" x14ac:dyDescent="0.45">
      <c r="A231" s="8">
        <v>2024</v>
      </c>
      <c r="B231" s="6" t="s">
        <v>96</v>
      </c>
      <c r="C231" s="2" t="str">
        <f t="shared" si="6"/>
        <v>Jeremy McNichols</v>
      </c>
      <c r="D231" s="2" t="str">
        <f t="shared" si="7"/>
        <v>WAS</v>
      </c>
      <c r="E231" s="2">
        <v>55</v>
      </c>
      <c r="F231" s="2">
        <v>261</v>
      </c>
      <c r="G231" s="2">
        <v>4.7</v>
      </c>
      <c r="H231" s="2">
        <v>4</v>
      </c>
      <c r="I231">
        <v>0</v>
      </c>
      <c r="J231">
        <v>17</v>
      </c>
      <c r="K231" cm="1">
        <f t="array" ref="K231">IFERROR(_xlfn.XLOOKUP(D231&amp;A231, RBWR!A:A&amp;RBWR!C:C, RBWR!B:B), "N/A")</f>
        <v>74</v>
      </c>
      <c r="L231" t="str" cm="1">
        <f t="array" ref="L231">IFERROR(_xlfn.XLOOKUP(C231&amp;A231, RYOE!A:A&amp;RYOE!F:F, RYOE!C:C), "N/A")</f>
        <v>N/A</v>
      </c>
      <c r="M231" t="str" cm="1">
        <f t="array" ref="M231">IFERROR(_xlfn.XLOOKUP(C231&amp;A231, RYOE!A:A&amp;RYOE!F:F, RYOE!D:D), "N/A")</f>
        <v>N/A</v>
      </c>
      <c r="N231" t="str" cm="1">
        <f t="array" ref="N231">IFERROR(_xlfn.XLOOKUP(C231&amp;A231, RYOE!A:A&amp;RYOE!F:F, RYOE!E:E), "N/A")</f>
        <v>N/A</v>
      </c>
    </row>
    <row r="232" spans="1:14" ht="15" customHeight="1" x14ac:dyDescent="0.45">
      <c r="A232" s="7">
        <v>2024</v>
      </c>
      <c r="B232" s="5" t="s">
        <v>220</v>
      </c>
      <c r="C232" s="1" t="str">
        <f t="shared" si="6"/>
        <v>Samaje Perine</v>
      </c>
      <c r="D232" s="1" t="str">
        <f t="shared" si="7"/>
        <v>KC</v>
      </c>
      <c r="E232" s="1">
        <v>20</v>
      </c>
      <c r="F232" s="1">
        <v>92</v>
      </c>
      <c r="G232" s="1">
        <v>4.5999999999999996</v>
      </c>
      <c r="H232" s="1">
        <v>1</v>
      </c>
      <c r="I232">
        <v>0</v>
      </c>
      <c r="J232">
        <v>17</v>
      </c>
      <c r="K232" cm="1">
        <f t="array" ref="K232">IFERROR(_xlfn.XLOOKUP(D232&amp;A232, RBWR!A:A&amp;RBWR!C:C, RBWR!B:B), "N/A")</f>
        <v>73</v>
      </c>
      <c r="L232" t="str" cm="1">
        <f t="array" ref="L232">IFERROR(_xlfn.XLOOKUP(C232&amp;A232, RYOE!A:A&amp;RYOE!F:F, RYOE!C:C), "N/A")</f>
        <v>N/A</v>
      </c>
      <c r="M232" t="str" cm="1">
        <f t="array" ref="M232">IFERROR(_xlfn.XLOOKUP(C232&amp;A232, RYOE!A:A&amp;RYOE!F:F, RYOE!D:D), "N/A")</f>
        <v>N/A</v>
      </c>
      <c r="N232" t="str" cm="1">
        <f t="array" ref="N232">IFERROR(_xlfn.XLOOKUP(C232&amp;A232, RYOE!A:A&amp;RYOE!F:F, RYOE!E:E), "N/A")</f>
        <v>N/A</v>
      </c>
    </row>
    <row r="233" spans="1:14" ht="15" customHeight="1" x14ac:dyDescent="0.45">
      <c r="A233" s="8">
        <v>2024</v>
      </c>
      <c r="B233" s="6" t="s">
        <v>221</v>
      </c>
      <c r="C233" s="2" t="str">
        <f t="shared" si="6"/>
        <v>Miles Sanders</v>
      </c>
      <c r="D233" s="2" t="str">
        <f t="shared" si="7"/>
        <v>CAR</v>
      </c>
      <c r="E233" s="2">
        <v>55</v>
      </c>
      <c r="F233" s="2">
        <v>205</v>
      </c>
      <c r="G233" s="2">
        <v>3.7</v>
      </c>
      <c r="H233" s="2">
        <v>2</v>
      </c>
      <c r="I233">
        <v>0</v>
      </c>
      <c r="J233">
        <v>11</v>
      </c>
      <c r="K233" cm="1">
        <f t="array" ref="K233">IFERROR(_xlfn.XLOOKUP(D233&amp;A233, RBWR!A:A&amp;RBWR!C:C, RBWR!B:B), "N/A")</f>
        <v>72</v>
      </c>
      <c r="L233" t="str" cm="1">
        <f t="array" ref="L233">IFERROR(_xlfn.XLOOKUP(C233&amp;A233, RYOE!A:A&amp;RYOE!F:F, RYOE!C:C), "N/A")</f>
        <v>N/A</v>
      </c>
      <c r="M233" t="str" cm="1">
        <f t="array" ref="M233">IFERROR(_xlfn.XLOOKUP(C233&amp;A233, RYOE!A:A&amp;RYOE!F:F, RYOE!D:D), "N/A")</f>
        <v>N/A</v>
      </c>
      <c r="N233" t="str" cm="1">
        <f t="array" ref="N233">IFERROR(_xlfn.XLOOKUP(C233&amp;A233, RYOE!A:A&amp;RYOE!F:F, RYOE!E:E), "N/A")</f>
        <v>N/A</v>
      </c>
    </row>
    <row r="234" spans="1:14" ht="15" customHeight="1" x14ac:dyDescent="0.45">
      <c r="A234" s="7">
        <v>2024</v>
      </c>
      <c r="B234" s="5" t="s">
        <v>222</v>
      </c>
      <c r="C234" s="1" t="str">
        <f t="shared" si="6"/>
        <v>Raheem Mostert</v>
      </c>
      <c r="D234" s="1" t="str">
        <f t="shared" si="7"/>
        <v>MIA</v>
      </c>
      <c r="E234" s="1">
        <v>85</v>
      </c>
      <c r="F234" s="1">
        <v>278</v>
      </c>
      <c r="G234" s="1">
        <v>3.3</v>
      </c>
      <c r="H234" s="1">
        <v>2</v>
      </c>
      <c r="I234">
        <v>2</v>
      </c>
      <c r="J234">
        <v>13</v>
      </c>
      <c r="K234" cm="1">
        <f t="array" ref="K234">IFERROR(_xlfn.XLOOKUP(D234&amp;A234, RBWR!A:A&amp;RBWR!C:C, RBWR!B:B), "N/A")</f>
        <v>70</v>
      </c>
      <c r="L234" t="str" cm="1">
        <f t="array" ref="L234">IFERROR(_xlfn.XLOOKUP(C234&amp;A234, RYOE!A:A&amp;RYOE!F:F, RYOE!C:C), "N/A")</f>
        <v>N/A</v>
      </c>
      <c r="M234" t="str" cm="1">
        <f t="array" ref="M234">IFERROR(_xlfn.XLOOKUP(C234&amp;A234, RYOE!A:A&amp;RYOE!F:F, RYOE!D:D), "N/A")</f>
        <v>N/A</v>
      </c>
      <c r="N234" t="str" cm="1">
        <f t="array" ref="N234">IFERROR(_xlfn.XLOOKUP(C234&amp;A234, RYOE!A:A&amp;RYOE!F:F, RYOE!E:E), "N/A")</f>
        <v>N/A</v>
      </c>
    </row>
    <row r="235" spans="1:14" ht="15" customHeight="1" x14ac:dyDescent="0.45">
      <c r="A235" s="8">
        <v>2024</v>
      </c>
      <c r="B235" s="6" t="s">
        <v>223</v>
      </c>
      <c r="C235" s="2" t="str">
        <f t="shared" si="6"/>
        <v>Kenny Gainwell</v>
      </c>
      <c r="D235" s="2" t="str">
        <f t="shared" si="7"/>
        <v>PHI</v>
      </c>
      <c r="E235" s="2">
        <v>75</v>
      </c>
      <c r="F235" s="2">
        <v>290</v>
      </c>
      <c r="G235" s="2">
        <v>3.9</v>
      </c>
      <c r="H235" s="2">
        <v>1</v>
      </c>
      <c r="I235">
        <v>0</v>
      </c>
      <c r="J235">
        <v>17</v>
      </c>
      <c r="K235" cm="1">
        <f t="array" ref="K235">IFERROR(_xlfn.XLOOKUP(D235&amp;A235, RBWR!A:A&amp;RBWR!C:C, RBWR!B:B), "N/A")</f>
        <v>72</v>
      </c>
      <c r="L235" t="str" cm="1">
        <f t="array" ref="L235">IFERROR(_xlfn.XLOOKUP(C235&amp;A235, RYOE!A:A&amp;RYOE!F:F, RYOE!C:C), "N/A")</f>
        <v>N/A</v>
      </c>
      <c r="M235" t="str" cm="1">
        <f t="array" ref="M235">IFERROR(_xlfn.XLOOKUP(C235&amp;A235, RYOE!A:A&amp;RYOE!F:F, RYOE!D:D), "N/A")</f>
        <v>N/A</v>
      </c>
      <c r="N235" t="str" cm="1">
        <f t="array" ref="N235">IFERROR(_xlfn.XLOOKUP(C235&amp;A235, RYOE!A:A&amp;RYOE!F:F, RYOE!E:E), "N/A")</f>
        <v>N/A</v>
      </c>
    </row>
    <row r="236" spans="1:14" ht="15" customHeight="1" x14ac:dyDescent="0.45">
      <c r="A236" s="7">
        <v>2024</v>
      </c>
      <c r="B236" s="5" t="s">
        <v>224</v>
      </c>
      <c r="C236" s="1" t="str">
        <f t="shared" si="6"/>
        <v>Ezekiel Elliott</v>
      </c>
      <c r="D236" s="1" t="str">
        <f t="shared" si="7"/>
        <v>DAL</v>
      </c>
      <c r="E236" s="1">
        <v>74</v>
      </c>
      <c r="F236" s="1">
        <v>226</v>
      </c>
      <c r="G236" s="1">
        <v>3.1</v>
      </c>
      <c r="H236" s="1">
        <v>3</v>
      </c>
      <c r="I236">
        <v>1</v>
      </c>
      <c r="J236">
        <v>15</v>
      </c>
      <c r="K236" cm="1">
        <f t="array" ref="K236">IFERROR(_xlfn.XLOOKUP(D236&amp;A236, RBWR!A:A&amp;RBWR!C:C, RBWR!B:B), "N/A")</f>
        <v>73</v>
      </c>
      <c r="L236" t="str" cm="1">
        <f t="array" ref="L236">IFERROR(_xlfn.XLOOKUP(C236&amp;A236, RYOE!A:A&amp;RYOE!F:F, RYOE!C:C), "N/A")</f>
        <v>N/A</v>
      </c>
      <c r="M236" t="str" cm="1">
        <f t="array" ref="M236">IFERROR(_xlfn.XLOOKUP(C236&amp;A236, RYOE!A:A&amp;RYOE!F:F, RYOE!D:D), "N/A")</f>
        <v>N/A</v>
      </c>
      <c r="N236" t="str" cm="1">
        <f t="array" ref="N236">IFERROR(_xlfn.XLOOKUP(C236&amp;A236, RYOE!A:A&amp;RYOE!F:F, RYOE!E:E), "N/A")</f>
        <v>N/A</v>
      </c>
    </row>
    <row r="237" spans="1:14" ht="15" customHeight="1" x14ac:dyDescent="0.45">
      <c r="A237" s="8">
        <v>2024</v>
      </c>
      <c r="B237" s="6" t="s">
        <v>79</v>
      </c>
      <c r="C237" s="2" t="str">
        <f t="shared" si="6"/>
        <v>Isiah Pacheco</v>
      </c>
      <c r="D237" s="2" t="str">
        <f t="shared" si="7"/>
        <v>KC</v>
      </c>
      <c r="E237" s="2">
        <v>83</v>
      </c>
      <c r="F237" s="2">
        <v>310</v>
      </c>
      <c r="G237" s="2">
        <v>3.7</v>
      </c>
      <c r="H237" s="2">
        <v>1</v>
      </c>
      <c r="I237">
        <v>0</v>
      </c>
      <c r="J237">
        <v>7</v>
      </c>
      <c r="K237" cm="1">
        <f t="array" ref="K237">IFERROR(_xlfn.XLOOKUP(D237&amp;A237, RBWR!A:A&amp;RBWR!C:C, RBWR!B:B), "N/A")</f>
        <v>73</v>
      </c>
      <c r="L237" t="str" cm="1">
        <f t="array" ref="L237">IFERROR(_xlfn.XLOOKUP(C237&amp;A237, RYOE!A:A&amp;RYOE!F:F, RYOE!C:C), "N/A")</f>
        <v>N/A</v>
      </c>
      <c r="M237" t="str" cm="1">
        <f t="array" ref="M237">IFERROR(_xlfn.XLOOKUP(C237&amp;A237, RYOE!A:A&amp;RYOE!F:F, RYOE!D:D), "N/A")</f>
        <v>N/A</v>
      </c>
      <c r="N237" t="str" cm="1">
        <f t="array" ref="N237">IFERROR(_xlfn.XLOOKUP(C237&amp;A237, RYOE!A:A&amp;RYOE!F:F, RYOE!E:E), "N/A")</f>
        <v>N/A</v>
      </c>
    </row>
    <row r="238" spans="1:14" ht="15" customHeight="1" x14ac:dyDescent="0.45">
      <c r="A238" s="7">
        <v>2024</v>
      </c>
      <c r="B238" s="5" t="s">
        <v>225</v>
      </c>
      <c r="C238" s="1" t="str">
        <f t="shared" si="6"/>
        <v>Audric Estime</v>
      </c>
      <c r="D238" s="1" t="str">
        <f t="shared" si="7"/>
        <v>DEN</v>
      </c>
      <c r="E238" s="1">
        <v>76</v>
      </c>
      <c r="F238" s="1">
        <v>310</v>
      </c>
      <c r="G238" s="1">
        <v>4.0999999999999996</v>
      </c>
      <c r="H238" s="1">
        <v>2</v>
      </c>
      <c r="I238">
        <v>1</v>
      </c>
      <c r="J238">
        <v>13</v>
      </c>
      <c r="K238" cm="1">
        <f t="array" ref="K238">IFERROR(_xlfn.XLOOKUP(D238&amp;A238, RBWR!A:A&amp;RBWR!C:C, RBWR!B:B), "N/A")</f>
        <v>75</v>
      </c>
      <c r="L238" t="str" cm="1">
        <f t="array" ref="L238">IFERROR(_xlfn.XLOOKUP(C238&amp;A238, RYOE!A:A&amp;RYOE!F:F, RYOE!C:C), "N/A")</f>
        <v>N/A</v>
      </c>
      <c r="M238" t="str" cm="1">
        <f t="array" ref="M238">IFERROR(_xlfn.XLOOKUP(C238&amp;A238, RYOE!A:A&amp;RYOE!F:F, RYOE!D:D), "N/A")</f>
        <v>N/A</v>
      </c>
      <c r="N238" t="str" cm="1">
        <f t="array" ref="N238">IFERROR(_xlfn.XLOOKUP(C238&amp;A238, RYOE!A:A&amp;RYOE!F:F, RYOE!E:E), "N/A")</f>
        <v>N/A</v>
      </c>
    </row>
    <row r="239" spans="1:14" ht="15" customHeight="1" x14ac:dyDescent="0.45">
      <c r="A239" s="8">
        <v>2024</v>
      </c>
      <c r="B239" s="6" t="s">
        <v>226</v>
      </c>
      <c r="C239" s="2" t="str">
        <f t="shared" si="6"/>
        <v>Dameon Pierce</v>
      </c>
      <c r="D239" s="2" t="str">
        <f t="shared" si="7"/>
        <v>HOU</v>
      </c>
      <c r="E239" s="2">
        <v>40</v>
      </c>
      <c r="F239" s="2">
        <v>293</v>
      </c>
      <c r="G239" s="2">
        <v>7.3</v>
      </c>
      <c r="H239" s="2">
        <v>2</v>
      </c>
      <c r="I239">
        <v>0</v>
      </c>
      <c r="J239">
        <v>11</v>
      </c>
      <c r="K239" cm="1">
        <f t="array" ref="K239">IFERROR(_xlfn.XLOOKUP(D239&amp;A239, RBWR!A:A&amp;RBWR!C:C, RBWR!B:B), "N/A")</f>
        <v>68</v>
      </c>
      <c r="L239" t="str" cm="1">
        <f t="array" ref="L239">IFERROR(_xlfn.XLOOKUP(C239&amp;A239, RYOE!A:A&amp;RYOE!F:F, RYOE!C:C), "N/A")</f>
        <v>N/A</v>
      </c>
      <c r="M239" t="str" cm="1">
        <f t="array" ref="M239">IFERROR(_xlfn.XLOOKUP(C239&amp;A239, RYOE!A:A&amp;RYOE!F:F, RYOE!D:D), "N/A")</f>
        <v>N/A</v>
      </c>
      <c r="N239" t="str" cm="1">
        <f t="array" ref="N239">IFERROR(_xlfn.XLOOKUP(C239&amp;A239, RYOE!A:A&amp;RYOE!F:F, RYOE!E:E), "N/A")</f>
        <v>N/A</v>
      </c>
    </row>
    <row r="240" spans="1:14" ht="15" customHeight="1" x14ac:dyDescent="0.45">
      <c r="A240" s="7">
        <v>2024</v>
      </c>
      <c r="B240" s="5" t="s">
        <v>105</v>
      </c>
      <c r="C240" s="1" t="str">
        <f t="shared" si="6"/>
        <v>Trey Benson</v>
      </c>
      <c r="D240" s="1" t="str">
        <f t="shared" si="7"/>
        <v>ARI</v>
      </c>
      <c r="E240" s="1">
        <v>63</v>
      </c>
      <c r="F240" s="1">
        <v>291</v>
      </c>
      <c r="G240" s="1">
        <v>4.5999999999999996</v>
      </c>
      <c r="H240" s="1">
        <v>1</v>
      </c>
      <c r="I240">
        <v>0</v>
      </c>
      <c r="J240">
        <v>13</v>
      </c>
      <c r="K240" cm="1">
        <f t="array" ref="K240">IFERROR(_xlfn.XLOOKUP(D240&amp;A240, RBWR!A:A&amp;RBWR!C:C, RBWR!B:B), "N/A")</f>
        <v>72</v>
      </c>
      <c r="L240" t="str" cm="1">
        <f t="array" ref="L240">IFERROR(_xlfn.XLOOKUP(C240&amp;A240, RYOE!A:A&amp;RYOE!F:F, RYOE!C:C), "N/A")</f>
        <v>N/A</v>
      </c>
      <c r="M240" t="str" cm="1">
        <f t="array" ref="M240">IFERROR(_xlfn.XLOOKUP(C240&amp;A240, RYOE!A:A&amp;RYOE!F:F, RYOE!D:D), "N/A")</f>
        <v>N/A</v>
      </c>
      <c r="N240" t="str" cm="1">
        <f t="array" ref="N240">IFERROR(_xlfn.XLOOKUP(C240&amp;A240, RYOE!A:A&amp;RYOE!F:F, RYOE!E:E), "N/A")</f>
        <v>N/A</v>
      </c>
    </row>
    <row r="241" spans="1:14" ht="15" customHeight="1" x14ac:dyDescent="0.45">
      <c r="A241" s="8">
        <v>2024</v>
      </c>
      <c r="B241" s="6" t="s">
        <v>88</v>
      </c>
      <c r="C241" s="2" t="str">
        <f t="shared" si="6"/>
        <v>Emari Demercado</v>
      </c>
      <c r="D241" s="2" t="str">
        <f t="shared" si="7"/>
        <v>ARI</v>
      </c>
      <c r="E241" s="2">
        <v>24</v>
      </c>
      <c r="F241" s="2">
        <v>223</v>
      </c>
      <c r="G241" s="2">
        <v>9.3000000000000007</v>
      </c>
      <c r="H241" s="2">
        <v>1</v>
      </c>
      <c r="I241">
        <v>0</v>
      </c>
      <c r="J241">
        <v>13</v>
      </c>
      <c r="K241" cm="1">
        <f t="array" ref="K241">IFERROR(_xlfn.XLOOKUP(D241&amp;A241, RBWR!A:A&amp;RBWR!C:C, RBWR!B:B), "N/A")</f>
        <v>72</v>
      </c>
      <c r="L241" t="str" cm="1">
        <f t="array" ref="L241">IFERROR(_xlfn.XLOOKUP(C241&amp;A241, RYOE!A:A&amp;RYOE!F:F, RYOE!C:C), "N/A")</f>
        <v>N/A</v>
      </c>
      <c r="M241" t="str" cm="1">
        <f t="array" ref="M241">IFERROR(_xlfn.XLOOKUP(C241&amp;A241, RYOE!A:A&amp;RYOE!F:F, RYOE!D:D), "N/A")</f>
        <v>N/A</v>
      </c>
      <c r="N241" t="str" cm="1">
        <f t="array" ref="N241">IFERROR(_xlfn.XLOOKUP(C241&amp;A241, RYOE!A:A&amp;RYOE!F:F, RYOE!E:E), "N/A")</f>
        <v>N/A</v>
      </c>
    </row>
    <row r="242" spans="1:14" ht="15" customHeight="1" x14ac:dyDescent="0.45">
      <c r="A242" s="7">
        <v>2024</v>
      </c>
      <c r="B242" s="5" t="s">
        <v>205</v>
      </c>
      <c r="C242" s="1" t="str">
        <f t="shared" si="6"/>
        <v>Kyle Juszczyk</v>
      </c>
      <c r="D242" s="1" t="str">
        <f t="shared" si="7"/>
        <v>SF</v>
      </c>
      <c r="E242" s="1">
        <v>5</v>
      </c>
      <c r="F242" s="1">
        <v>26</v>
      </c>
      <c r="G242" s="1">
        <v>5.2</v>
      </c>
      <c r="H242" s="1">
        <v>1</v>
      </c>
      <c r="I242">
        <v>1</v>
      </c>
      <c r="J242">
        <v>17</v>
      </c>
      <c r="K242" cm="1">
        <f t="array" ref="K242">IFERROR(_xlfn.XLOOKUP(D242&amp;A242, RBWR!A:A&amp;RBWR!C:C, RBWR!B:B), "N/A")</f>
        <v>71</v>
      </c>
      <c r="L242" t="str" cm="1">
        <f t="array" ref="L242">IFERROR(_xlfn.XLOOKUP(C242&amp;A242, RYOE!A:A&amp;RYOE!F:F, RYOE!C:C), "N/A")</f>
        <v>N/A</v>
      </c>
      <c r="M242" t="str" cm="1">
        <f t="array" ref="M242">IFERROR(_xlfn.XLOOKUP(C242&amp;A242, RYOE!A:A&amp;RYOE!F:F, RYOE!D:D), "N/A")</f>
        <v>N/A</v>
      </c>
      <c r="N242" t="str" cm="1">
        <f t="array" ref="N242">IFERROR(_xlfn.XLOOKUP(C242&amp;A242, RYOE!A:A&amp;RYOE!F:F, RYOE!E:E), "N/A")</f>
        <v>N/A</v>
      </c>
    </row>
    <row r="243" spans="1:14" ht="15" customHeight="1" x14ac:dyDescent="0.45">
      <c r="A243" s="8">
        <v>2024</v>
      </c>
      <c r="B243" s="6" t="s">
        <v>227</v>
      </c>
      <c r="C243" s="2" t="str">
        <f t="shared" si="6"/>
        <v>Trey Sermon</v>
      </c>
      <c r="D243" s="2" t="str">
        <f t="shared" si="7"/>
        <v>IND</v>
      </c>
      <c r="E243" s="2">
        <v>56</v>
      </c>
      <c r="F243" s="2">
        <v>159</v>
      </c>
      <c r="G243" s="2">
        <v>2.8</v>
      </c>
      <c r="H243" s="2">
        <v>2</v>
      </c>
      <c r="I243">
        <v>0</v>
      </c>
      <c r="J243">
        <v>15</v>
      </c>
      <c r="K243" cm="1">
        <f t="array" ref="K243">IFERROR(_xlfn.XLOOKUP(D243&amp;A243, RBWR!A:A&amp;RBWR!C:C, RBWR!B:B), "N/A")</f>
        <v>74</v>
      </c>
      <c r="L243" t="str" cm="1">
        <f t="array" ref="L243">IFERROR(_xlfn.XLOOKUP(C243&amp;A243, RYOE!A:A&amp;RYOE!F:F, RYOE!C:C), "N/A")</f>
        <v>N/A</v>
      </c>
      <c r="M243" t="str" cm="1">
        <f t="array" ref="M243">IFERROR(_xlfn.XLOOKUP(C243&amp;A243, RYOE!A:A&amp;RYOE!F:F, RYOE!D:D), "N/A")</f>
        <v>N/A</v>
      </c>
      <c r="N243" t="str" cm="1">
        <f t="array" ref="N243">IFERROR(_xlfn.XLOOKUP(C243&amp;A243, RYOE!A:A&amp;RYOE!F:F, RYOE!E:E), "N/A")</f>
        <v>N/A</v>
      </c>
    </row>
    <row r="244" spans="1:14" ht="15" customHeight="1" x14ac:dyDescent="0.45">
      <c r="A244" s="7">
        <v>2024</v>
      </c>
      <c r="B244" s="5" t="s">
        <v>149</v>
      </c>
      <c r="C244" s="1" t="str">
        <f t="shared" si="6"/>
        <v>Dare Ogunbowale</v>
      </c>
      <c r="D244" s="1" t="str">
        <f t="shared" si="7"/>
        <v>HOU</v>
      </c>
      <c r="E244" s="1">
        <v>30</v>
      </c>
      <c r="F244" s="1">
        <v>112</v>
      </c>
      <c r="G244" s="1">
        <v>3.7</v>
      </c>
      <c r="H244" s="1">
        <v>0</v>
      </c>
      <c r="I244">
        <v>0</v>
      </c>
      <c r="J244">
        <v>17</v>
      </c>
      <c r="K244" cm="1">
        <f t="array" ref="K244">IFERROR(_xlfn.XLOOKUP(D244&amp;A244, RBWR!A:A&amp;RBWR!C:C, RBWR!B:B), "N/A")</f>
        <v>68</v>
      </c>
      <c r="L244" t="str" cm="1">
        <f t="array" ref="L244">IFERROR(_xlfn.XLOOKUP(C244&amp;A244, RYOE!A:A&amp;RYOE!F:F, RYOE!C:C), "N/A")</f>
        <v>N/A</v>
      </c>
      <c r="M244" t="str" cm="1">
        <f t="array" ref="M244">IFERROR(_xlfn.XLOOKUP(C244&amp;A244, RYOE!A:A&amp;RYOE!F:F, RYOE!D:D), "N/A")</f>
        <v>N/A</v>
      </c>
      <c r="N244" t="str" cm="1">
        <f t="array" ref="N244">IFERROR(_xlfn.XLOOKUP(C244&amp;A244, RYOE!A:A&amp;RYOE!F:F, RYOE!E:E), "N/A")</f>
        <v>N/A</v>
      </c>
    </row>
    <row r="245" spans="1:14" ht="15" customHeight="1" x14ac:dyDescent="0.45">
      <c r="A245" s="8">
        <v>2024</v>
      </c>
      <c r="B245" s="6" t="s">
        <v>95</v>
      </c>
      <c r="C245" s="2" t="str">
        <f t="shared" si="6"/>
        <v>Isaiah Davis</v>
      </c>
      <c r="D245" s="2" t="str">
        <f t="shared" si="7"/>
        <v>NYJ</v>
      </c>
      <c r="E245" s="2">
        <v>30</v>
      </c>
      <c r="F245" s="2">
        <v>174</v>
      </c>
      <c r="G245" s="2">
        <v>5.8</v>
      </c>
      <c r="H245" s="2">
        <v>1</v>
      </c>
      <c r="I245">
        <v>0</v>
      </c>
      <c r="J245">
        <v>14</v>
      </c>
      <c r="K245" cm="1">
        <f t="array" ref="K245">IFERROR(_xlfn.XLOOKUP(D245&amp;A245, RBWR!A:A&amp;RBWR!C:C, RBWR!B:B), "N/A")</f>
        <v>68</v>
      </c>
      <c r="L245" t="str" cm="1">
        <f t="array" ref="L245">IFERROR(_xlfn.XLOOKUP(C245&amp;A245, RYOE!A:A&amp;RYOE!F:F, RYOE!C:C), "N/A")</f>
        <v>N/A</v>
      </c>
      <c r="M245" t="str" cm="1">
        <f t="array" ref="M245">IFERROR(_xlfn.XLOOKUP(C245&amp;A245, RYOE!A:A&amp;RYOE!F:F, RYOE!D:D), "N/A")</f>
        <v>N/A</v>
      </c>
      <c r="N245" t="str" cm="1">
        <f t="array" ref="N245">IFERROR(_xlfn.XLOOKUP(C245&amp;A245, RYOE!A:A&amp;RYOE!F:F, RYOE!E:E), "N/A")</f>
        <v>N/A</v>
      </c>
    </row>
    <row r="246" spans="1:14" ht="15" customHeight="1" x14ac:dyDescent="0.45">
      <c r="A246" s="7">
        <v>2024</v>
      </c>
      <c r="B246" s="5" t="s">
        <v>151</v>
      </c>
      <c r="C246" s="1" t="str">
        <f t="shared" si="6"/>
        <v>Tyler Goodson</v>
      </c>
      <c r="D246" s="1" t="str">
        <f t="shared" si="7"/>
        <v>IND</v>
      </c>
      <c r="E246" s="1">
        <v>32</v>
      </c>
      <c r="F246" s="1">
        <v>153</v>
      </c>
      <c r="G246" s="1">
        <v>4.8</v>
      </c>
      <c r="H246" s="1">
        <v>1</v>
      </c>
      <c r="I246">
        <v>0</v>
      </c>
      <c r="J246">
        <v>16</v>
      </c>
      <c r="K246" cm="1">
        <f t="array" ref="K246">IFERROR(_xlfn.XLOOKUP(D246&amp;A246, RBWR!A:A&amp;RBWR!C:C, RBWR!B:B), "N/A")</f>
        <v>74</v>
      </c>
      <c r="L246" t="str" cm="1">
        <f t="array" ref="L246">IFERROR(_xlfn.XLOOKUP(C246&amp;A246, RYOE!A:A&amp;RYOE!F:F, RYOE!C:C), "N/A")</f>
        <v>N/A</v>
      </c>
      <c r="M246" t="str" cm="1">
        <f t="array" ref="M246">IFERROR(_xlfn.XLOOKUP(C246&amp;A246, RYOE!A:A&amp;RYOE!F:F, RYOE!D:D), "N/A")</f>
        <v>N/A</v>
      </c>
      <c r="N246" t="str" cm="1">
        <f t="array" ref="N246">IFERROR(_xlfn.XLOOKUP(C246&amp;A246, RYOE!A:A&amp;RYOE!F:F, RYOE!E:E), "N/A")</f>
        <v>N/A</v>
      </c>
    </row>
    <row r="247" spans="1:14" ht="15" customHeight="1" x14ac:dyDescent="0.45">
      <c r="A247" s="8">
        <v>2024</v>
      </c>
      <c r="B247" s="6" t="s">
        <v>40</v>
      </c>
      <c r="C247" s="2" t="str">
        <f t="shared" si="6"/>
        <v>Christian McCaffrey</v>
      </c>
      <c r="D247" s="2" t="str">
        <f t="shared" si="7"/>
        <v>SF</v>
      </c>
      <c r="E247" s="2">
        <v>50</v>
      </c>
      <c r="F247" s="2">
        <v>202</v>
      </c>
      <c r="G247" s="2">
        <v>4</v>
      </c>
      <c r="H247" s="2">
        <v>0</v>
      </c>
      <c r="I247">
        <v>1</v>
      </c>
      <c r="J247">
        <v>4</v>
      </c>
      <c r="K247" cm="1">
        <f t="array" ref="K247">IFERROR(_xlfn.XLOOKUP(D247&amp;A247, RBWR!A:A&amp;RBWR!C:C, RBWR!B:B), "N/A")</f>
        <v>71</v>
      </c>
      <c r="L247" t="str" cm="1">
        <f t="array" ref="L247">IFERROR(_xlfn.XLOOKUP(C247&amp;A247, RYOE!A:A&amp;RYOE!F:F, RYOE!C:C), "N/A")</f>
        <v>N/A</v>
      </c>
      <c r="M247" t="str" cm="1">
        <f t="array" ref="M247">IFERROR(_xlfn.XLOOKUP(C247&amp;A247, RYOE!A:A&amp;RYOE!F:F, RYOE!D:D), "N/A")</f>
        <v>N/A</v>
      </c>
      <c r="N247" t="str" cm="1">
        <f t="array" ref="N247">IFERROR(_xlfn.XLOOKUP(C247&amp;A247, RYOE!A:A&amp;RYOE!F:F, RYOE!E:E), "N/A")</f>
        <v>N/A</v>
      </c>
    </row>
    <row r="248" spans="1:14" ht="15" customHeight="1" x14ac:dyDescent="0.45">
      <c r="A248" s="7">
        <v>2024</v>
      </c>
      <c r="B248" s="5" t="s">
        <v>111</v>
      </c>
      <c r="C248" s="1" t="str">
        <f t="shared" si="6"/>
        <v>Chris Brooks</v>
      </c>
      <c r="D248" s="1" t="str">
        <f t="shared" si="7"/>
        <v>GB</v>
      </c>
      <c r="E248" s="1">
        <v>36</v>
      </c>
      <c r="F248" s="1">
        <v>183</v>
      </c>
      <c r="G248" s="1">
        <v>5.0999999999999996</v>
      </c>
      <c r="H248" s="1">
        <v>1</v>
      </c>
      <c r="I248">
        <v>0</v>
      </c>
      <c r="J248">
        <v>13</v>
      </c>
      <c r="K248" cm="1">
        <f t="array" ref="K248">IFERROR(_xlfn.XLOOKUP(D248&amp;A248, RBWR!A:A&amp;RBWR!C:C, RBWR!B:B), "N/A")</f>
        <v>71</v>
      </c>
      <c r="L248" t="str" cm="1">
        <f t="array" ref="L248">IFERROR(_xlfn.XLOOKUP(C248&amp;A248, RYOE!A:A&amp;RYOE!F:F, RYOE!C:C), "N/A")</f>
        <v>N/A</v>
      </c>
      <c r="M248" t="str" cm="1">
        <f t="array" ref="M248">IFERROR(_xlfn.XLOOKUP(C248&amp;A248, RYOE!A:A&amp;RYOE!F:F, RYOE!D:D), "N/A")</f>
        <v>N/A</v>
      </c>
      <c r="N248" t="str" cm="1">
        <f t="array" ref="N248">IFERROR(_xlfn.XLOOKUP(C248&amp;A248, RYOE!A:A&amp;RYOE!F:F, RYOE!E:E), "N/A")</f>
        <v>N/A</v>
      </c>
    </row>
    <row r="249" spans="1:14" ht="15" customHeight="1" x14ac:dyDescent="0.45">
      <c r="A249" s="8">
        <v>2024</v>
      </c>
      <c r="B249" s="6" t="s">
        <v>76</v>
      </c>
      <c r="C249" s="2" t="str">
        <f t="shared" si="6"/>
        <v>Chris Rodriguez Jr.</v>
      </c>
      <c r="D249" s="2" t="str">
        <f t="shared" si="7"/>
        <v>WAS</v>
      </c>
      <c r="E249" s="2">
        <v>35</v>
      </c>
      <c r="F249" s="2">
        <v>173</v>
      </c>
      <c r="G249" s="2">
        <v>4.9000000000000004</v>
      </c>
      <c r="H249" s="2">
        <v>2</v>
      </c>
      <c r="I249">
        <v>0</v>
      </c>
      <c r="J249">
        <v>8</v>
      </c>
      <c r="K249" cm="1">
        <f t="array" ref="K249">IFERROR(_xlfn.XLOOKUP(D249&amp;A249, RBWR!A:A&amp;RBWR!C:C, RBWR!B:B), "N/A")</f>
        <v>74</v>
      </c>
      <c r="L249" t="str" cm="1">
        <f t="array" ref="L249">IFERROR(_xlfn.XLOOKUP(C249&amp;A249, RYOE!A:A&amp;RYOE!F:F, RYOE!C:C), "N/A")</f>
        <v>N/A</v>
      </c>
      <c r="M249" t="str" cm="1">
        <f t="array" ref="M249">IFERROR(_xlfn.XLOOKUP(C249&amp;A249, RYOE!A:A&amp;RYOE!F:F, RYOE!D:D), "N/A")</f>
        <v>N/A</v>
      </c>
      <c r="N249" t="str" cm="1">
        <f t="array" ref="N249">IFERROR(_xlfn.XLOOKUP(C249&amp;A249, RYOE!A:A&amp;RYOE!F:F, RYOE!E:E), "N/A")</f>
        <v>N/A</v>
      </c>
    </row>
    <row r="250" spans="1:14" ht="15" customHeight="1" x14ac:dyDescent="0.45">
      <c r="A250" s="7">
        <v>2024</v>
      </c>
      <c r="B250" s="5" t="s">
        <v>137</v>
      </c>
      <c r="C250" s="1" t="str">
        <f t="shared" si="6"/>
        <v>Hassan Haskins</v>
      </c>
      <c r="D250" s="1" t="str">
        <f t="shared" si="7"/>
        <v>LAC</v>
      </c>
      <c r="E250" s="1">
        <v>34</v>
      </c>
      <c r="F250" s="1">
        <v>89</v>
      </c>
      <c r="G250" s="1">
        <v>2.6</v>
      </c>
      <c r="H250" s="1">
        <v>2</v>
      </c>
      <c r="I250">
        <v>1</v>
      </c>
      <c r="J250">
        <v>15</v>
      </c>
      <c r="K250" cm="1">
        <f t="array" ref="K250">IFERROR(_xlfn.XLOOKUP(D250&amp;A250, RBWR!A:A&amp;RBWR!C:C, RBWR!B:B), "N/A")</f>
        <v>72</v>
      </c>
      <c r="L250" t="str" cm="1">
        <f t="array" ref="L250">IFERROR(_xlfn.XLOOKUP(C250&amp;A250, RYOE!A:A&amp;RYOE!F:F, RYOE!C:C), "N/A")</f>
        <v>N/A</v>
      </c>
      <c r="M250" t="str" cm="1">
        <f t="array" ref="M250">IFERROR(_xlfn.XLOOKUP(C250&amp;A250, RYOE!A:A&amp;RYOE!F:F, RYOE!D:D), "N/A")</f>
        <v>N/A</v>
      </c>
      <c r="N250" t="str" cm="1">
        <f t="array" ref="N250">IFERROR(_xlfn.XLOOKUP(C250&amp;A250, RYOE!A:A&amp;RYOE!F:F, RYOE!E:E), "N/A")</f>
        <v>N/A</v>
      </c>
    </row>
    <row r="251" spans="1:14" ht="15" customHeight="1" x14ac:dyDescent="0.45">
      <c r="A251" s="8">
        <v>2024</v>
      </c>
      <c r="B251" s="6" t="s">
        <v>228</v>
      </c>
      <c r="C251" s="2" t="str">
        <f t="shared" si="6"/>
        <v>Jamaal Williams</v>
      </c>
      <c r="D251" s="2" t="str">
        <f t="shared" si="7"/>
        <v>NO</v>
      </c>
      <c r="E251" s="2">
        <v>48</v>
      </c>
      <c r="F251" s="2">
        <v>164</v>
      </c>
      <c r="G251" s="2">
        <v>3.4</v>
      </c>
      <c r="H251" s="2">
        <v>1</v>
      </c>
      <c r="I251">
        <v>0</v>
      </c>
      <c r="J251">
        <v>14</v>
      </c>
      <c r="K251" cm="1">
        <f t="array" ref="K251">IFERROR(_xlfn.XLOOKUP(D251&amp;A251, RBWR!A:A&amp;RBWR!C:C, RBWR!B:B), "N/A")</f>
        <v>71</v>
      </c>
      <c r="L251" t="str" cm="1">
        <f t="array" ref="L251">IFERROR(_xlfn.XLOOKUP(C251&amp;A251, RYOE!A:A&amp;RYOE!F:F, RYOE!C:C), "N/A")</f>
        <v>N/A</v>
      </c>
      <c r="M251" t="str" cm="1">
        <f t="array" ref="M251">IFERROR(_xlfn.XLOOKUP(C251&amp;A251, RYOE!A:A&amp;RYOE!F:F, RYOE!D:D), "N/A")</f>
        <v>N/A</v>
      </c>
      <c r="N251" t="str" cm="1">
        <f t="array" ref="N251">IFERROR(_xlfn.XLOOKUP(C251&amp;A251, RYOE!A:A&amp;RYOE!F:F, RYOE!E:E), "N/A")</f>
        <v>N/A</v>
      </c>
    </row>
    <row r="252" spans="1:14" ht="15" customHeight="1" x14ac:dyDescent="0.45">
      <c r="A252" s="7">
        <v>2024</v>
      </c>
      <c r="B252" s="5" t="s">
        <v>64</v>
      </c>
      <c r="C252" s="1" t="str">
        <f t="shared" si="6"/>
        <v>Kimani Vidal</v>
      </c>
      <c r="D252" s="1" t="str">
        <f t="shared" si="7"/>
        <v>LAC</v>
      </c>
      <c r="E252" s="1">
        <v>43</v>
      </c>
      <c r="F252" s="1">
        <v>155</v>
      </c>
      <c r="G252" s="1">
        <v>3.6</v>
      </c>
      <c r="H252" s="1">
        <v>0</v>
      </c>
      <c r="I252">
        <v>0</v>
      </c>
      <c r="J252">
        <v>10</v>
      </c>
      <c r="K252" cm="1">
        <f t="array" ref="K252">IFERROR(_xlfn.XLOOKUP(D252&amp;A252, RBWR!A:A&amp;RBWR!C:C, RBWR!B:B), "N/A")</f>
        <v>72</v>
      </c>
      <c r="L252" t="str" cm="1">
        <f t="array" ref="L252">IFERROR(_xlfn.XLOOKUP(C252&amp;A252, RYOE!A:A&amp;RYOE!F:F, RYOE!C:C), "N/A")</f>
        <v>N/A</v>
      </c>
      <c r="M252" t="str" cm="1">
        <f t="array" ref="M252">IFERROR(_xlfn.XLOOKUP(C252&amp;A252, RYOE!A:A&amp;RYOE!F:F, RYOE!D:D), "N/A")</f>
        <v>N/A</v>
      </c>
      <c r="N252" t="str" cm="1">
        <f t="array" ref="N252">IFERROR(_xlfn.XLOOKUP(C252&amp;A252, RYOE!A:A&amp;RYOE!F:F, RYOE!E:E), "N/A")</f>
        <v>N/A</v>
      </c>
    </row>
    <row r="253" spans="1:14" ht="15" customHeight="1" x14ac:dyDescent="0.45">
      <c r="A253" s="8">
        <v>2024</v>
      </c>
      <c r="B253" s="6" t="s">
        <v>229</v>
      </c>
      <c r="C253" s="2" t="str">
        <f t="shared" si="6"/>
        <v>Patrick Taylor Jr.</v>
      </c>
      <c r="D253" s="2" t="str">
        <f t="shared" si="7"/>
        <v>SF</v>
      </c>
      <c r="E253" s="2">
        <v>39</v>
      </c>
      <c r="F253" s="2">
        <v>183</v>
      </c>
      <c r="G253" s="2">
        <v>4.7</v>
      </c>
      <c r="H253" s="2">
        <v>1</v>
      </c>
      <c r="I253">
        <v>0</v>
      </c>
      <c r="J253">
        <v>9</v>
      </c>
      <c r="K253" cm="1">
        <f t="array" ref="K253">IFERROR(_xlfn.XLOOKUP(D253&amp;A253, RBWR!A:A&amp;RBWR!C:C, RBWR!B:B), "N/A")</f>
        <v>71</v>
      </c>
      <c r="L253" t="str" cm="1">
        <f t="array" ref="L253">IFERROR(_xlfn.XLOOKUP(C253&amp;A253, RYOE!A:A&amp;RYOE!F:F, RYOE!C:C), "N/A")</f>
        <v>N/A</v>
      </c>
      <c r="M253" t="str" cm="1">
        <f t="array" ref="M253">IFERROR(_xlfn.XLOOKUP(C253&amp;A253, RYOE!A:A&amp;RYOE!F:F, RYOE!D:D), "N/A")</f>
        <v>N/A</v>
      </c>
      <c r="N253" t="str" cm="1">
        <f t="array" ref="N253">IFERROR(_xlfn.XLOOKUP(C253&amp;A253, RYOE!A:A&amp;RYOE!F:F, RYOE!E:E), "N/A")</f>
        <v>N/A</v>
      </c>
    </row>
    <row r="254" spans="1:14" ht="15" customHeight="1" x14ac:dyDescent="0.45">
      <c r="A254" s="7">
        <v>2024</v>
      </c>
      <c r="B254" s="5" t="s">
        <v>230</v>
      </c>
      <c r="C254" s="1" t="str">
        <f t="shared" si="6"/>
        <v>D'Onta Foreman</v>
      </c>
      <c r="D254" s="1" t="str">
        <f t="shared" si="7"/>
        <v>CLE</v>
      </c>
      <c r="E254" s="1">
        <v>71</v>
      </c>
      <c r="F254" s="1">
        <v>232</v>
      </c>
      <c r="G254" s="1">
        <v>3.3</v>
      </c>
      <c r="H254" s="1">
        <v>0</v>
      </c>
      <c r="I254">
        <v>1</v>
      </c>
      <c r="J254">
        <v>10</v>
      </c>
      <c r="K254" cm="1">
        <f t="array" ref="K254">IFERROR(_xlfn.XLOOKUP(D254&amp;A254, RBWR!A:A&amp;RBWR!C:C, RBWR!B:B), "N/A")</f>
        <v>72</v>
      </c>
      <c r="L254" t="str" cm="1">
        <f t="array" ref="L254">IFERROR(_xlfn.XLOOKUP(C254&amp;A254, RYOE!A:A&amp;RYOE!F:F, RYOE!C:C), "N/A")</f>
        <v>N/A</v>
      </c>
      <c r="M254" t="str" cm="1">
        <f t="array" ref="M254">IFERROR(_xlfn.XLOOKUP(C254&amp;A254, RYOE!A:A&amp;RYOE!F:F, RYOE!D:D), "N/A")</f>
        <v>N/A</v>
      </c>
      <c r="N254" t="str" cm="1">
        <f t="array" ref="N254">IFERROR(_xlfn.XLOOKUP(C254&amp;A254, RYOE!A:A&amp;RYOE!F:F, RYOE!E:E), "N/A")</f>
        <v>N/A</v>
      </c>
    </row>
    <row r="255" spans="1:14" ht="15" customHeight="1" x14ac:dyDescent="0.45">
      <c r="A255" s="8">
        <v>2024</v>
      </c>
      <c r="B255" s="6" t="s">
        <v>59</v>
      </c>
      <c r="C255" s="2" t="str">
        <f t="shared" si="6"/>
        <v>Blake Corum</v>
      </c>
      <c r="D255" s="2" t="str">
        <f t="shared" si="7"/>
        <v>LAR</v>
      </c>
      <c r="E255" s="2">
        <v>58</v>
      </c>
      <c r="F255" s="2">
        <v>207</v>
      </c>
      <c r="G255" s="2">
        <v>3.6</v>
      </c>
      <c r="H255" s="2">
        <v>0</v>
      </c>
      <c r="I255">
        <v>0</v>
      </c>
      <c r="J255">
        <v>15</v>
      </c>
      <c r="K255" cm="1">
        <f t="array" ref="K255">IFERROR(_xlfn.XLOOKUP(D255&amp;A255, RBWR!A:A&amp;RBWR!C:C, RBWR!B:B), "N/A")</f>
        <v>72</v>
      </c>
      <c r="L255" t="str" cm="1">
        <f t="array" ref="L255">IFERROR(_xlfn.XLOOKUP(C255&amp;A255, RYOE!A:A&amp;RYOE!F:F, RYOE!C:C), "N/A")</f>
        <v>N/A</v>
      </c>
      <c r="M255" t="str" cm="1">
        <f t="array" ref="M255">IFERROR(_xlfn.XLOOKUP(C255&amp;A255, RYOE!A:A&amp;RYOE!F:F, RYOE!D:D), "N/A")</f>
        <v>N/A</v>
      </c>
      <c r="N255" t="str" cm="1">
        <f t="array" ref="N255">IFERROR(_xlfn.XLOOKUP(C255&amp;A255, RYOE!A:A&amp;RYOE!F:F, RYOE!E:E), "N/A")</f>
        <v>N/A</v>
      </c>
    </row>
    <row r="256" spans="1:14" ht="15" customHeight="1" x14ac:dyDescent="0.45">
      <c r="A256" s="7">
        <v>2024</v>
      </c>
      <c r="B256" s="5" t="s">
        <v>231</v>
      </c>
      <c r="C256" s="1" t="str">
        <f t="shared" si="6"/>
        <v>Cordarrelle Patterson</v>
      </c>
      <c r="D256" s="1" t="str">
        <f t="shared" si="7"/>
        <v>PIT</v>
      </c>
      <c r="E256" s="1">
        <v>32</v>
      </c>
      <c r="F256" s="1">
        <v>135</v>
      </c>
      <c r="G256" s="1">
        <v>4.2</v>
      </c>
      <c r="H256" s="1">
        <v>0</v>
      </c>
      <c r="I256">
        <v>1</v>
      </c>
      <c r="J256">
        <v>13</v>
      </c>
      <c r="K256" cm="1">
        <f t="array" ref="K256">IFERROR(_xlfn.XLOOKUP(D256&amp;A256, RBWR!A:A&amp;RBWR!C:C, RBWR!B:B), "N/A")</f>
        <v>71</v>
      </c>
      <c r="L256" t="str" cm="1">
        <f t="array" ref="L256">IFERROR(_xlfn.XLOOKUP(C256&amp;A256, RYOE!A:A&amp;RYOE!F:F, RYOE!C:C), "N/A")</f>
        <v>N/A</v>
      </c>
      <c r="M256" t="str" cm="1">
        <f t="array" ref="M256">IFERROR(_xlfn.XLOOKUP(C256&amp;A256, RYOE!A:A&amp;RYOE!F:F, RYOE!D:D), "N/A")</f>
        <v>N/A</v>
      </c>
      <c r="N256" t="str" cm="1">
        <f t="array" ref="N256">IFERROR(_xlfn.XLOOKUP(C256&amp;A256, RYOE!A:A&amp;RYOE!F:F, RYOE!E:E), "N/A")</f>
        <v>N/A</v>
      </c>
    </row>
    <row r="257" spans="1:14" ht="15" customHeight="1" x14ac:dyDescent="0.45">
      <c r="A257" s="8">
        <v>2024</v>
      </c>
      <c r="B257" s="6" t="s">
        <v>86</v>
      </c>
      <c r="C257" s="2" t="str">
        <f t="shared" si="6"/>
        <v>Michael Carter</v>
      </c>
      <c r="D257" s="2" t="str">
        <f t="shared" si="7"/>
        <v>ARI</v>
      </c>
      <c r="E257" s="2">
        <v>35</v>
      </c>
      <c r="F257" s="2">
        <v>131</v>
      </c>
      <c r="G257" s="2">
        <v>3.7</v>
      </c>
      <c r="H257" s="2">
        <v>1</v>
      </c>
      <c r="I257">
        <v>0</v>
      </c>
      <c r="J257">
        <v>4</v>
      </c>
      <c r="K257" cm="1">
        <f t="array" ref="K257">IFERROR(_xlfn.XLOOKUP(D257&amp;A257, RBWR!A:A&amp;RBWR!C:C, RBWR!B:B), "N/A")</f>
        <v>72</v>
      </c>
      <c r="L257" t="str" cm="1">
        <f t="array" ref="L257">IFERROR(_xlfn.XLOOKUP(C257&amp;A257, RYOE!A:A&amp;RYOE!F:F, RYOE!C:C), "N/A")</f>
        <v>N/A</v>
      </c>
      <c r="M257" t="str" cm="1">
        <f t="array" ref="M257">IFERROR(_xlfn.XLOOKUP(C257&amp;A257, RYOE!A:A&amp;RYOE!F:F, RYOE!D:D), "N/A")</f>
        <v>N/A</v>
      </c>
      <c r="N257" t="str" cm="1">
        <f t="array" ref="N257">IFERROR(_xlfn.XLOOKUP(C257&amp;A257, RYOE!A:A&amp;RYOE!F:F, RYOE!E:E), "N/A")</f>
        <v>N/A</v>
      </c>
    </row>
    <row r="258" spans="1:14" ht="15" customHeight="1" x14ac:dyDescent="0.45">
      <c r="A258" s="7">
        <v>2024</v>
      </c>
      <c r="B258" s="5" t="s">
        <v>101</v>
      </c>
      <c r="C258" s="1" t="str">
        <f t="shared" ref="C258:C321" si="8">TRIM(LEFT(B258, LEN(B258) - LEN(TRIM(RIGHT(SUBSTITUTE(TRIM(B258)," ",REPT(" ",100)),100)))))</f>
        <v>Kendre Miller</v>
      </c>
      <c r="D258" s="1" t="str">
        <f t="shared" ref="D258:D321" si="9">MID(B258, FIND("(", B258) + 1, FIND(")", B258) - FIND("(", B258) - 1)</f>
        <v>NO</v>
      </c>
      <c r="E258" s="1">
        <v>39</v>
      </c>
      <c r="F258" s="1">
        <v>148</v>
      </c>
      <c r="G258" s="1">
        <v>3.8</v>
      </c>
      <c r="H258" s="1">
        <v>1</v>
      </c>
      <c r="I258">
        <v>0</v>
      </c>
      <c r="J258">
        <v>7</v>
      </c>
      <c r="K258" cm="1">
        <f t="array" ref="K258">IFERROR(_xlfn.XLOOKUP(D258&amp;A258, RBWR!A:A&amp;RBWR!C:C, RBWR!B:B), "N/A")</f>
        <v>71</v>
      </c>
      <c r="L258" t="str" cm="1">
        <f t="array" ref="L258">IFERROR(_xlfn.XLOOKUP(C258&amp;A258, RYOE!A:A&amp;RYOE!F:F, RYOE!C:C), "N/A")</f>
        <v>N/A</v>
      </c>
      <c r="M258" t="str" cm="1">
        <f t="array" ref="M258">IFERROR(_xlfn.XLOOKUP(C258&amp;A258, RYOE!A:A&amp;RYOE!F:F, RYOE!D:D), "N/A")</f>
        <v>N/A</v>
      </c>
      <c r="N258" t="str" cm="1">
        <f t="array" ref="N258">IFERROR(_xlfn.XLOOKUP(C258&amp;A258, RYOE!A:A&amp;RYOE!F:F, RYOE!E:E), "N/A")</f>
        <v>N/A</v>
      </c>
    </row>
    <row r="259" spans="1:14" ht="15" customHeight="1" x14ac:dyDescent="0.45">
      <c r="A259" s="8">
        <v>2024</v>
      </c>
      <c r="B259" s="6" t="s">
        <v>232</v>
      </c>
      <c r="C259" s="2" t="str">
        <f t="shared" si="8"/>
        <v>D'Ernest Johnson</v>
      </c>
      <c r="D259" s="2" t="str">
        <f t="shared" si="9"/>
        <v>JAC</v>
      </c>
      <c r="E259" s="2">
        <v>32</v>
      </c>
      <c r="F259" s="2">
        <v>143</v>
      </c>
      <c r="G259" s="2">
        <v>4.5</v>
      </c>
      <c r="H259" s="2">
        <v>0</v>
      </c>
      <c r="I259">
        <v>0</v>
      </c>
      <c r="J259">
        <v>12</v>
      </c>
      <c r="K259" cm="1">
        <f t="array" ref="K259">IFERROR(_xlfn.XLOOKUP(D259&amp;A259, RBWR!A:A&amp;RBWR!C:C, RBWR!B:B), "N/A")</f>
        <v>70</v>
      </c>
      <c r="L259" t="str" cm="1">
        <f t="array" ref="L259">IFERROR(_xlfn.XLOOKUP(C259&amp;A259, RYOE!A:A&amp;RYOE!F:F, RYOE!C:C), "N/A")</f>
        <v>N/A</v>
      </c>
      <c r="M259" t="str" cm="1">
        <f t="array" ref="M259">IFERROR(_xlfn.XLOOKUP(C259&amp;A259, RYOE!A:A&amp;RYOE!F:F, RYOE!D:D), "N/A")</f>
        <v>N/A</v>
      </c>
      <c r="N259" t="str" cm="1">
        <f t="array" ref="N259">IFERROR(_xlfn.XLOOKUP(C259&amp;A259, RYOE!A:A&amp;RYOE!F:F, RYOE!E:E), "N/A")</f>
        <v>N/A</v>
      </c>
    </row>
    <row r="260" spans="1:14" ht="15" customHeight="1" x14ac:dyDescent="0.45">
      <c r="A260" s="7">
        <v>2024</v>
      </c>
      <c r="B260" s="5" t="s">
        <v>90</v>
      </c>
      <c r="C260" s="1" t="str">
        <f t="shared" si="8"/>
        <v>Jaylen Wright</v>
      </c>
      <c r="D260" s="1" t="str">
        <f t="shared" si="9"/>
        <v>MIA</v>
      </c>
      <c r="E260" s="1">
        <v>68</v>
      </c>
      <c r="F260" s="1">
        <v>249</v>
      </c>
      <c r="G260" s="1">
        <v>3.7</v>
      </c>
      <c r="H260" s="1">
        <v>0</v>
      </c>
      <c r="I260">
        <v>1</v>
      </c>
      <c r="J260">
        <v>15</v>
      </c>
      <c r="K260" cm="1">
        <f t="array" ref="K260">IFERROR(_xlfn.XLOOKUP(D260&amp;A260, RBWR!A:A&amp;RBWR!C:C, RBWR!B:B), "N/A")</f>
        <v>70</v>
      </c>
      <c r="L260" t="str" cm="1">
        <f t="array" ref="L260">IFERROR(_xlfn.XLOOKUP(C260&amp;A260, RYOE!A:A&amp;RYOE!F:F, RYOE!C:C), "N/A")</f>
        <v>N/A</v>
      </c>
      <c r="M260" t="str" cm="1">
        <f t="array" ref="M260">IFERROR(_xlfn.XLOOKUP(C260&amp;A260, RYOE!A:A&amp;RYOE!F:F, RYOE!D:D), "N/A")</f>
        <v>N/A</v>
      </c>
      <c r="N260" t="str" cm="1">
        <f t="array" ref="N260">IFERROR(_xlfn.XLOOKUP(C260&amp;A260, RYOE!A:A&amp;RYOE!F:F, RYOE!E:E), "N/A")</f>
        <v>N/A</v>
      </c>
    </row>
    <row r="261" spans="1:14" ht="15" customHeight="1" x14ac:dyDescent="0.45">
      <c r="A261" s="8">
        <v>2024</v>
      </c>
      <c r="B261" s="6" t="s">
        <v>147</v>
      </c>
      <c r="C261" s="2" t="str">
        <f t="shared" si="8"/>
        <v>Zamir White</v>
      </c>
      <c r="D261" s="2" t="str">
        <f t="shared" si="9"/>
        <v>LV</v>
      </c>
      <c r="E261" s="2">
        <v>65</v>
      </c>
      <c r="F261" s="2">
        <v>183</v>
      </c>
      <c r="G261" s="2">
        <v>2.8</v>
      </c>
      <c r="H261" s="2">
        <v>1</v>
      </c>
      <c r="I261">
        <v>2</v>
      </c>
      <c r="J261">
        <v>8</v>
      </c>
      <c r="K261" cm="1">
        <f t="array" ref="K261">IFERROR(_xlfn.XLOOKUP(D261&amp;A261, RBWR!A:A&amp;RBWR!C:C, RBWR!B:B), "N/A")</f>
        <v>71</v>
      </c>
      <c r="L261" t="str" cm="1">
        <f t="array" ref="L261">IFERROR(_xlfn.XLOOKUP(C261&amp;A261, RYOE!A:A&amp;RYOE!F:F, RYOE!C:C), "N/A")</f>
        <v>N/A</v>
      </c>
      <c r="M261" t="str" cm="1">
        <f t="array" ref="M261">IFERROR(_xlfn.XLOOKUP(C261&amp;A261, RYOE!A:A&amp;RYOE!F:F, RYOE!D:D), "N/A")</f>
        <v>N/A</v>
      </c>
      <c r="N261" t="str" cm="1">
        <f t="array" ref="N261">IFERROR(_xlfn.XLOOKUP(C261&amp;A261, RYOE!A:A&amp;RYOE!F:F, RYOE!E:E), "N/A")</f>
        <v>N/A</v>
      </c>
    </row>
    <row r="262" spans="1:14" ht="15" customHeight="1" x14ac:dyDescent="0.45">
      <c r="A262" s="7">
        <v>2024</v>
      </c>
      <c r="B262" s="5" t="s">
        <v>136</v>
      </c>
      <c r="C262" s="1" t="str">
        <f t="shared" si="8"/>
        <v>Ty Chandler</v>
      </c>
      <c r="D262" s="1" t="str">
        <f t="shared" si="9"/>
        <v>MIN</v>
      </c>
      <c r="E262" s="1">
        <v>56</v>
      </c>
      <c r="F262" s="1">
        <v>182</v>
      </c>
      <c r="G262" s="1">
        <v>3.3</v>
      </c>
      <c r="H262" s="1">
        <v>0</v>
      </c>
      <c r="I262">
        <v>0</v>
      </c>
      <c r="J262">
        <v>15</v>
      </c>
      <c r="K262" cm="1">
        <f t="array" ref="K262">IFERROR(_xlfn.XLOOKUP(D262&amp;A262, RBWR!A:A&amp;RBWR!C:C, RBWR!B:B), "N/A")</f>
        <v>72</v>
      </c>
      <c r="L262" t="str" cm="1">
        <f t="array" ref="L262">IFERROR(_xlfn.XLOOKUP(C262&amp;A262, RYOE!A:A&amp;RYOE!F:F, RYOE!C:C), "N/A")</f>
        <v>N/A</v>
      </c>
      <c r="M262" t="str" cm="1">
        <f t="array" ref="M262">IFERROR(_xlfn.XLOOKUP(C262&amp;A262, RYOE!A:A&amp;RYOE!F:F, RYOE!D:D), "N/A")</f>
        <v>N/A</v>
      </c>
      <c r="N262" t="str" cm="1">
        <f t="array" ref="N262">IFERROR(_xlfn.XLOOKUP(C262&amp;A262, RYOE!A:A&amp;RYOE!F:F, RYOE!E:E), "N/A")</f>
        <v>N/A</v>
      </c>
    </row>
    <row r="263" spans="1:14" ht="15" customHeight="1" x14ac:dyDescent="0.45">
      <c r="A263" s="8">
        <v>2024</v>
      </c>
      <c r="B263" s="6" t="s">
        <v>233</v>
      </c>
      <c r="C263" s="2" t="str">
        <f t="shared" si="8"/>
        <v>Khalil Herbert</v>
      </c>
      <c r="D263" s="2" t="str">
        <f t="shared" si="9"/>
        <v>CIN</v>
      </c>
      <c r="E263" s="2">
        <v>36</v>
      </c>
      <c r="F263" s="2">
        <v>130</v>
      </c>
      <c r="G263" s="2">
        <v>3.6</v>
      </c>
      <c r="H263" s="2">
        <v>1</v>
      </c>
      <c r="I263">
        <v>0</v>
      </c>
      <c r="J263">
        <v>12</v>
      </c>
      <c r="K263" cm="1">
        <f t="array" ref="K263">IFERROR(_xlfn.XLOOKUP(D263&amp;A263, RBWR!A:A&amp;RBWR!C:C, RBWR!B:B), "N/A")</f>
        <v>68</v>
      </c>
      <c r="L263" t="str" cm="1">
        <f t="array" ref="L263">IFERROR(_xlfn.XLOOKUP(C263&amp;A263, RYOE!A:A&amp;RYOE!F:F, RYOE!C:C), "N/A")</f>
        <v>N/A</v>
      </c>
      <c r="M263" t="str" cm="1">
        <f t="array" ref="M263">IFERROR(_xlfn.XLOOKUP(C263&amp;A263, RYOE!A:A&amp;RYOE!F:F, RYOE!D:D), "N/A")</f>
        <v>N/A</v>
      </c>
      <c r="N263" t="str" cm="1">
        <f t="array" ref="N263">IFERROR(_xlfn.XLOOKUP(C263&amp;A263, RYOE!A:A&amp;RYOE!F:F, RYOE!E:E), "N/A")</f>
        <v>N/A</v>
      </c>
    </row>
    <row r="264" spans="1:14" ht="15" customHeight="1" x14ac:dyDescent="0.45">
      <c r="A264" s="7">
        <v>2024</v>
      </c>
      <c r="B264" s="5" t="s">
        <v>234</v>
      </c>
      <c r="C264" s="1" t="str">
        <f t="shared" si="8"/>
        <v>Sincere McCormick</v>
      </c>
      <c r="D264" s="1" t="str">
        <f t="shared" si="9"/>
        <v>LV</v>
      </c>
      <c r="E264" s="1">
        <v>39</v>
      </c>
      <c r="F264" s="1">
        <v>183</v>
      </c>
      <c r="G264" s="1">
        <v>4.7</v>
      </c>
      <c r="H264" s="1">
        <v>0</v>
      </c>
      <c r="I264">
        <v>0</v>
      </c>
      <c r="J264">
        <v>4</v>
      </c>
      <c r="K264" cm="1">
        <f t="array" ref="K264">IFERROR(_xlfn.XLOOKUP(D264&amp;A264, RBWR!A:A&amp;RBWR!C:C, RBWR!B:B), "N/A")</f>
        <v>71</v>
      </c>
      <c r="L264" t="str" cm="1">
        <f t="array" ref="L264">IFERROR(_xlfn.XLOOKUP(C264&amp;A264, RYOE!A:A&amp;RYOE!F:F, RYOE!C:C), "N/A")</f>
        <v>N/A</v>
      </c>
      <c r="M264" t="str" cm="1">
        <f t="array" ref="M264">IFERROR(_xlfn.XLOOKUP(C264&amp;A264, RYOE!A:A&amp;RYOE!F:F, RYOE!D:D), "N/A")</f>
        <v>N/A</v>
      </c>
      <c r="N264" t="str" cm="1">
        <f t="array" ref="N264">IFERROR(_xlfn.XLOOKUP(C264&amp;A264, RYOE!A:A&amp;RYOE!F:F, RYOE!E:E), "N/A")</f>
        <v>N/A</v>
      </c>
    </row>
    <row r="265" spans="1:14" ht="15" customHeight="1" x14ac:dyDescent="0.45">
      <c r="A265" s="8">
        <v>2024</v>
      </c>
      <c r="B265" s="6" t="s">
        <v>235</v>
      </c>
      <c r="C265" s="2" t="str">
        <f t="shared" si="8"/>
        <v>Pierre Strong Jr.</v>
      </c>
      <c r="D265" s="2" t="str">
        <f t="shared" si="9"/>
        <v>CLE</v>
      </c>
      <c r="E265" s="2">
        <v>26</v>
      </c>
      <c r="F265" s="2">
        <v>108</v>
      </c>
      <c r="G265" s="2">
        <v>4.2</v>
      </c>
      <c r="H265" s="2">
        <v>0</v>
      </c>
      <c r="I265">
        <v>0</v>
      </c>
      <c r="J265">
        <v>13</v>
      </c>
      <c r="K265" cm="1">
        <f t="array" ref="K265">IFERROR(_xlfn.XLOOKUP(D265&amp;A265, RBWR!A:A&amp;RBWR!C:C, RBWR!B:B), "N/A")</f>
        <v>72</v>
      </c>
      <c r="L265" t="str" cm="1">
        <f t="array" ref="L265">IFERROR(_xlfn.XLOOKUP(C265&amp;A265, RYOE!A:A&amp;RYOE!F:F, RYOE!C:C), "N/A")</f>
        <v>N/A</v>
      </c>
      <c r="M265" t="str" cm="1">
        <f t="array" ref="M265">IFERROR(_xlfn.XLOOKUP(C265&amp;A265, RYOE!A:A&amp;RYOE!F:F, RYOE!D:D), "N/A")</f>
        <v>N/A</v>
      </c>
      <c r="N265" t="str" cm="1">
        <f t="array" ref="N265">IFERROR(_xlfn.XLOOKUP(C265&amp;A265, RYOE!A:A&amp;RYOE!F:F, RYOE!E:E), "N/A")</f>
        <v>N/A</v>
      </c>
    </row>
    <row r="266" spans="1:14" ht="15" customHeight="1" x14ac:dyDescent="0.45">
      <c r="A266" s="7">
        <v>2024</v>
      </c>
      <c r="B266" s="5" t="s">
        <v>236</v>
      </c>
      <c r="C266" s="1" t="str">
        <f t="shared" si="8"/>
        <v>Kenny McIntosh</v>
      </c>
      <c r="D266" s="1" t="str">
        <f t="shared" si="9"/>
        <v>SEA</v>
      </c>
      <c r="E266" s="1">
        <v>31</v>
      </c>
      <c r="F266" s="1">
        <v>172</v>
      </c>
      <c r="G266" s="1">
        <v>5.5</v>
      </c>
      <c r="H266" s="1">
        <v>0</v>
      </c>
      <c r="I266">
        <v>0</v>
      </c>
      <c r="J266">
        <v>12</v>
      </c>
      <c r="K266" cm="1">
        <f t="array" ref="K266">IFERROR(_xlfn.XLOOKUP(D266&amp;A266, RBWR!A:A&amp;RBWR!C:C, RBWR!B:B), "N/A")</f>
        <v>69</v>
      </c>
      <c r="L266" t="str" cm="1">
        <f t="array" ref="L266">IFERROR(_xlfn.XLOOKUP(C266&amp;A266, RYOE!A:A&amp;RYOE!F:F, RYOE!C:C), "N/A")</f>
        <v>N/A</v>
      </c>
      <c r="M266" t="str" cm="1">
        <f t="array" ref="M266">IFERROR(_xlfn.XLOOKUP(C266&amp;A266, RYOE!A:A&amp;RYOE!F:F, RYOE!D:D), "N/A")</f>
        <v>N/A</v>
      </c>
      <c r="N266" t="str" cm="1">
        <f t="array" ref="N266">IFERROR(_xlfn.XLOOKUP(C266&amp;A266, RYOE!A:A&amp;RYOE!F:F, RYOE!E:E), "N/A")</f>
        <v>N/A</v>
      </c>
    </row>
    <row r="267" spans="1:14" ht="15" customHeight="1" x14ac:dyDescent="0.45">
      <c r="A267" s="8">
        <v>2024</v>
      </c>
      <c r="B267" s="6" t="s">
        <v>182</v>
      </c>
      <c r="C267" s="2" t="str">
        <f t="shared" si="8"/>
        <v>Michael Burton</v>
      </c>
      <c r="D267" s="2" t="str">
        <f t="shared" si="9"/>
        <v>DEN</v>
      </c>
      <c r="E267" s="2">
        <v>7</v>
      </c>
      <c r="F267" s="2">
        <v>8</v>
      </c>
      <c r="G267" s="2">
        <v>1.1000000000000001</v>
      </c>
      <c r="H267" s="2">
        <v>1</v>
      </c>
      <c r="I267">
        <v>0</v>
      </c>
      <c r="J267">
        <v>17</v>
      </c>
      <c r="K267" cm="1">
        <f t="array" ref="K267">IFERROR(_xlfn.XLOOKUP(D267&amp;A267, RBWR!A:A&amp;RBWR!C:C, RBWR!B:B), "N/A")</f>
        <v>75</v>
      </c>
      <c r="L267" t="str" cm="1">
        <f t="array" ref="L267">IFERROR(_xlfn.XLOOKUP(C267&amp;A267, RYOE!A:A&amp;RYOE!F:F, RYOE!C:C), "N/A")</f>
        <v>N/A</v>
      </c>
      <c r="M267" t="str" cm="1">
        <f t="array" ref="M267">IFERROR(_xlfn.XLOOKUP(C267&amp;A267, RYOE!A:A&amp;RYOE!F:F, RYOE!D:D), "N/A")</f>
        <v>N/A</v>
      </c>
      <c r="N267" t="str" cm="1">
        <f t="array" ref="N267">IFERROR(_xlfn.XLOOKUP(C267&amp;A267, RYOE!A:A&amp;RYOE!F:F, RYOE!E:E), "N/A")</f>
        <v>N/A</v>
      </c>
    </row>
    <row r="268" spans="1:14" ht="15" customHeight="1" x14ac:dyDescent="0.45">
      <c r="A268" s="7">
        <v>2024</v>
      </c>
      <c r="B268" s="5" t="s">
        <v>237</v>
      </c>
      <c r="C268" s="1" t="str">
        <f t="shared" si="8"/>
        <v>JaMycal Hasty</v>
      </c>
      <c r="D268" s="1" t="str">
        <f t="shared" si="9"/>
        <v>NE</v>
      </c>
      <c r="E268" s="1">
        <v>20</v>
      </c>
      <c r="F268" s="1">
        <v>69</v>
      </c>
      <c r="G268" s="1">
        <v>3.5</v>
      </c>
      <c r="H268" s="1">
        <v>0</v>
      </c>
      <c r="I268">
        <v>0</v>
      </c>
      <c r="J268">
        <v>12</v>
      </c>
      <c r="K268" cm="1">
        <f t="array" ref="K268">IFERROR(_xlfn.XLOOKUP(D268&amp;A268, RBWR!A:A&amp;RBWR!C:C, RBWR!B:B), "N/A")</f>
        <v>67</v>
      </c>
      <c r="L268" t="str" cm="1">
        <f t="array" ref="L268">IFERROR(_xlfn.XLOOKUP(C268&amp;A268, RYOE!A:A&amp;RYOE!F:F, RYOE!C:C), "N/A")</f>
        <v>N/A</v>
      </c>
      <c r="M268" t="str" cm="1">
        <f t="array" ref="M268">IFERROR(_xlfn.XLOOKUP(C268&amp;A268, RYOE!A:A&amp;RYOE!F:F, RYOE!D:D), "N/A")</f>
        <v>N/A</v>
      </c>
      <c r="N268" t="str" cm="1">
        <f t="array" ref="N268">IFERROR(_xlfn.XLOOKUP(C268&amp;A268, RYOE!A:A&amp;RYOE!F:F, RYOE!E:E), "N/A")</f>
        <v>N/A</v>
      </c>
    </row>
    <row r="269" spans="1:14" ht="15" customHeight="1" x14ac:dyDescent="0.45">
      <c r="A269" s="8">
        <v>2024</v>
      </c>
      <c r="B269" s="6" t="s">
        <v>238</v>
      </c>
      <c r="C269" s="2" t="str">
        <f t="shared" si="8"/>
        <v>DeeJay Dallas</v>
      </c>
      <c r="D269" s="2" t="str">
        <f t="shared" si="9"/>
        <v>ARI</v>
      </c>
      <c r="E269" s="2">
        <v>9</v>
      </c>
      <c r="F269" s="2">
        <v>49</v>
      </c>
      <c r="G269" s="2">
        <v>5.4</v>
      </c>
      <c r="H269" s="2">
        <v>0</v>
      </c>
      <c r="I269">
        <v>0</v>
      </c>
      <c r="J269">
        <v>16</v>
      </c>
      <c r="K269" cm="1">
        <f t="array" ref="K269">IFERROR(_xlfn.XLOOKUP(D269&amp;A269, RBWR!A:A&amp;RBWR!C:C, RBWR!B:B), "N/A")</f>
        <v>72</v>
      </c>
      <c r="L269" t="str" cm="1">
        <f t="array" ref="L269">IFERROR(_xlfn.XLOOKUP(C269&amp;A269, RYOE!A:A&amp;RYOE!F:F, RYOE!C:C), "N/A")</f>
        <v>N/A</v>
      </c>
      <c r="M269" t="str" cm="1">
        <f t="array" ref="M269">IFERROR(_xlfn.XLOOKUP(C269&amp;A269, RYOE!A:A&amp;RYOE!F:F, RYOE!D:D), "N/A")</f>
        <v>N/A</v>
      </c>
      <c r="N269" t="str" cm="1">
        <f t="array" ref="N269">IFERROR(_xlfn.XLOOKUP(C269&amp;A269, RYOE!A:A&amp;RYOE!F:F, RYOE!E:E), "N/A")</f>
        <v>N/A</v>
      </c>
    </row>
    <row r="270" spans="1:14" ht="15" customHeight="1" x14ac:dyDescent="0.45">
      <c r="A270" s="7">
        <v>2024</v>
      </c>
      <c r="B270" s="5" t="s">
        <v>172</v>
      </c>
      <c r="C270" s="1" t="str">
        <f t="shared" si="8"/>
        <v>Craig Reynolds</v>
      </c>
      <c r="D270" s="1" t="str">
        <f t="shared" si="9"/>
        <v>DET</v>
      </c>
      <c r="E270" s="1">
        <v>31</v>
      </c>
      <c r="F270" s="1">
        <v>139</v>
      </c>
      <c r="G270" s="1">
        <v>4.5</v>
      </c>
      <c r="H270" s="1">
        <v>0</v>
      </c>
      <c r="I270">
        <v>0</v>
      </c>
      <c r="J270">
        <v>14</v>
      </c>
      <c r="K270" cm="1">
        <f t="array" ref="K270">IFERROR(_xlfn.XLOOKUP(D270&amp;A270, RBWR!A:A&amp;RBWR!C:C, RBWR!B:B), "N/A")</f>
        <v>72</v>
      </c>
      <c r="L270" t="str" cm="1">
        <f t="array" ref="L270">IFERROR(_xlfn.XLOOKUP(C270&amp;A270, RYOE!A:A&amp;RYOE!F:F, RYOE!C:C), "N/A")</f>
        <v>N/A</v>
      </c>
      <c r="M270" t="str" cm="1">
        <f t="array" ref="M270">IFERROR(_xlfn.XLOOKUP(C270&amp;A270, RYOE!A:A&amp;RYOE!F:F, RYOE!D:D), "N/A")</f>
        <v>N/A</v>
      </c>
      <c r="N270" t="str" cm="1">
        <f t="array" ref="N270">IFERROR(_xlfn.XLOOKUP(C270&amp;A270, RYOE!A:A&amp;RYOE!F:F, RYOE!E:E), "N/A")</f>
        <v>N/A</v>
      </c>
    </row>
    <row r="271" spans="1:14" ht="15" customHeight="1" x14ac:dyDescent="0.45">
      <c r="A271" s="8">
        <v>2024</v>
      </c>
      <c r="B271" s="6" t="s">
        <v>239</v>
      </c>
      <c r="C271" s="2" t="str">
        <f t="shared" si="8"/>
        <v>Carson Steele</v>
      </c>
      <c r="D271" s="2" t="str">
        <f t="shared" si="9"/>
        <v>KC</v>
      </c>
      <c r="E271" s="2">
        <v>56</v>
      </c>
      <c r="F271" s="2">
        <v>183</v>
      </c>
      <c r="G271" s="2">
        <v>3.3</v>
      </c>
      <c r="H271" s="2">
        <v>0</v>
      </c>
      <c r="I271">
        <v>2</v>
      </c>
      <c r="J271">
        <v>16</v>
      </c>
      <c r="K271" cm="1">
        <f t="array" ref="K271">IFERROR(_xlfn.XLOOKUP(D271&amp;A271, RBWR!A:A&amp;RBWR!C:C, RBWR!B:B), "N/A")</f>
        <v>73</v>
      </c>
      <c r="L271" t="str" cm="1">
        <f t="array" ref="L271">IFERROR(_xlfn.XLOOKUP(C271&amp;A271, RYOE!A:A&amp;RYOE!F:F, RYOE!C:C), "N/A")</f>
        <v>N/A</v>
      </c>
      <c r="M271" t="str" cm="1">
        <f t="array" ref="M271">IFERROR(_xlfn.XLOOKUP(C271&amp;A271, RYOE!A:A&amp;RYOE!F:F, RYOE!D:D), "N/A")</f>
        <v>N/A</v>
      </c>
      <c r="N271" t="str" cm="1">
        <f t="array" ref="N271">IFERROR(_xlfn.XLOOKUP(C271&amp;A271, RYOE!A:A&amp;RYOE!F:F, RYOE!E:E), "N/A")</f>
        <v>N/A</v>
      </c>
    </row>
    <row r="272" spans="1:14" ht="15" customHeight="1" x14ac:dyDescent="0.45">
      <c r="A272" s="7">
        <v>2024</v>
      </c>
      <c r="B272" s="5" t="s">
        <v>163</v>
      </c>
      <c r="C272" s="1" t="str">
        <f t="shared" si="8"/>
        <v>Alec Ingold</v>
      </c>
      <c r="D272" s="1" t="str">
        <f t="shared" si="9"/>
        <v>MIA</v>
      </c>
      <c r="E272" s="1">
        <v>10</v>
      </c>
      <c r="F272" s="1">
        <v>17</v>
      </c>
      <c r="G272" s="1">
        <v>1.7</v>
      </c>
      <c r="H272" s="1">
        <v>1</v>
      </c>
      <c r="I272">
        <v>1</v>
      </c>
      <c r="J272">
        <v>15</v>
      </c>
      <c r="K272" cm="1">
        <f t="array" ref="K272">IFERROR(_xlfn.XLOOKUP(D272&amp;A272, RBWR!A:A&amp;RBWR!C:C, RBWR!B:B), "N/A")</f>
        <v>70</v>
      </c>
      <c r="L272" t="str" cm="1">
        <f t="array" ref="L272">IFERROR(_xlfn.XLOOKUP(C272&amp;A272, RYOE!A:A&amp;RYOE!F:F, RYOE!C:C), "N/A")</f>
        <v>N/A</v>
      </c>
      <c r="M272" t="str" cm="1">
        <f t="array" ref="M272">IFERROR(_xlfn.XLOOKUP(C272&amp;A272, RYOE!A:A&amp;RYOE!F:F, RYOE!D:D), "N/A")</f>
        <v>N/A</v>
      </c>
      <c r="N272" t="str" cm="1">
        <f t="array" ref="N272">IFERROR(_xlfn.XLOOKUP(C272&amp;A272, RYOE!A:A&amp;RYOE!F:F, RYOE!E:E), "N/A")</f>
        <v>N/A</v>
      </c>
    </row>
    <row r="273" spans="1:14" ht="15" customHeight="1" x14ac:dyDescent="0.45">
      <c r="A273" s="8">
        <v>2024</v>
      </c>
      <c r="B273" s="6" t="s">
        <v>125</v>
      </c>
      <c r="C273" s="2" t="str">
        <f t="shared" si="8"/>
        <v>Hunter Luepke</v>
      </c>
      <c r="D273" s="2" t="str">
        <f t="shared" si="9"/>
        <v>DAL</v>
      </c>
      <c r="E273" s="2">
        <v>12</v>
      </c>
      <c r="F273" s="2">
        <v>38</v>
      </c>
      <c r="G273" s="2">
        <v>3.2</v>
      </c>
      <c r="H273" s="2">
        <v>0</v>
      </c>
      <c r="I273">
        <v>0</v>
      </c>
      <c r="J273">
        <v>16</v>
      </c>
      <c r="K273" cm="1">
        <f t="array" ref="K273">IFERROR(_xlfn.XLOOKUP(D273&amp;A273, RBWR!A:A&amp;RBWR!C:C, RBWR!B:B), "N/A")</f>
        <v>73</v>
      </c>
      <c r="L273" t="str" cm="1">
        <f t="array" ref="L273">IFERROR(_xlfn.XLOOKUP(C273&amp;A273, RYOE!A:A&amp;RYOE!F:F, RYOE!C:C), "N/A")</f>
        <v>N/A</v>
      </c>
      <c r="M273" t="str" cm="1">
        <f t="array" ref="M273">IFERROR(_xlfn.XLOOKUP(C273&amp;A273, RYOE!A:A&amp;RYOE!F:F, RYOE!D:D), "N/A")</f>
        <v>N/A</v>
      </c>
      <c r="N273" t="str" cm="1">
        <f t="array" ref="N273">IFERROR(_xlfn.XLOOKUP(C273&amp;A273, RYOE!A:A&amp;RYOE!F:F, RYOE!E:E), "N/A")</f>
        <v>N/A</v>
      </c>
    </row>
    <row r="274" spans="1:14" ht="15" customHeight="1" x14ac:dyDescent="0.45">
      <c r="A274" s="7">
        <v>2024</v>
      </c>
      <c r="B274" s="5" t="s">
        <v>173</v>
      </c>
      <c r="C274" s="1" t="str">
        <f t="shared" si="8"/>
        <v>Patrick Ricard</v>
      </c>
      <c r="D274" s="1" t="str">
        <f t="shared" si="9"/>
        <v>BAL</v>
      </c>
      <c r="E274" s="1">
        <v>0</v>
      </c>
      <c r="F274" s="1">
        <v>0</v>
      </c>
      <c r="G274" s="1">
        <v>0</v>
      </c>
      <c r="H274" s="1">
        <v>0</v>
      </c>
      <c r="I274">
        <v>0</v>
      </c>
      <c r="J274">
        <v>17</v>
      </c>
      <c r="K274" cm="1">
        <f t="array" ref="K274">IFERROR(_xlfn.XLOOKUP(D274&amp;A274, RBWR!A:A&amp;RBWR!C:C, RBWR!B:B), "N/A")</f>
        <v>74</v>
      </c>
      <c r="L274" t="str" cm="1">
        <f t="array" ref="L274">IFERROR(_xlfn.XLOOKUP(C274&amp;A274, RYOE!A:A&amp;RYOE!F:F, RYOE!C:C), "N/A")</f>
        <v>N/A</v>
      </c>
      <c r="M274" t="str" cm="1">
        <f t="array" ref="M274">IFERROR(_xlfn.XLOOKUP(C274&amp;A274, RYOE!A:A&amp;RYOE!F:F, RYOE!D:D), "N/A")</f>
        <v>N/A</v>
      </c>
      <c r="N274" t="str" cm="1">
        <f t="array" ref="N274">IFERROR(_xlfn.XLOOKUP(C274&amp;A274, RYOE!A:A&amp;RYOE!F:F, RYOE!E:E), "N/A")</f>
        <v>N/A</v>
      </c>
    </row>
    <row r="275" spans="1:14" ht="15" customHeight="1" x14ac:dyDescent="0.45">
      <c r="A275" s="8">
        <v>2024</v>
      </c>
      <c r="B275" s="6" t="s">
        <v>240</v>
      </c>
      <c r="C275" s="2" t="str">
        <f t="shared" si="8"/>
        <v>Jordan Mims</v>
      </c>
      <c r="D275" s="2" t="str">
        <f t="shared" si="9"/>
        <v>NO</v>
      </c>
      <c r="E275" s="2">
        <v>20</v>
      </c>
      <c r="F275" s="2">
        <v>70</v>
      </c>
      <c r="G275" s="2">
        <v>3.5</v>
      </c>
      <c r="H275" s="2">
        <v>0</v>
      </c>
      <c r="I275">
        <v>0</v>
      </c>
      <c r="J275">
        <v>8</v>
      </c>
      <c r="K275" cm="1">
        <f t="array" ref="K275">IFERROR(_xlfn.XLOOKUP(D275&amp;A275, RBWR!A:A&amp;RBWR!C:C, RBWR!B:B), "N/A")</f>
        <v>71</v>
      </c>
      <c r="L275" t="str" cm="1">
        <f t="array" ref="L275">IFERROR(_xlfn.XLOOKUP(C275&amp;A275, RYOE!A:A&amp;RYOE!F:F, RYOE!C:C), "N/A")</f>
        <v>N/A</v>
      </c>
      <c r="M275" t="str" cm="1">
        <f t="array" ref="M275">IFERROR(_xlfn.XLOOKUP(C275&amp;A275, RYOE!A:A&amp;RYOE!F:F, RYOE!D:D), "N/A")</f>
        <v>N/A</v>
      </c>
      <c r="N275" t="str" cm="1">
        <f t="array" ref="N275">IFERROR(_xlfn.XLOOKUP(C275&amp;A275, RYOE!A:A&amp;RYOE!F:F, RYOE!E:E), "N/A")</f>
        <v>N/A</v>
      </c>
    </row>
    <row r="276" spans="1:14" ht="15" customHeight="1" x14ac:dyDescent="0.45">
      <c r="A276" s="7">
        <v>2024</v>
      </c>
      <c r="B276" s="5" t="s">
        <v>138</v>
      </c>
      <c r="C276" s="1" t="str">
        <f t="shared" si="8"/>
        <v>Ronnie Rivers</v>
      </c>
      <c r="D276" s="1" t="str">
        <f t="shared" si="9"/>
        <v>LAR</v>
      </c>
      <c r="E276" s="1">
        <v>22</v>
      </c>
      <c r="F276" s="1">
        <v>99</v>
      </c>
      <c r="G276" s="1">
        <v>4.5</v>
      </c>
      <c r="H276" s="1">
        <v>0</v>
      </c>
      <c r="I276">
        <v>0</v>
      </c>
      <c r="J276">
        <v>7</v>
      </c>
      <c r="K276" cm="1">
        <f t="array" ref="K276">IFERROR(_xlfn.XLOOKUP(D276&amp;A276, RBWR!A:A&amp;RBWR!C:C, RBWR!B:B), "N/A")</f>
        <v>72</v>
      </c>
      <c r="L276" t="str" cm="1">
        <f t="array" ref="L276">IFERROR(_xlfn.XLOOKUP(C276&amp;A276, RYOE!A:A&amp;RYOE!F:F, RYOE!C:C), "N/A")</f>
        <v>N/A</v>
      </c>
      <c r="M276" t="str" cm="1">
        <f t="array" ref="M276">IFERROR(_xlfn.XLOOKUP(C276&amp;A276, RYOE!A:A&amp;RYOE!F:F, RYOE!D:D), "N/A")</f>
        <v>N/A</v>
      </c>
      <c r="N276" t="str" cm="1">
        <f t="array" ref="N276">IFERROR(_xlfn.XLOOKUP(C276&amp;A276, RYOE!A:A&amp;RYOE!F:F, RYOE!E:E), "N/A")</f>
        <v>N/A</v>
      </c>
    </row>
    <row r="277" spans="1:14" ht="15" customHeight="1" x14ac:dyDescent="0.45">
      <c r="A277" s="8">
        <v>2024</v>
      </c>
      <c r="B277" s="6" t="s">
        <v>133</v>
      </c>
      <c r="C277" s="2" t="str">
        <f t="shared" si="8"/>
        <v>Will Shipley</v>
      </c>
      <c r="D277" s="2" t="str">
        <f t="shared" si="9"/>
        <v>PHI</v>
      </c>
      <c r="E277" s="2">
        <v>30</v>
      </c>
      <c r="F277" s="2">
        <v>82</v>
      </c>
      <c r="G277" s="2">
        <v>2.7</v>
      </c>
      <c r="H277" s="2">
        <v>0</v>
      </c>
      <c r="I277">
        <v>0</v>
      </c>
      <c r="J277">
        <v>13</v>
      </c>
      <c r="K277" cm="1">
        <f t="array" ref="K277">IFERROR(_xlfn.XLOOKUP(D277&amp;A277, RBWR!A:A&amp;RBWR!C:C, RBWR!B:B), "N/A")</f>
        <v>72</v>
      </c>
      <c r="L277" t="str" cm="1">
        <f t="array" ref="L277">IFERROR(_xlfn.XLOOKUP(C277&amp;A277, RYOE!A:A&amp;RYOE!F:F, RYOE!C:C), "N/A")</f>
        <v>N/A</v>
      </c>
      <c r="M277" t="str" cm="1">
        <f t="array" ref="M277">IFERROR(_xlfn.XLOOKUP(C277&amp;A277, RYOE!A:A&amp;RYOE!F:F, RYOE!D:D), "N/A")</f>
        <v>N/A</v>
      </c>
      <c r="N277" t="str" cm="1">
        <f t="array" ref="N277">IFERROR(_xlfn.XLOOKUP(C277&amp;A277, RYOE!A:A&amp;RYOE!F:F, RYOE!E:E), "N/A")</f>
        <v>N/A</v>
      </c>
    </row>
    <row r="278" spans="1:14" ht="15" customHeight="1" x14ac:dyDescent="0.45">
      <c r="A278" s="7">
        <v>2024</v>
      </c>
      <c r="B278" s="5" t="s">
        <v>241</v>
      </c>
      <c r="C278" s="1" t="str">
        <f t="shared" si="8"/>
        <v>Tony Jones Jr.</v>
      </c>
      <c r="D278" s="1" t="str">
        <f t="shared" si="9"/>
        <v>ARI</v>
      </c>
      <c r="E278" s="1">
        <v>4</v>
      </c>
      <c r="F278" s="1">
        <v>55</v>
      </c>
      <c r="G278" s="1">
        <v>13.8</v>
      </c>
      <c r="H278" s="1">
        <v>1</v>
      </c>
      <c r="I278">
        <v>0</v>
      </c>
      <c r="J278">
        <v>1</v>
      </c>
      <c r="K278" cm="1">
        <f t="array" ref="K278">IFERROR(_xlfn.XLOOKUP(D278&amp;A278, RBWR!A:A&amp;RBWR!C:C, RBWR!B:B), "N/A")</f>
        <v>72</v>
      </c>
      <c r="L278" t="str" cm="1">
        <f t="array" ref="L278">IFERROR(_xlfn.XLOOKUP(C278&amp;A278, RYOE!A:A&amp;RYOE!F:F, RYOE!C:C), "N/A")</f>
        <v>N/A</v>
      </c>
      <c r="M278" t="str" cm="1">
        <f t="array" ref="M278">IFERROR(_xlfn.XLOOKUP(C278&amp;A278, RYOE!A:A&amp;RYOE!F:F, RYOE!D:D), "N/A")</f>
        <v>N/A</v>
      </c>
      <c r="N278" t="str" cm="1">
        <f t="array" ref="N278">IFERROR(_xlfn.XLOOKUP(C278&amp;A278, RYOE!A:A&amp;RYOE!F:F, RYOE!E:E), "N/A")</f>
        <v>N/A</v>
      </c>
    </row>
    <row r="279" spans="1:14" ht="15" customHeight="1" x14ac:dyDescent="0.45">
      <c r="A279" s="8">
        <v>2024</v>
      </c>
      <c r="B279" s="6" t="s">
        <v>143</v>
      </c>
      <c r="C279" s="2" t="str">
        <f t="shared" si="8"/>
        <v>Julius Chestnut</v>
      </c>
      <c r="D279" s="2" t="str">
        <f t="shared" si="9"/>
        <v>TEN</v>
      </c>
      <c r="E279" s="2">
        <v>22</v>
      </c>
      <c r="F279" s="2">
        <v>102</v>
      </c>
      <c r="G279" s="2">
        <v>4.5999999999999996</v>
      </c>
      <c r="H279" s="2">
        <v>0</v>
      </c>
      <c r="I279">
        <v>0</v>
      </c>
      <c r="J279">
        <v>14</v>
      </c>
      <c r="K279" cm="1">
        <f t="array" ref="K279">IFERROR(_xlfn.XLOOKUP(D279&amp;A279, RBWR!A:A&amp;RBWR!C:C, RBWR!B:B), "N/A")</f>
        <v>71</v>
      </c>
      <c r="L279" t="str" cm="1">
        <f t="array" ref="L279">IFERROR(_xlfn.XLOOKUP(C279&amp;A279, RYOE!A:A&amp;RYOE!F:F, RYOE!C:C), "N/A")</f>
        <v>N/A</v>
      </c>
      <c r="M279" t="str" cm="1">
        <f t="array" ref="M279">IFERROR(_xlfn.XLOOKUP(C279&amp;A279, RYOE!A:A&amp;RYOE!F:F, RYOE!D:D), "N/A")</f>
        <v>N/A</v>
      </c>
      <c r="N279" t="str" cm="1">
        <f t="array" ref="N279">IFERROR(_xlfn.XLOOKUP(C279&amp;A279, RYOE!A:A&amp;RYOE!F:F, RYOE!E:E), "N/A")</f>
        <v>N/A</v>
      </c>
    </row>
    <row r="280" spans="1:14" ht="15" customHeight="1" x14ac:dyDescent="0.45">
      <c r="A280" s="7">
        <v>2024</v>
      </c>
      <c r="B280" s="5" t="s">
        <v>242</v>
      </c>
      <c r="C280" s="1" t="str">
        <f t="shared" si="8"/>
        <v>Deuce Vaughn</v>
      </c>
      <c r="D280" s="1" t="str">
        <f t="shared" si="9"/>
        <v>DAL</v>
      </c>
      <c r="E280" s="1">
        <v>17</v>
      </c>
      <c r="F280" s="1">
        <v>70</v>
      </c>
      <c r="G280" s="1">
        <v>4.0999999999999996</v>
      </c>
      <c r="H280" s="1">
        <v>0</v>
      </c>
      <c r="I280">
        <v>0</v>
      </c>
      <c r="J280">
        <v>6</v>
      </c>
      <c r="K280" cm="1">
        <f t="array" ref="K280">IFERROR(_xlfn.XLOOKUP(D280&amp;A280, RBWR!A:A&amp;RBWR!C:C, RBWR!B:B), "N/A")</f>
        <v>73</v>
      </c>
      <c r="L280" t="str" cm="1">
        <f t="array" ref="L280">IFERROR(_xlfn.XLOOKUP(C280&amp;A280, RYOE!A:A&amp;RYOE!F:F, RYOE!C:C), "N/A")</f>
        <v>N/A</v>
      </c>
      <c r="M280" t="str" cm="1">
        <f t="array" ref="M280">IFERROR(_xlfn.XLOOKUP(C280&amp;A280, RYOE!A:A&amp;RYOE!F:F, RYOE!D:D), "N/A")</f>
        <v>N/A</v>
      </c>
      <c r="N280" t="str" cm="1">
        <f t="array" ref="N280">IFERROR(_xlfn.XLOOKUP(C280&amp;A280, RYOE!A:A&amp;RYOE!F:F, RYOE!E:E), "N/A")</f>
        <v>N/A</v>
      </c>
    </row>
    <row r="281" spans="1:14" ht="15" customHeight="1" x14ac:dyDescent="0.45">
      <c r="A281" s="8">
        <v>2024</v>
      </c>
      <c r="B281" s="6" t="s">
        <v>168</v>
      </c>
      <c r="C281" s="2" t="str">
        <f t="shared" si="8"/>
        <v>C.J. Ham</v>
      </c>
      <c r="D281" s="2" t="str">
        <f t="shared" si="9"/>
        <v>MIN</v>
      </c>
      <c r="E281" s="2">
        <v>2</v>
      </c>
      <c r="F281" s="2">
        <v>10</v>
      </c>
      <c r="G281" s="2">
        <v>5</v>
      </c>
      <c r="H281" s="2">
        <v>1</v>
      </c>
      <c r="I281">
        <v>1</v>
      </c>
      <c r="J281">
        <v>17</v>
      </c>
      <c r="K281" cm="1">
        <f t="array" ref="K281">IFERROR(_xlfn.XLOOKUP(D281&amp;A281, RBWR!A:A&amp;RBWR!C:C, RBWR!B:B), "N/A")</f>
        <v>72</v>
      </c>
      <c r="L281" t="str" cm="1">
        <f t="array" ref="L281">IFERROR(_xlfn.XLOOKUP(C281&amp;A281, RYOE!A:A&amp;RYOE!F:F, RYOE!C:C), "N/A")</f>
        <v>N/A</v>
      </c>
      <c r="M281" t="str" cm="1">
        <f t="array" ref="M281">IFERROR(_xlfn.XLOOKUP(C281&amp;A281, RYOE!A:A&amp;RYOE!F:F, RYOE!D:D), "N/A")</f>
        <v>N/A</v>
      </c>
      <c r="N281" t="str" cm="1">
        <f t="array" ref="N281">IFERROR(_xlfn.XLOOKUP(C281&amp;A281, RYOE!A:A&amp;RYOE!F:F, RYOE!E:E), "N/A")</f>
        <v>N/A</v>
      </c>
    </row>
    <row r="282" spans="1:14" ht="15" customHeight="1" x14ac:dyDescent="0.45">
      <c r="A282" s="7">
        <v>2024</v>
      </c>
      <c r="B282" s="5" t="s">
        <v>243</v>
      </c>
      <c r="C282" s="1" t="str">
        <f t="shared" si="8"/>
        <v>Raheem Blackshear</v>
      </c>
      <c r="D282" s="1" t="str">
        <f t="shared" si="9"/>
        <v>CAR</v>
      </c>
      <c r="E282" s="1">
        <v>15</v>
      </c>
      <c r="F282" s="1">
        <v>80</v>
      </c>
      <c r="G282" s="1">
        <v>5.3</v>
      </c>
      <c r="H282" s="1">
        <v>0</v>
      </c>
      <c r="I282">
        <v>0</v>
      </c>
      <c r="J282">
        <v>16</v>
      </c>
      <c r="K282" cm="1">
        <f t="array" ref="K282">IFERROR(_xlfn.XLOOKUP(D282&amp;A282, RBWR!A:A&amp;RBWR!C:C, RBWR!B:B), "N/A")</f>
        <v>72</v>
      </c>
      <c r="L282" t="str" cm="1">
        <f t="array" ref="L282">IFERROR(_xlfn.XLOOKUP(C282&amp;A282, RYOE!A:A&amp;RYOE!F:F, RYOE!C:C), "N/A")</f>
        <v>N/A</v>
      </c>
      <c r="M282" t="str" cm="1">
        <f t="array" ref="M282">IFERROR(_xlfn.XLOOKUP(C282&amp;A282, RYOE!A:A&amp;RYOE!F:F, RYOE!D:D), "N/A")</f>
        <v>N/A</v>
      </c>
      <c r="N282" t="str" cm="1">
        <f t="array" ref="N282">IFERROR(_xlfn.XLOOKUP(C282&amp;A282, RYOE!A:A&amp;RYOE!F:F, RYOE!E:E), "N/A")</f>
        <v>N/A</v>
      </c>
    </row>
    <row r="283" spans="1:14" ht="15" customHeight="1" x14ac:dyDescent="0.45">
      <c r="A283" s="8">
        <v>2024</v>
      </c>
      <c r="B283" s="6" t="s">
        <v>189</v>
      </c>
      <c r="C283" s="2" t="str">
        <f t="shared" si="8"/>
        <v>Jeff Wilson Jr.</v>
      </c>
      <c r="D283" s="2" t="str">
        <f t="shared" si="9"/>
        <v>MIA</v>
      </c>
      <c r="E283" s="2">
        <v>16</v>
      </c>
      <c r="F283" s="2">
        <v>57</v>
      </c>
      <c r="G283" s="2">
        <v>3.6</v>
      </c>
      <c r="H283" s="2">
        <v>0</v>
      </c>
      <c r="I283">
        <v>0</v>
      </c>
      <c r="J283">
        <v>7</v>
      </c>
      <c r="K283" cm="1">
        <f t="array" ref="K283">IFERROR(_xlfn.XLOOKUP(D283&amp;A283, RBWR!A:A&amp;RBWR!C:C, RBWR!B:B), "N/A")</f>
        <v>70</v>
      </c>
      <c r="L283" t="str" cm="1">
        <f t="array" ref="L283">IFERROR(_xlfn.XLOOKUP(C283&amp;A283, RYOE!A:A&amp;RYOE!F:F, RYOE!C:C), "N/A")</f>
        <v>N/A</v>
      </c>
      <c r="M283" t="str" cm="1">
        <f t="array" ref="M283">IFERROR(_xlfn.XLOOKUP(C283&amp;A283, RYOE!A:A&amp;RYOE!F:F, RYOE!D:D), "N/A")</f>
        <v>N/A</v>
      </c>
      <c r="N283" t="str" cm="1">
        <f t="array" ref="N283">IFERROR(_xlfn.XLOOKUP(C283&amp;A283, RYOE!A:A&amp;RYOE!F:F, RYOE!E:E), "N/A")</f>
        <v>N/A</v>
      </c>
    </row>
    <row r="284" spans="1:14" ht="15" customHeight="1" x14ac:dyDescent="0.45">
      <c r="A284" s="7">
        <v>2024</v>
      </c>
      <c r="B284" s="5" t="s">
        <v>195</v>
      </c>
      <c r="C284" s="1" t="str">
        <f t="shared" si="8"/>
        <v>Eric Gray</v>
      </c>
      <c r="D284" s="1" t="str">
        <f t="shared" si="9"/>
        <v>NYG</v>
      </c>
      <c r="E284" s="1">
        <v>14</v>
      </c>
      <c r="F284" s="1">
        <v>31</v>
      </c>
      <c r="G284" s="1">
        <v>2.2000000000000002</v>
      </c>
      <c r="H284" s="1">
        <v>0</v>
      </c>
      <c r="I284">
        <v>2</v>
      </c>
      <c r="J284">
        <v>16</v>
      </c>
      <c r="K284" cm="1">
        <f t="array" ref="K284">IFERROR(_xlfn.XLOOKUP(D284&amp;A284, RBWR!A:A&amp;RBWR!C:C, RBWR!B:B), "N/A")</f>
        <v>69</v>
      </c>
      <c r="L284" t="str" cm="1">
        <f t="array" ref="L284">IFERROR(_xlfn.XLOOKUP(C284&amp;A284, RYOE!A:A&amp;RYOE!F:F, RYOE!C:C), "N/A")</f>
        <v>N/A</v>
      </c>
      <c r="M284" t="str" cm="1">
        <f t="array" ref="M284">IFERROR(_xlfn.XLOOKUP(C284&amp;A284, RYOE!A:A&amp;RYOE!F:F, RYOE!D:D), "N/A")</f>
        <v>N/A</v>
      </c>
      <c r="N284" t="str" cm="1">
        <f t="array" ref="N284">IFERROR(_xlfn.XLOOKUP(C284&amp;A284, RYOE!A:A&amp;RYOE!F:F, RYOE!E:E), "N/A")</f>
        <v>N/A</v>
      </c>
    </row>
    <row r="285" spans="1:14" ht="15" customHeight="1" x14ac:dyDescent="0.45">
      <c r="A285" s="8">
        <v>2024</v>
      </c>
      <c r="B285" s="6" t="s">
        <v>244</v>
      </c>
      <c r="C285" s="2" t="str">
        <f t="shared" si="8"/>
        <v>Clyde Edwards-Helaire</v>
      </c>
      <c r="D285" s="2" t="str">
        <f t="shared" si="9"/>
        <v>NO</v>
      </c>
      <c r="E285" s="2">
        <v>13</v>
      </c>
      <c r="F285" s="2">
        <v>46</v>
      </c>
      <c r="G285" s="2">
        <v>3.5</v>
      </c>
      <c r="H285" s="2">
        <v>0</v>
      </c>
      <c r="I285">
        <v>0</v>
      </c>
      <c r="J285">
        <v>2</v>
      </c>
      <c r="K285" cm="1">
        <f t="array" ref="K285">IFERROR(_xlfn.XLOOKUP(D285&amp;A285, RBWR!A:A&amp;RBWR!C:C, RBWR!B:B), "N/A")</f>
        <v>71</v>
      </c>
      <c r="L285" t="str" cm="1">
        <f t="array" ref="L285">IFERROR(_xlfn.XLOOKUP(C285&amp;A285, RYOE!A:A&amp;RYOE!F:F, RYOE!C:C), "N/A")</f>
        <v>N/A</v>
      </c>
      <c r="M285" t="str" cm="1">
        <f t="array" ref="M285">IFERROR(_xlfn.XLOOKUP(C285&amp;A285, RYOE!A:A&amp;RYOE!F:F, RYOE!D:D), "N/A")</f>
        <v>N/A</v>
      </c>
      <c r="N285" t="str" cm="1">
        <f t="array" ref="N285">IFERROR(_xlfn.XLOOKUP(C285&amp;A285, RYOE!A:A&amp;RYOE!F:F, RYOE!E:E), "N/A")</f>
        <v>N/A</v>
      </c>
    </row>
    <row r="286" spans="1:14" ht="15" customHeight="1" x14ac:dyDescent="0.45">
      <c r="A286" s="7">
        <v>2024</v>
      </c>
      <c r="B286" s="5" t="s">
        <v>153</v>
      </c>
      <c r="C286" s="1" t="str">
        <f t="shared" si="8"/>
        <v>Tyler Badie</v>
      </c>
      <c r="D286" s="1" t="str">
        <f t="shared" si="9"/>
        <v>DEN</v>
      </c>
      <c r="E286" s="1">
        <v>11</v>
      </c>
      <c r="F286" s="1">
        <v>86</v>
      </c>
      <c r="G286" s="1">
        <v>7.8</v>
      </c>
      <c r="H286" s="1">
        <v>0</v>
      </c>
      <c r="I286">
        <v>1</v>
      </c>
      <c r="J286">
        <v>3</v>
      </c>
      <c r="K286" cm="1">
        <f t="array" ref="K286">IFERROR(_xlfn.XLOOKUP(D286&amp;A286, RBWR!A:A&amp;RBWR!C:C, RBWR!B:B), "N/A")</f>
        <v>75</v>
      </c>
      <c r="L286" t="str" cm="1">
        <f t="array" ref="L286">IFERROR(_xlfn.XLOOKUP(C286&amp;A286, RYOE!A:A&amp;RYOE!F:F, RYOE!C:C), "N/A")</f>
        <v>N/A</v>
      </c>
      <c r="M286" t="str" cm="1">
        <f t="array" ref="M286">IFERROR(_xlfn.XLOOKUP(C286&amp;A286, RYOE!A:A&amp;RYOE!F:F, RYOE!D:D), "N/A")</f>
        <v>N/A</v>
      </c>
      <c r="N286" t="str" cm="1">
        <f t="array" ref="N286">IFERROR(_xlfn.XLOOKUP(C286&amp;A286, RYOE!A:A&amp;RYOE!F:F, RYOE!E:E), "N/A")</f>
        <v>N/A</v>
      </c>
    </row>
    <row r="287" spans="1:14" ht="15" customHeight="1" x14ac:dyDescent="0.45">
      <c r="A287" s="8">
        <v>2024</v>
      </c>
      <c r="B287" s="6" t="s">
        <v>134</v>
      </c>
      <c r="C287" s="2" t="str">
        <f t="shared" si="8"/>
        <v>Kene Nwangwu</v>
      </c>
      <c r="D287" s="2" t="str">
        <f t="shared" si="9"/>
        <v>NYJ</v>
      </c>
      <c r="E287" s="2">
        <v>0</v>
      </c>
      <c r="F287" s="2">
        <v>0</v>
      </c>
      <c r="G287" s="2">
        <v>0</v>
      </c>
      <c r="H287" s="2">
        <v>0</v>
      </c>
      <c r="I287">
        <v>0</v>
      </c>
      <c r="J287">
        <v>2</v>
      </c>
      <c r="K287" cm="1">
        <f t="array" ref="K287">IFERROR(_xlfn.XLOOKUP(D287&amp;A287, RBWR!A:A&amp;RBWR!C:C, RBWR!B:B), "N/A")</f>
        <v>68</v>
      </c>
      <c r="L287" t="str" cm="1">
        <f t="array" ref="L287">IFERROR(_xlfn.XLOOKUP(C287&amp;A287, RYOE!A:A&amp;RYOE!F:F, RYOE!C:C), "N/A")</f>
        <v>N/A</v>
      </c>
      <c r="M287" t="str" cm="1">
        <f t="array" ref="M287">IFERROR(_xlfn.XLOOKUP(C287&amp;A287, RYOE!A:A&amp;RYOE!F:F, RYOE!D:D), "N/A")</f>
        <v>N/A</v>
      </c>
      <c r="N287" t="str" cm="1">
        <f t="array" ref="N287">IFERROR(_xlfn.XLOOKUP(C287&amp;A287, RYOE!A:A&amp;RYOE!F:F, RYOE!E:E), "N/A")</f>
        <v>N/A</v>
      </c>
    </row>
    <row r="288" spans="1:14" ht="15" customHeight="1" x14ac:dyDescent="0.45">
      <c r="A288" s="7">
        <v>2024</v>
      </c>
      <c r="B288" s="5" t="s">
        <v>85</v>
      </c>
      <c r="C288" s="1" t="str">
        <f t="shared" si="8"/>
        <v>Keaton Mitchell</v>
      </c>
      <c r="D288" s="1" t="str">
        <f t="shared" si="9"/>
        <v>BAL</v>
      </c>
      <c r="E288" s="1">
        <v>15</v>
      </c>
      <c r="F288" s="1">
        <v>30</v>
      </c>
      <c r="G288" s="1">
        <v>2</v>
      </c>
      <c r="H288" s="1">
        <v>0</v>
      </c>
      <c r="I288">
        <v>0</v>
      </c>
      <c r="J288">
        <v>4</v>
      </c>
      <c r="K288" cm="1">
        <f t="array" ref="K288">IFERROR(_xlfn.XLOOKUP(D288&amp;A288, RBWR!A:A&amp;RBWR!C:C, RBWR!B:B), "N/A")</f>
        <v>74</v>
      </c>
      <c r="L288" t="str" cm="1">
        <f t="array" ref="L288">IFERROR(_xlfn.XLOOKUP(C288&amp;A288, RYOE!A:A&amp;RYOE!F:F, RYOE!C:C), "N/A")</f>
        <v>N/A</v>
      </c>
      <c r="M288" t="str" cm="1">
        <f t="array" ref="M288">IFERROR(_xlfn.XLOOKUP(C288&amp;A288, RYOE!A:A&amp;RYOE!F:F, RYOE!D:D), "N/A")</f>
        <v>N/A</v>
      </c>
      <c r="N288" t="str" cm="1">
        <f t="array" ref="N288">IFERROR(_xlfn.XLOOKUP(C288&amp;A288, RYOE!A:A&amp;RYOE!F:F, RYOE!E:E), "N/A")</f>
        <v>N/A</v>
      </c>
    </row>
    <row r="289" spans="1:14" ht="15" customHeight="1" x14ac:dyDescent="0.45">
      <c r="A289" s="8">
        <v>2024</v>
      </c>
      <c r="B289" s="6" t="s">
        <v>170</v>
      </c>
      <c r="C289" s="2" t="str">
        <f t="shared" si="8"/>
        <v>Sione Vaki</v>
      </c>
      <c r="D289" s="2" t="str">
        <f t="shared" si="9"/>
        <v>DET</v>
      </c>
      <c r="E289" s="2">
        <v>6</v>
      </c>
      <c r="F289" s="2">
        <v>14</v>
      </c>
      <c r="G289" s="2">
        <v>2.2999999999999998</v>
      </c>
      <c r="H289" s="2">
        <v>0</v>
      </c>
      <c r="I289">
        <v>0</v>
      </c>
      <c r="J289">
        <v>12</v>
      </c>
      <c r="K289" cm="1">
        <f t="array" ref="K289">IFERROR(_xlfn.XLOOKUP(D289&amp;A289, RBWR!A:A&amp;RBWR!C:C, RBWR!B:B), "N/A")</f>
        <v>72</v>
      </c>
      <c r="L289" t="str" cm="1">
        <f t="array" ref="L289">IFERROR(_xlfn.XLOOKUP(C289&amp;A289, RYOE!A:A&amp;RYOE!F:F, RYOE!C:C), "N/A")</f>
        <v>N/A</v>
      </c>
      <c r="M289" t="str" cm="1">
        <f t="array" ref="M289">IFERROR(_xlfn.XLOOKUP(C289&amp;A289, RYOE!A:A&amp;RYOE!F:F, RYOE!D:D), "N/A")</f>
        <v>N/A</v>
      </c>
      <c r="N289" t="str" cm="1">
        <f t="array" ref="N289">IFERROR(_xlfn.XLOOKUP(C289&amp;A289, RYOE!A:A&amp;RYOE!F:F, RYOE!E:E), "N/A")</f>
        <v>N/A</v>
      </c>
    </row>
    <row r="290" spans="1:14" ht="15" customHeight="1" x14ac:dyDescent="0.45">
      <c r="A290" s="7">
        <v>2024</v>
      </c>
      <c r="B290" s="5" t="s">
        <v>245</v>
      </c>
      <c r="C290" s="1" t="str">
        <f t="shared" si="8"/>
        <v>Mike Boone</v>
      </c>
      <c r="D290" s="1" t="str">
        <f t="shared" si="9"/>
        <v>CAR</v>
      </c>
      <c r="E290" s="1">
        <v>13</v>
      </c>
      <c r="F290" s="1">
        <v>51</v>
      </c>
      <c r="G290" s="1">
        <v>3.9</v>
      </c>
      <c r="H290" s="1">
        <v>0</v>
      </c>
      <c r="I290">
        <v>0</v>
      </c>
      <c r="J290">
        <v>5</v>
      </c>
      <c r="K290" cm="1">
        <f t="array" ref="K290">IFERROR(_xlfn.XLOOKUP(D290&amp;A290, RBWR!A:A&amp;RBWR!C:C, RBWR!B:B), "N/A")</f>
        <v>72</v>
      </c>
      <c r="L290" t="str" cm="1">
        <f t="array" ref="L290">IFERROR(_xlfn.XLOOKUP(C290&amp;A290, RYOE!A:A&amp;RYOE!F:F, RYOE!C:C), "N/A")</f>
        <v>N/A</v>
      </c>
      <c r="M290" t="str" cm="1">
        <f t="array" ref="M290">IFERROR(_xlfn.XLOOKUP(C290&amp;A290, RYOE!A:A&amp;RYOE!F:F, RYOE!D:D), "N/A")</f>
        <v>N/A</v>
      </c>
      <c r="N290" t="str" cm="1">
        <f t="array" ref="N290">IFERROR(_xlfn.XLOOKUP(C290&amp;A290, RYOE!A:A&amp;RYOE!F:F, RYOE!E:E), "N/A")</f>
        <v>N/A</v>
      </c>
    </row>
    <row r="291" spans="1:14" ht="15" customHeight="1" x14ac:dyDescent="0.45">
      <c r="A291" s="8">
        <v>2024</v>
      </c>
      <c r="B291" s="6" t="s">
        <v>246</v>
      </c>
      <c r="C291" s="2" t="str">
        <f t="shared" si="8"/>
        <v>Jonathon Brooks</v>
      </c>
      <c r="D291" s="2" t="str">
        <f t="shared" si="9"/>
        <v>CAR</v>
      </c>
      <c r="E291" s="2">
        <v>9</v>
      </c>
      <c r="F291" s="2">
        <v>22</v>
      </c>
      <c r="G291" s="2">
        <v>2.4</v>
      </c>
      <c r="H291" s="2">
        <v>0</v>
      </c>
      <c r="I291">
        <v>0</v>
      </c>
      <c r="J291">
        <v>3</v>
      </c>
      <c r="K291" cm="1">
        <f t="array" ref="K291">IFERROR(_xlfn.XLOOKUP(D291&amp;A291, RBWR!A:A&amp;RBWR!C:C, RBWR!B:B), "N/A")</f>
        <v>72</v>
      </c>
      <c r="L291" t="str" cm="1">
        <f t="array" ref="L291">IFERROR(_xlfn.XLOOKUP(C291&amp;A291, RYOE!A:A&amp;RYOE!F:F, RYOE!C:C), "N/A")</f>
        <v>N/A</v>
      </c>
      <c r="M291" t="str" cm="1">
        <f t="array" ref="M291">IFERROR(_xlfn.XLOOKUP(C291&amp;A291, RYOE!A:A&amp;RYOE!F:F, RYOE!D:D), "N/A")</f>
        <v>N/A</v>
      </c>
      <c r="N291" t="str" cm="1">
        <f t="array" ref="N291">IFERROR(_xlfn.XLOOKUP(C291&amp;A291, RYOE!A:A&amp;RYOE!F:F, RYOE!E:E), "N/A")</f>
        <v>N/A</v>
      </c>
    </row>
    <row r="292" spans="1:14" ht="15" customHeight="1" x14ac:dyDescent="0.45">
      <c r="A292" s="7">
        <v>2024</v>
      </c>
      <c r="B292" s="5" t="s">
        <v>247</v>
      </c>
      <c r="C292" s="1" t="str">
        <f t="shared" si="8"/>
        <v>J.J. Taylor</v>
      </c>
      <c r="D292" s="1" t="str">
        <f t="shared" si="9"/>
        <v>HOU</v>
      </c>
      <c r="E292" s="1">
        <v>10</v>
      </c>
      <c r="F292" s="1">
        <v>44</v>
      </c>
      <c r="G292" s="1">
        <v>4.4000000000000004</v>
      </c>
      <c r="H292" s="1">
        <v>0</v>
      </c>
      <c r="I292">
        <v>0</v>
      </c>
      <c r="J292">
        <v>4</v>
      </c>
      <c r="K292" cm="1">
        <f t="array" ref="K292">IFERROR(_xlfn.XLOOKUP(D292&amp;A292, RBWR!A:A&amp;RBWR!C:C, RBWR!B:B), "N/A")</f>
        <v>68</v>
      </c>
      <c r="L292" t="str" cm="1">
        <f t="array" ref="L292">IFERROR(_xlfn.XLOOKUP(C292&amp;A292, RYOE!A:A&amp;RYOE!F:F, RYOE!C:C), "N/A")</f>
        <v>N/A</v>
      </c>
      <c r="M292" t="str" cm="1">
        <f t="array" ref="M292">IFERROR(_xlfn.XLOOKUP(C292&amp;A292, RYOE!A:A&amp;RYOE!F:F, RYOE!D:D), "N/A")</f>
        <v>N/A</v>
      </c>
      <c r="N292" t="str" cm="1">
        <f t="array" ref="N292">IFERROR(_xlfn.XLOOKUP(C292&amp;A292, RYOE!A:A&amp;RYOE!F:F, RYOE!E:E), "N/A")</f>
        <v>N/A</v>
      </c>
    </row>
    <row r="293" spans="1:14" ht="15" customHeight="1" x14ac:dyDescent="0.45">
      <c r="A293" s="8">
        <v>2024</v>
      </c>
      <c r="B293" s="6" t="s">
        <v>248</v>
      </c>
      <c r="C293" s="2" t="str">
        <f t="shared" si="8"/>
        <v>Jacob Kibodi</v>
      </c>
      <c r="D293" s="2" t="str">
        <f t="shared" si="9"/>
        <v>CLE</v>
      </c>
      <c r="E293" s="2">
        <v>5</v>
      </c>
      <c r="F293" s="2">
        <v>24</v>
      </c>
      <c r="G293" s="2">
        <v>4.8</v>
      </c>
      <c r="H293" s="2">
        <v>0</v>
      </c>
      <c r="I293">
        <v>0</v>
      </c>
      <c r="J293">
        <v>1</v>
      </c>
      <c r="K293" cm="1">
        <f t="array" ref="K293">IFERROR(_xlfn.XLOOKUP(D293&amp;A293, RBWR!A:A&amp;RBWR!C:C, RBWR!B:B), "N/A")</f>
        <v>72</v>
      </c>
      <c r="L293" t="str" cm="1">
        <f t="array" ref="L293">IFERROR(_xlfn.XLOOKUP(C293&amp;A293, RYOE!A:A&amp;RYOE!F:F, RYOE!C:C), "N/A")</f>
        <v>N/A</v>
      </c>
      <c r="M293" t="str" cm="1">
        <f t="array" ref="M293">IFERROR(_xlfn.XLOOKUP(C293&amp;A293, RYOE!A:A&amp;RYOE!F:F, RYOE!D:D), "N/A")</f>
        <v>N/A</v>
      </c>
      <c r="N293" t="str" cm="1">
        <f t="array" ref="N293">IFERROR(_xlfn.XLOOKUP(C293&amp;A293, RYOE!A:A&amp;RYOE!F:F, RYOE!E:E), "N/A")</f>
        <v>N/A</v>
      </c>
    </row>
    <row r="294" spans="1:14" ht="15" customHeight="1" x14ac:dyDescent="0.45">
      <c r="A294" s="7">
        <v>2024</v>
      </c>
      <c r="B294" s="5" t="s">
        <v>203</v>
      </c>
      <c r="C294" s="1" t="str">
        <f t="shared" si="8"/>
        <v>Travis Homer</v>
      </c>
      <c r="D294" s="1" t="str">
        <f t="shared" si="9"/>
        <v>CHI</v>
      </c>
      <c r="E294" s="1">
        <v>6</v>
      </c>
      <c r="F294" s="1">
        <v>23</v>
      </c>
      <c r="G294" s="1">
        <v>3.8</v>
      </c>
      <c r="H294" s="1">
        <v>0</v>
      </c>
      <c r="I294">
        <v>0</v>
      </c>
      <c r="J294">
        <v>9</v>
      </c>
      <c r="K294" cm="1">
        <f t="array" ref="K294">IFERROR(_xlfn.XLOOKUP(D294&amp;A294, RBWR!A:A&amp;RBWR!C:C, RBWR!B:B), "N/A")</f>
        <v>73</v>
      </c>
      <c r="L294" t="str" cm="1">
        <f t="array" ref="L294">IFERROR(_xlfn.XLOOKUP(C294&amp;A294, RYOE!A:A&amp;RYOE!F:F, RYOE!C:C), "N/A")</f>
        <v>N/A</v>
      </c>
      <c r="M294" t="str" cm="1">
        <f t="array" ref="M294">IFERROR(_xlfn.XLOOKUP(C294&amp;A294, RYOE!A:A&amp;RYOE!F:F, RYOE!D:D), "N/A")</f>
        <v>N/A</v>
      </c>
      <c r="N294" t="str" cm="1">
        <f t="array" ref="N294">IFERROR(_xlfn.XLOOKUP(C294&amp;A294, RYOE!A:A&amp;RYOE!F:F, RYOE!E:E), "N/A")</f>
        <v>N/A</v>
      </c>
    </row>
    <row r="295" spans="1:14" ht="15" customHeight="1" x14ac:dyDescent="0.45">
      <c r="A295" s="8">
        <v>2024</v>
      </c>
      <c r="B295" s="6" t="s">
        <v>122</v>
      </c>
      <c r="C295" s="2" t="str">
        <f t="shared" si="8"/>
        <v>Terrell Jennings</v>
      </c>
      <c r="D295" s="2" t="str">
        <f t="shared" si="9"/>
        <v>NE</v>
      </c>
      <c r="E295" s="2">
        <v>13</v>
      </c>
      <c r="F295" s="2">
        <v>33</v>
      </c>
      <c r="G295" s="2">
        <v>2.5</v>
      </c>
      <c r="H295" s="2">
        <v>0</v>
      </c>
      <c r="I295">
        <v>0</v>
      </c>
      <c r="J295">
        <v>2</v>
      </c>
      <c r="K295" cm="1">
        <f t="array" ref="K295">IFERROR(_xlfn.XLOOKUP(D295&amp;A295, RBWR!A:A&amp;RBWR!C:C, RBWR!B:B), "N/A")</f>
        <v>67</v>
      </c>
      <c r="L295" t="str" cm="1">
        <f t="array" ref="L295">IFERROR(_xlfn.XLOOKUP(C295&amp;A295, RYOE!A:A&amp;RYOE!F:F, RYOE!C:C), "N/A")</f>
        <v>N/A</v>
      </c>
      <c r="M295" t="str" cm="1">
        <f t="array" ref="M295">IFERROR(_xlfn.XLOOKUP(C295&amp;A295, RYOE!A:A&amp;RYOE!F:F, RYOE!D:D), "N/A")</f>
        <v>N/A</v>
      </c>
      <c r="N295" t="str" cm="1">
        <f t="array" ref="N295">IFERROR(_xlfn.XLOOKUP(C295&amp;A295, RYOE!A:A&amp;RYOE!F:F, RYOE!E:E), "N/A")</f>
        <v>N/A</v>
      </c>
    </row>
    <row r="296" spans="1:14" ht="15" customHeight="1" x14ac:dyDescent="0.45">
      <c r="A296" s="7">
        <v>2024</v>
      </c>
      <c r="B296" s="5" t="s">
        <v>249</v>
      </c>
      <c r="C296" s="1" t="str">
        <f t="shared" si="8"/>
        <v>Jermar Jefferson</v>
      </c>
      <c r="D296" s="1" t="str">
        <f t="shared" si="9"/>
        <v>DET</v>
      </c>
      <c r="E296" s="1">
        <v>6</v>
      </c>
      <c r="F296" s="1">
        <v>22</v>
      </c>
      <c r="G296" s="1">
        <v>3.7</v>
      </c>
      <c r="H296" s="1">
        <v>0</v>
      </c>
      <c r="I296">
        <v>0</v>
      </c>
      <c r="J296">
        <v>2</v>
      </c>
      <c r="K296" cm="1">
        <f t="array" ref="K296">IFERROR(_xlfn.XLOOKUP(D296&amp;A296, RBWR!A:A&amp;RBWR!C:C, RBWR!B:B), "N/A")</f>
        <v>72</v>
      </c>
      <c r="L296" t="str" cm="1">
        <f t="array" ref="L296">IFERROR(_xlfn.XLOOKUP(C296&amp;A296, RYOE!A:A&amp;RYOE!F:F, RYOE!C:C), "N/A")</f>
        <v>N/A</v>
      </c>
      <c r="M296" t="str" cm="1">
        <f t="array" ref="M296">IFERROR(_xlfn.XLOOKUP(C296&amp;A296, RYOE!A:A&amp;RYOE!F:F, RYOE!D:D), "N/A")</f>
        <v>N/A</v>
      </c>
      <c r="N296" t="str" cm="1">
        <f t="array" ref="N296">IFERROR(_xlfn.XLOOKUP(C296&amp;A296, RYOE!A:A&amp;RYOE!F:F, RYOE!E:E), "N/A")</f>
        <v>N/A</v>
      </c>
    </row>
    <row r="297" spans="1:14" ht="15" customHeight="1" x14ac:dyDescent="0.45">
      <c r="A297" s="8">
        <v>2024</v>
      </c>
      <c r="B297" s="6" t="s">
        <v>250</v>
      </c>
      <c r="C297" s="2" t="str">
        <f t="shared" si="8"/>
        <v>Jase McClellan</v>
      </c>
      <c r="D297" s="2" t="str">
        <f t="shared" si="9"/>
        <v>ATL</v>
      </c>
      <c r="E297" s="2">
        <v>13</v>
      </c>
      <c r="F297" s="2">
        <v>32</v>
      </c>
      <c r="G297" s="2">
        <v>2.5</v>
      </c>
      <c r="H297" s="2">
        <v>0</v>
      </c>
      <c r="I297">
        <v>0</v>
      </c>
      <c r="J297">
        <v>3</v>
      </c>
      <c r="K297" cm="1">
        <f t="array" ref="K297">IFERROR(_xlfn.XLOOKUP(D297&amp;A297, RBWR!A:A&amp;RBWR!C:C, RBWR!B:B), "N/A")</f>
        <v>71</v>
      </c>
      <c r="L297" t="str" cm="1">
        <f t="array" ref="L297">IFERROR(_xlfn.XLOOKUP(C297&amp;A297, RYOE!A:A&amp;RYOE!F:F, RYOE!C:C), "N/A")</f>
        <v>N/A</v>
      </c>
      <c r="M297" t="str" cm="1">
        <f t="array" ref="M297">IFERROR(_xlfn.XLOOKUP(C297&amp;A297, RYOE!A:A&amp;RYOE!F:F, RYOE!D:D), "N/A")</f>
        <v>N/A</v>
      </c>
      <c r="N297" t="str" cm="1">
        <f t="array" ref="N297">IFERROR(_xlfn.XLOOKUP(C297&amp;A297, RYOE!A:A&amp;RYOE!F:F, RYOE!E:E), "N/A")</f>
        <v>N/A</v>
      </c>
    </row>
    <row r="298" spans="1:14" ht="15" customHeight="1" x14ac:dyDescent="0.45">
      <c r="A298" s="7">
        <v>2024</v>
      </c>
      <c r="B298" s="5" t="s">
        <v>152</v>
      </c>
      <c r="C298" s="1" t="str">
        <f t="shared" si="8"/>
        <v>Rasheen Ali</v>
      </c>
      <c r="D298" s="1" t="str">
        <f t="shared" si="9"/>
        <v>BAL</v>
      </c>
      <c r="E298" s="1">
        <v>10</v>
      </c>
      <c r="F298" s="1">
        <v>31</v>
      </c>
      <c r="G298" s="1">
        <v>3.1</v>
      </c>
      <c r="H298" s="1">
        <v>0</v>
      </c>
      <c r="I298">
        <v>0</v>
      </c>
      <c r="J298">
        <v>5</v>
      </c>
      <c r="K298" cm="1">
        <f t="array" ref="K298">IFERROR(_xlfn.XLOOKUP(D298&amp;A298, RBWR!A:A&amp;RBWR!C:C, RBWR!B:B), "N/A")</f>
        <v>74</v>
      </c>
      <c r="L298" t="str" cm="1">
        <f t="array" ref="L298">IFERROR(_xlfn.XLOOKUP(C298&amp;A298, RYOE!A:A&amp;RYOE!F:F, RYOE!C:C), "N/A")</f>
        <v>N/A</v>
      </c>
      <c r="M298" t="str" cm="1">
        <f t="array" ref="M298">IFERROR(_xlfn.XLOOKUP(C298&amp;A298, RYOE!A:A&amp;RYOE!F:F, RYOE!D:D), "N/A")</f>
        <v>N/A</v>
      </c>
      <c r="N298" t="str" cm="1">
        <f t="array" ref="N298">IFERROR(_xlfn.XLOOKUP(C298&amp;A298, RYOE!A:A&amp;RYOE!F:F, RYOE!E:E), "N/A")</f>
        <v>N/A</v>
      </c>
    </row>
    <row r="299" spans="1:14" ht="15" customHeight="1" x14ac:dyDescent="0.45">
      <c r="A299" s="8">
        <v>2024</v>
      </c>
      <c r="B299" s="6" t="s">
        <v>251</v>
      </c>
      <c r="C299" s="2" t="str">
        <f t="shared" si="8"/>
        <v>Dalvin Cook</v>
      </c>
      <c r="D299" s="2" t="str">
        <f t="shared" si="9"/>
        <v>DAL</v>
      </c>
      <c r="E299" s="2">
        <v>8</v>
      </c>
      <c r="F299" s="2">
        <v>20</v>
      </c>
      <c r="G299" s="2">
        <v>2.5</v>
      </c>
      <c r="H299" s="2">
        <v>0</v>
      </c>
      <c r="I299">
        <v>0</v>
      </c>
      <c r="J299">
        <v>2</v>
      </c>
      <c r="K299" cm="1">
        <f t="array" ref="K299">IFERROR(_xlfn.XLOOKUP(D299&amp;A299, RBWR!A:A&amp;RBWR!C:C, RBWR!B:B), "N/A")</f>
        <v>73</v>
      </c>
      <c r="L299" t="str" cm="1">
        <f t="array" ref="L299">IFERROR(_xlfn.XLOOKUP(C299&amp;A299, RYOE!A:A&amp;RYOE!F:F, RYOE!C:C), "N/A")</f>
        <v>N/A</v>
      </c>
      <c r="M299" t="str" cm="1">
        <f t="array" ref="M299">IFERROR(_xlfn.XLOOKUP(C299&amp;A299, RYOE!A:A&amp;RYOE!F:F, RYOE!D:D), "N/A")</f>
        <v>N/A</v>
      </c>
      <c r="N299" t="str" cm="1">
        <f t="array" ref="N299">IFERROR(_xlfn.XLOOKUP(C299&amp;A299, RYOE!A:A&amp;RYOE!F:F, RYOE!E:E), "N/A")</f>
        <v>N/A</v>
      </c>
    </row>
    <row r="300" spans="1:14" ht="15" customHeight="1" x14ac:dyDescent="0.45">
      <c r="A300" s="7">
        <v>2024</v>
      </c>
      <c r="B300" s="5" t="s">
        <v>252</v>
      </c>
      <c r="C300" s="1" t="str">
        <f t="shared" si="8"/>
        <v>Blake Watson</v>
      </c>
      <c r="D300" s="1" t="str">
        <f t="shared" si="9"/>
        <v>DEN</v>
      </c>
      <c r="E300" s="1">
        <v>4</v>
      </c>
      <c r="F300" s="1">
        <v>10</v>
      </c>
      <c r="G300" s="1">
        <v>2.5</v>
      </c>
      <c r="H300" s="1">
        <v>0</v>
      </c>
      <c r="I300">
        <v>0</v>
      </c>
      <c r="J300">
        <v>3</v>
      </c>
      <c r="K300" cm="1">
        <f t="array" ref="K300">IFERROR(_xlfn.XLOOKUP(D300&amp;A300, RBWR!A:A&amp;RBWR!C:C, RBWR!B:B), "N/A")</f>
        <v>75</v>
      </c>
      <c r="L300" t="str" cm="1">
        <f t="array" ref="L300">IFERROR(_xlfn.XLOOKUP(C300&amp;A300, RYOE!A:A&amp;RYOE!F:F, RYOE!C:C), "N/A")</f>
        <v>N/A</v>
      </c>
      <c r="M300" t="str" cm="1">
        <f t="array" ref="M300">IFERROR(_xlfn.XLOOKUP(C300&amp;A300, RYOE!A:A&amp;RYOE!F:F, RYOE!D:D), "N/A")</f>
        <v>N/A</v>
      </c>
      <c r="N300" t="str" cm="1">
        <f t="array" ref="N300">IFERROR(_xlfn.XLOOKUP(C300&amp;A300, RYOE!A:A&amp;RYOE!F:F, RYOE!E:E), "N/A")</f>
        <v>N/A</v>
      </c>
    </row>
    <row r="301" spans="1:14" ht="15" customHeight="1" x14ac:dyDescent="0.45">
      <c r="A301" s="8">
        <v>2024</v>
      </c>
      <c r="B301" s="6" t="s">
        <v>253</v>
      </c>
      <c r="C301" s="2" t="str">
        <f t="shared" si="8"/>
        <v>Jonathan Ward</v>
      </c>
      <c r="D301" s="2" t="str">
        <f t="shared" si="9"/>
        <v>PIT</v>
      </c>
      <c r="E301" s="2">
        <v>5</v>
      </c>
      <c r="F301" s="2">
        <v>22</v>
      </c>
      <c r="G301" s="2">
        <v>4.4000000000000004</v>
      </c>
      <c r="H301" s="2">
        <v>0</v>
      </c>
      <c r="I301">
        <v>0</v>
      </c>
      <c r="J301">
        <v>4</v>
      </c>
      <c r="K301" cm="1">
        <f t="array" ref="K301">IFERROR(_xlfn.XLOOKUP(D301&amp;A301, RBWR!A:A&amp;RBWR!C:C, RBWR!B:B), "N/A")</f>
        <v>71</v>
      </c>
      <c r="L301" t="str" cm="1">
        <f t="array" ref="L301">IFERROR(_xlfn.XLOOKUP(C301&amp;A301, RYOE!A:A&amp;RYOE!F:F, RYOE!C:C), "N/A")</f>
        <v>N/A</v>
      </c>
      <c r="M301" t="str" cm="1">
        <f t="array" ref="M301">IFERROR(_xlfn.XLOOKUP(C301&amp;A301, RYOE!A:A&amp;RYOE!F:F, RYOE!D:D), "N/A")</f>
        <v>N/A</v>
      </c>
      <c r="N301" t="str" cm="1">
        <f t="array" ref="N301">IFERROR(_xlfn.XLOOKUP(C301&amp;A301, RYOE!A:A&amp;RYOE!F:F, RYOE!E:E), "N/A")</f>
        <v>N/A</v>
      </c>
    </row>
    <row r="302" spans="1:14" ht="15" customHeight="1" x14ac:dyDescent="0.45">
      <c r="A302" s="7">
        <v>2024</v>
      </c>
      <c r="B302" s="5" t="s">
        <v>254</v>
      </c>
      <c r="C302" s="1" t="str">
        <f t="shared" si="8"/>
        <v>MarShawn Lloyd</v>
      </c>
      <c r="D302" s="1" t="str">
        <f t="shared" si="9"/>
        <v>GB</v>
      </c>
      <c r="E302" s="1">
        <v>6</v>
      </c>
      <c r="F302" s="1">
        <v>15</v>
      </c>
      <c r="G302" s="1">
        <v>2.5</v>
      </c>
      <c r="H302" s="1">
        <v>0</v>
      </c>
      <c r="I302">
        <v>0</v>
      </c>
      <c r="J302">
        <v>1</v>
      </c>
      <c r="K302" cm="1">
        <f t="array" ref="K302">IFERROR(_xlfn.XLOOKUP(D302&amp;A302, RBWR!A:A&amp;RBWR!C:C, RBWR!B:B), "N/A")</f>
        <v>71</v>
      </c>
      <c r="L302" t="str" cm="1">
        <f t="array" ref="L302">IFERROR(_xlfn.XLOOKUP(C302&amp;A302, RYOE!A:A&amp;RYOE!F:F, RYOE!C:C), "N/A")</f>
        <v>N/A</v>
      </c>
      <c r="M302" t="str" cm="1">
        <f t="array" ref="M302">IFERROR(_xlfn.XLOOKUP(C302&amp;A302, RYOE!A:A&amp;RYOE!F:F, RYOE!D:D), "N/A")</f>
        <v>N/A</v>
      </c>
      <c r="N302" t="str" cm="1">
        <f t="array" ref="N302">IFERROR(_xlfn.XLOOKUP(C302&amp;A302, RYOE!A:A&amp;RYOE!F:F, RYOE!E:E), "N/A")</f>
        <v>N/A</v>
      </c>
    </row>
    <row r="303" spans="1:14" ht="15" customHeight="1" x14ac:dyDescent="0.45">
      <c r="A303" s="8">
        <v>2024</v>
      </c>
      <c r="B303" s="6" t="s">
        <v>255</v>
      </c>
      <c r="C303" s="2" t="str">
        <f t="shared" si="8"/>
        <v>Aaron Shampklin</v>
      </c>
      <c r="D303" s="2" t="str">
        <f t="shared" si="9"/>
        <v>PIT</v>
      </c>
      <c r="E303" s="2">
        <v>6</v>
      </c>
      <c r="F303" s="2">
        <v>17</v>
      </c>
      <c r="G303" s="2">
        <v>2.8</v>
      </c>
      <c r="H303" s="2">
        <v>0</v>
      </c>
      <c r="I303">
        <v>0</v>
      </c>
      <c r="J303">
        <v>3</v>
      </c>
      <c r="K303" cm="1">
        <f t="array" ref="K303">IFERROR(_xlfn.XLOOKUP(D303&amp;A303, RBWR!A:A&amp;RBWR!C:C, RBWR!B:B), "N/A")</f>
        <v>71</v>
      </c>
      <c r="L303" t="str" cm="1">
        <f t="array" ref="L303">IFERROR(_xlfn.XLOOKUP(C303&amp;A303, RYOE!A:A&amp;RYOE!F:F, RYOE!C:C), "N/A")</f>
        <v>N/A</v>
      </c>
      <c r="M303" t="str" cm="1">
        <f t="array" ref="M303">IFERROR(_xlfn.XLOOKUP(C303&amp;A303, RYOE!A:A&amp;RYOE!F:F, RYOE!D:D), "N/A")</f>
        <v>N/A</v>
      </c>
      <c r="N303" t="str" cm="1">
        <f t="array" ref="N303">IFERROR(_xlfn.XLOOKUP(C303&amp;A303, RYOE!A:A&amp;RYOE!F:F, RYOE!E:E), "N/A")</f>
        <v>N/A</v>
      </c>
    </row>
    <row r="304" spans="1:14" ht="15" customHeight="1" x14ac:dyDescent="0.45">
      <c r="A304" s="7">
        <v>2024</v>
      </c>
      <c r="B304" s="5" t="s">
        <v>256</v>
      </c>
      <c r="C304" s="1" t="str">
        <f t="shared" si="8"/>
        <v>Tyreik McAllister</v>
      </c>
      <c r="D304" s="1" t="str">
        <f t="shared" si="9"/>
        <v>LV</v>
      </c>
      <c r="E304" s="1">
        <v>2</v>
      </c>
      <c r="F304" s="1">
        <v>11</v>
      </c>
      <c r="G304" s="1">
        <v>5.5</v>
      </c>
      <c r="H304" s="1">
        <v>0</v>
      </c>
      <c r="I304">
        <v>0</v>
      </c>
      <c r="J304">
        <v>2</v>
      </c>
      <c r="K304" cm="1">
        <f t="array" ref="K304">IFERROR(_xlfn.XLOOKUP(D304&amp;A304, RBWR!A:A&amp;RBWR!C:C, RBWR!B:B), "N/A")</f>
        <v>71</v>
      </c>
      <c r="L304" t="str" cm="1">
        <f t="array" ref="L304">IFERROR(_xlfn.XLOOKUP(C304&amp;A304, RYOE!A:A&amp;RYOE!F:F, RYOE!C:C), "N/A")</f>
        <v>N/A</v>
      </c>
      <c r="M304" t="str" cm="1">
        <f t="array" ref="M304">IFERROR(_xlfn.XLOOKUP(C304&amp;A304, RYOE!A:A&amp;RYOE!F:F, RYOE!D:D), "N/A")</f>
        <v>N/A</v>
      </c>
      <c r="N304" t="str" cm="1">
        <f t="array" ref="N304">IFERROR(_xlfn.XLOOKUP(C304&amp;A304, RYOE!A:A&amp;RYOE!F:F, RYOE!E:E), "N/A")</f>
        <v>N/A</v>
      </c>
    </row>
    <row r="305" spans="1:14" ht="15" customHeight="1" x14ac:dyDescent="0.45">
      <c r="A305" s="8">
        <v>2024</v>
      </c>
      <c r="B305" s="6" t="s">
        <v>257</v>
      </c>
      <c r="C305" s="2" t="str">
        <f t="shared" si="8"/>
        <v>Myles Gaskin</v>
      </c>
      <c r="D305" s="2" t="str">
        <f t="shared" si="9"/>
        <v>MIN</v>
      </c>
      <c r="E305" s="2">
        <v>3</v>
      </c>
      <c r="F305" s="2">
        <v>-1</v>
      </c>
      <c r="G305" s="2">
        <v>-0.3</v>
      </c>
      <c r="H305" s="2">
        <v>0</v>
      </c>
      <c r="I305">
        <v>0</v>
      </c>
      <c r="J305">
        <v>4</v>
      </c>
      <c r="K305" cm="1">
        <f t="array" ref="K305">IFERROR(_xlfn.XLOOKUP(D305&amp;A305, RBWR!A:A&amp;RBWR!C:C, RBWR!B:B), "N/A")</f>
        <v>72</v>
      </c>
      <c r="L305" t="str" cm="1">
        <f t="array" ref="L305">IFERROR(_xlfn.XLOOKUP(C305&amp;A305, RYOE!A:A&amp;RYOE!F:F, RYOE!C:C), "N/A")</f>
        <v>N/A</v>
      </c>
      <c r="M305" t="str" cm="1">
        <f t="array" ref="M305">IFERROR(_xlfn.XLOOKUP(C305&amp;A305, RYOE!A:A&amp;RYOE!F:F, RYOE!D:D), "N/A")</f>
        <v>N/A</v>
      </c>
      <c r="N305" t="str" cm="1">
        <f t="array" ref="N305">IFERROR(_xlfn.XLOOKUP(C305&amp;A305, RYOE!A:A&amp;RYOE!F:F, RYOE!E:E), "N/A")</f>
        <v>N/A</v>
      </c>
    </row>
    <row r="306" spans="1:14" ht="15" customHeight="1" x14ac:dyDescent="0.45">
      <c r="A306" s="7">
        <v>2024</v>
      </c>
      <c r="B306" s="5" t="s">
        <v>124</v>
      </c>
      <c r="C306" s="1" t="str">
        <f t="shared" si="8"/>
        <v>George Holani</v>
      </c>
      <c r="D306" s="1" t="str">
        <f t="shared" si="9"/>
        <v>SEA</v>
      </c>
      <c r="E306" s="1">
        <v>3</v>
      </c>
      <c r="F306" s="1">
        <v>10</v>
      </c>
      <c r="G306" s="1">
        <v>3.3</v>
      </c>
      <c r="H306" s="1">
        <v>0</v>
      </c>
      <c r="I306">
        <v>0</v>
      </c>
      <c r="J306">
        <v>3</v>
      </c>
      <c r="K306" cm="1">
        <f t="array" ref="K306">IFERROR(_xlfn.XLOOKUP(D306&amp;A306, RBWR!A:A&amp;RBWR!C:C, RBWR!B:B), "N/A")</f>
        <v>69</v>
      </c>
      <c r="L306" t="str" cm="1">
        <f t="array" ref="L306">IFERROR(_xlfn.XLOOKUP(C306&amp;A306, RYOE!A:A&amp;RYOE!F:F, RYOE!C:C), "N/A")</f>
        <v>N/A</v>
      </c>
      <c r="M306" t="str" cm="1">
        <f t="array" ref="M306">IFERROR(_xlfn.XLOOKUP(C306&amp;A306, RYOE!A:A&amp;RYOE!F:F, RYOE!D:D), "N/A")</f>
        <v>N/A</v>
      </c>
      <c r="N306" t="str" cm="1">
        <f t="array" ref="N306">IFERROR(_xlfn.XLOOKUP(C306&amp;A306, RYOE!A:A&amp;RYOE!F:F, RYOE!E:E), "N/A")</f>
        <v>N/A</v>
      </c>
    </row>
    <row r="307" spans="1:14" ht="15" customHeight="1" x14ac:dyDescent="0.45">
      <c r="A307" s="8">
        <v>2024</v>
      </c>
      <c r="B307" s="6" t="s">
        <v>258</v>
      </c>
      <c r="C307" s="2" t="str">
        <f t="shared" si="8"/>
        <v>Cody Schrader</v>
      </c>
      <c r="D307" s="2" t="str">
        <f t="shared" si="9"/>
        <v>LAR</v>
      </c>
      <c r="E307" s="2">
        <v>1</v>
      </c>
      <c r="F307" s="2">
        <v>3</v>
      </c>
      <c r="G307" s="2">
        <v>3</v>
      </c>
      <c r="H307" s="2">
        <v>0</v>
      </c>
      <c r="I307">
        <v>0</v>
      </c>
      <c r="J307">
        <v>1</v>
      </c>
      <c r="K307" cm="1">
        <f t="array" ref="K307">IFERROR(_xlfn.XLOOKUP(D307&amp;A307, RBWR!A:A&amp;RBWR!C:C, RBWR!B:B), "N/A")</f>
        <v>72</v>
      </c>
      <c r="L307" t="str" cm="1">
        <f t="array" ref="L307">IFERROR(_xlfn.XLOOKUP(C307&amp;A307, RYOE!A:A&amp;RYOE!F:F, RYOE!C:C), "N/A")</f>
        <v>N/A</v>
      </c>
      <c r="M307" t="str" cm="1">
        <f t="array" ref="M307">IFERROR(_xlfn.XLOOKUP(C307&amp;A307, RYOE!A:A&amp;RYOE!F:F, RYOE!D:D), "N/A")</f>
        <v>N/A</v>
      </c>
      <c r="N307" t="str" cm="1">
        <f t="array" ref="N307">IFERROR(_xlfn.XLOOKUP(C307&amp;A307, RYOE!A:A&amp;RYOE!F:F, RYOE!E:E), "N/A")</f>
        <v>N/A</v>
      </c>
    </row>
    <row r="308" spans="1:14" ht="15" customHeight="1" x14ac:dyDescent="0.45">
      <c r="A308" s="7">
        <v>2024</v>
      </c>
      <c r="B308" s="5" t="s">
        <v>198</v>
      </c>
      <c r="C308" s="1" t="str">
        <f t="shared" si="8"/>
        <v>Chris Collier</v>
      </c>
      <c r="D308" s="1" t="str">
        <f t="shared" si="9"/>
        <v>LV</v>
      </c>
      <c r="E308" s="1">
        <v>5</v>
      </c>
      <c r="F308" s="1">
        <v>12</v>
      </c>
      <c r="G308" s="1">
        <v>2.4</v>
      </c>
      <c r="H308" s="1">
        <v>0</v>
      </c>
      <c r="I308">
        <v>0</v>
      </c>
      <c r="J308">
        <v>6</v>
      </c>
      <c r="K308" cm="1">
        <f t="array" ref="K308">IFERROR(_xlfn.XLOOKUP(D308&amp;A308, RBWR!A:A&amp;RBWR!C:C, RBWR!B:B), "N/A")</f>
        <v>71</v>
      </c>
      <c r="L308" t="str" cm="1">
        <f t="array" ref="L308">IFERROR(_xlfn.XLOOKUP(C308&amp;A308, RYOE!A:A&amp;RYOE!F:F, RYOE!C:C), "N/A")</f>
        <v>N/A</v>
      </c>
      <c r="M308" t="str" cm="1">
        <f t="array" ref="M308">IFERROR(_xlfn.XLOOKUP(C308&amp;A308, RYOE!A:A&amp;RYOE!F:F, RYOE!D:D), "N/A")</f>
        <v>N/A</v>
      </c>
      <c r="N308" t="str" cm="1">
        <f t="array" ref="N308">IFERROR(_xlfn.XLOOKUP(C308&amp;A308, RYOE!A:A&amp;RYOE!F:F, RYOE!E:E), "N/A")</f>
        <v>N/A</v>
      </c>
    </row>
    <row r="309" spans="1:14" ht="15" customHeight="1" x14ac:dyDescent="0.45">
      <c r="A309" s="8">
        <v>2024</v>
      </c>
      <c r="B309" s="6" t="s">
        <v>171</v>
      </c>
      <c r="C309" s="2" t="str">
        <f t="shared" si="8"/>
        <v>Reggie Gilliam</v>
      </c>
      <c r="D309" s="2" t="str">
        <f t="shared" si="9"/>
        <v>BUF</v>
      </c>
      <c r="E309" s="2">
        <v>3</v>
      </c>
      <c r="F309" s="2">
        <v>7</v>
      </c>
      <c r="G309" s="2">
        <v>2.2999999999999998</v>
      </c>
      <c r="H309" s="2">
        <v>0</v>
      </c>
      <c r="I309">
        <v>0</v>
      </c>
      <c r="J309">
        <v>14</v>
      </c>
      <c r="K309" cm="1">
        <f t="array" ref="K309">IFERROR(_xlfn.XLOOKUP(D309&amp;A309, RBWR!A:A&amp;RBWR!C:C, RBWR!B:B), "N/A")</f>
        <v>71</v>
      </c>
      <c r="L309" t="str" cm="1">
        <f t="array" ref="L309">IFERROR(_xlfn.XLOOKUP(C309&amp;A309, RYOE!A:A&amp;RYOE!F:F, RYOE!C:C), "N/A")</f>
        <v>N/A</v>
      </c>
      <c r="M309" t="str" cm="1">
        <f t="array" ref="M309">IFERROR(_xlfn.XLOOKUP(C309&amp;A309, RYOE!A:A&amp;RYOE!F:F, RYOE!D:D), "N/A")</f>
        <v>N/A</v>
      </c>
      <c r="N309" t="str" cm="1">
        <f t="array" ref="N309">IFERROR(_xlfn.XLOOKUP(C309&amp;A309, RYOE!A:A&amp;RYOE!F:F, RYOE!E:E), "N/A")</f>
        <v>N/A</v>
      </c>
    </row>
    <row r="310" spans="1:14" ht="15" customHeight="1" x14ac:dyDescent="0.45">
      <c r="A310" s="7">
        <v>2024</v>
      </c>
      <c r="B310" s="5" t="s">
        <v>259</v>
      </c>
      <c r="C310" s="1" t="str">
        <f t="shared" si="8"/>
        <v>Tyrion Davis-Price</v>
      </c>
      <c r="D310" s="1" t="str">
        <f t="shared" si="9"/>
        <v>PHI</v>
      </c>
      <c r="E310" s="1">
        <v>3</v>
      </c>
      <c r="F310" s="1">
        <v>7</v>
      </c>
      <c r="G310" s="1">
        <v>2.2999999999999998</v>
      </c>
      <c r="H310" s="1">
        <v>0</v>
      </c>
      <c r="I310">
        <v>0</v>
      </c>
      <c r="J310">
        <v>1</v>
      </c>
      <c r="K310" cm="1">
        <f t="array" ref="K310">IFERROR(_xlfn.XLOOKUP(D310&amp;A310, RBWR!A:A&amp;RBWR!C:C, RBWR!B:B), "N/A")</f>
        <v>72</v>
      </c>
      <c r="L310" t="str" cm="1">
        <f t="array" ref="L310">IFERROR(_xlfn.XLOOKUP(C310&amp;A310, RYOE!A:A&amp;RYOE!F:F, RYOE!C:C), "N/A")</f>
        <v>N/A</v>
      </c>
      <c r="M310" t="str" cm="1">
        <f t="array" ref="M310">IFERROR(_xlfn.XLOOKUP(C310&amp;A310, RYOE!A:A&amp;RYOE!F:F, RYOE!D:D), "N/A")</f>
        <v>N/A</v>
      </c>
      <c r="N310" t="str" cm="1">
        <f t="array" ref="N310">IFERROR(_xlfn.XLOOKUP(C310&amp;A310, RYOE!A:A&amp;RYOE!F:F, RYOE!E:E), "N/A")</f>
        <v>N/A</v>
      </c>
    </row>
    <row r="311" spans="1:14" ht="15" customHeight="1" x14ac:dyDescent="0.45">
      <c r="A311" s="8">
        <v>2024</v>
      </c>
      <c r="B311" s="6" t="s">
        <v>260</v>
      </c>
      <c r="C311" s="2" t="str">
        <f t="shared" si="8"/>
        <v>Ke'Shawn Vaughn</v>
      </c>
      <c r="D311" s="2" t="str">
        <f t="shared" si="9"/>
        <v>SF</v>
      </c>
      <c r="E311" s="2">
        <v>2</v>
      </c>
      <c r="F311" s="2">
        <v>4</v>
      </c>
      <c r="G311" s="2">
        <v>2</v>
      </c>
      <c r="H311" s="2">
        <v>0</v>
      </c>
      <c r="I311">
        <v>0</v>
      </c>
      <c r="J311">
        <v>1</v>
      </c>
      <c r="K311" cm="1">
        <f t="array" ref="K311">IFERROR(_xlfn.XLOOKUP(D311&amp;A311, RBWR!A:A&amp;RBWR!C:C, RBWR!B:B), "N/A")</f>
        <v>71</v>
      </c>
      <c r="L311" t="str" cm="1">
        <f t="array" ref="L311">IFERROR(_xlfn.XLOOKUP(C311&amp;A311, RYOE!A:A&amp;RYOE!F:F, RYOE!C:C), "N/A")</f>
        <v>N/A</v>
      </c>
      <c r="M311" t="str" cm="1">
        <f t="array" ref="M311">IFERROR(_xlfn.XLOOKUP(C311&amp;A311, RYOE!A:A&amp;RYOE!F:F, RYOE!D:D), "N/A")</f>
        <v>N/A</v>
      </c>
      <c r="N311" t="str" cm="1">
        <f t="array" ref="N311">IFERROR(_xlfn.XLOOKUP(C311&amp;A311, RYOE!A:A&amp;RYOE!F:F, RYOE!E:E), "N/A")</f>
        <v>N/A</v>
      </c>
    </row>
    <row r="312" spans="1:14" ht="15" customHeight="1" x14ac:dyDescent="0.45">
      <c r="A312" s="7">
        <v>2024</v>
      </c>
      <c r="B312" s="5" t="s">
        <v>261</v>
      </c>
      <c r="C312" s="1" t="str">
        <f t="shared" si="8"/>
        <v>Darrynton Evans</v>
      </c>
      <c r="D312" s="1" t="str">
        <f t="shared" si="9"/>
        <v>CHI</v>
      </c>
      <c r="E312" s="1">
        <v>3</v>
      </c>
      <c r="F312" s="1">
        <v>3</v>
      </c>
      <c r="G312" s="1">
        <v>1</v>
      </c>
      <c r="H312" s="1">
        <v>0</v>
      </c>
      <c r="I312">
        <v>0</v>
      </c>
      <c r="J312">
        <v>2</v>
      </c>
      <c r="K312" cm="1">
        <f t="array" ref="K312">IFERROR(_xlfn.XLOOKUP(D312&amp;A312, RBWR!A:A&amp;RBWR!C:C, RBWR!B:B), "N/A")</f>
        <v>73</v>
      </c>
      <c r="L312" t="str" cm="1">
        <f t="array" ref="L312">IFERROR(_xlfn.XLOOKUP(C312&amp;A312, RYOE!A:A&amp;RYOE!F:F, RYOE!C:C), "N/A")</f>
        <v>N/A</v>
      </c>
      <c r="M312" t="str" cm="1">
        <f t="array" ref="M312">IFERROR(_xlfn.XLOOKUP(C312&amp;A312, RYOE!A:A&amp;RYOE!F:F, RYOE!D:D), "N/A")</f>
        <v>N/A</v>
      </c>
      <c r="N312" t="str" cm="1">
        <f t="array" ref="N312">IFERROR(_xlfn.XLOOKUP(C312&amp;A312, RYOE!A:A&amp;RYOE!F:F, RYOE!E:E), "N/A")</f>
        <v>N/A</v>
      </c>
    </row>
    <row r="313" spans="1:14" ht="15" customHeight="1" x14ac:dyDescent="0.45">
      <c r="A313" s="8">
        <v>2024</v>
      </c>
      <c r="B313" s="6" t="s">
        <v>262</v>
      </c>
      <c r="C313" s="2" t="str">
        <f t="shared" si="8"/>
        <v>Joshua Kelley</v>
      </c>
      <c r="D313" s="2" t="str">
        <f t="shared" si="9"/>
        <v>TEN</v>
      </c>
      <c r="E313" s="2">
        <v>1</v>
      </c>
      <c r="F313" s="2">
        <v>2</v>
      </c>
      <c r="G313" s="2">
        <v>2</v>
      </c>
      <c r="H313" s="2">
        <v>0</v>
      </c>
      <c r="I313">
        <v>0</v>
      </c>
      <c r="J313">
        <v>1</v>
      </c>
      <c r="K313" cm="1">
        <f t="array" ref="K313">IFERROR(_xlfn.XLOOKUP(D313&amp;A313, RBWR!A:A&amp;RBWR!C:C, RBWR!B:B), "N/A")</f>
        <v>71</v>
      </c>
      <c r="L313" t="str" cm="1">
        <f t="array" ref="L313">IFERROR(_xlfn.XLOOKUP(C313&amp;A313, RYOE!A:A&amp;RYOE!F:F, RYOE!C:C), "N/A")</f>
        <v>N/A</v>
      </c>
      <c r="M313" t="str" cm="1">
        <f t="array" ref="M313">IFERROR(_xlfn.XLOOKUP(C313&amp;A313, RYOE!A:A&amp;RYOE!F:F, RYOE!D:D), "N/A")</f>
        <v>N/A</v>
      </c>
      <c r="N313" t="str" cm="1">
        <f t="array" ref="N313">IFERROR(_xlfn.XLOOKUP(C313&amp;A313, RYOE!A:A&amp;RYOE!F:F, RYOE!E:E), "N/A")</f>
        <v>N/A</v>
      </c>
    </row>
    <row r="314" spans="1:14" ht="15" customHeight="1" x14ac:dyDescent="0.45">
      <c r="A314" s="7">
        <v>2024</v>
      </c>
      <c r="B314" s="5" t="s">
        <v>120</v>
      </c>
      <c r="C314" s="1" t="str">
        <f t="shared" si="8"/>
        <v>British Brooks</v>
      </c>
      <c r="D314" s="1" t="str">
        <f t="shared" si="9"/>
        <v>HOU</v>
      </c>
      <c r="E314" s="1">
        <v>1</v>
      </c>
      <c r="F314" s="1">
        <v>2</v>
      </c>
      <c r="G314" s="1">
        <v>2</v>
      </c>
      <c r="H314" s="1">
        <v>0</v>
      </c>
      <c r="I314">
        <v>0</v>
      </c>
      <c r="J314">
        <v>3</v>
      </c>
      <c r="K314" cm="1">
        <f t="array" ref="K314">IFERROR(_xlfn.XLOOKUP(D314&amp;A314, RBWR!A:A&amp;RBWR!C:C, RBWR!B:B), "N/A")</f>
        <v>68</v>
      </c>
      <c r="L314" t="str" cm="1">
        <f t="array" ref="L314">IFERROR(_xlfn.XLOOKUP(C314&amp;A314, RYOE!A:A&amp;RYOE!F:F, RYOE!C:C), "N/A")</f>
        <v>N/A</v>
      </c>
      <c r="M314" t="str" cm="1">
        <f t="array" ref="M314">IFERROR(_xlfn.XLOOKUP(C314&amp;A314, RYOE!A:A&amp;RYOE!F:F, RYOE!D:D), "N/A")</f>
        <v>N/A</v>
      </c>
      <c r="N314" t="str" cm="1">
        <f t="array" ref="N314">IFERROR(_xlfn.XLOOKUP(C314&amp;A314, RYOE!A:A&amp;RYOE!F:F, RYOE!E:E), "N/A")</f>
        <v>N/A</v>
      </c>
    </row>
    <row r="315" spans="1:14" ht="15" customHeight="1" x14ac:dyDescent="0.45">
      <c r="A315" s="8">
        <v>2024</v>
      </c>
      <c r="B315" s="6" t="s">
        <v>263</v>
      </c>
      <c r="C315" s="2" t="str">
        <f t="shared" si="8"/>
        <v>Nyheim Miller-Hines</v>
      </c>
      <c r="D315" s="2" t="str">
        <f t="shared" si="9"/>
        <v>CLE</v>
      </c>
      <c r="E315" s="2">
        <v>0</v>
      </c>
      <c r="F315" s="2">
        <v>0</v>
      </c>
      <c r="G315" s="2">
        <v>0</v>
      </c>
      <c r="H315" s="2">
        <v>0</v>
      </c>
      <c r="I315">
        <v>0</v>
      </c>
      <c r="J315">
        <v>2</v>
      </c>
      <c r="K315" cm="1">
        <f t="array" ref="K315">IFERROR(_xlfn.XLOOKUP(D315&amp;A315, RBWR!A:A&amp;RBWR!C:C, RBWR!B:B), "N/A")</f>
        <v>72</v>
      </c>
      <c r="L315" t="str" cm="1">
        <f t="array" ref="L315">IFERROR(_xlfn.XLOOKUP(C315&amp;A315, RYOE!A:A&amp;RYOE!F:F, RYOE!C:C), "N/A")</f>
        <v>N/A</v>
      </c>
      <c r="M315" t="str" cm="1">
        <f t="array" ref="M315">IFERROR(_xlfn.XLOOKUP(C315&amp;A315, RYOE!A:A&amp;RYOE!F:F, RYOE!D:D), "N/A")</f>
        <v>N/A</v>
      </c>
      <c r="N315" t="str" cm="1">
        <f t="array" ref="N315">IFERROR(_xlfn.XLOOKUP(C315&amp;A315, RYOE!A:A&amp;RYOE!F:F, RYOE!E:E), "N/A")</f>
        <v>N/A</v>
      </c>
    </row>
    <row r="316" spans="1:14" ht="15" customHeight="1" x14ac:dyDescent="0.45">
      <c r="A316" s="7">
        <v>2024</v>
      </c>
      <c r="B316" s="5" t="s">
        <v>264</v>
      </c>
      <c r="C316" s="1" t="str">
        <f t="shared" si="8"/>
        <v>John Kelly Jr.</v>
      </c>
      <c r="D316" s="1" t="str">
        <f t="shared" si="9"/>
        <v>BAL</v>
      </c>
      <c r="E316" s="1">
        <v>0</v>
      </c>
      <c r="F316" s="1">
        <v>0</v>
      </c>
      <c r="G316" s="1">
        <v>0</v>
      </c>
      <c r="H316" s="1">
        <v>0</v>
      </c>
      <c r="I316">
        <v>0</v>
      </c>
      <c r="J316">
        <v>1</v>
      </c>
      <c r="K316" cm="1">
        <f t="array" ref="K316">IFERROR(_xlfn.XLOOKUP(D316&amp;A316, RBWR!A:A&amp;RBWR!C:C, RBWR!B:B), "N/A")</f>
        <v>74</v>
      </c>
      <c r="L316" t="str" cm="1">
        <f t="array" ref="L316">IFERROR(_xlfn.XLOOKUP(C316&amp;A316, RYOE!A:A&amp;RYOE!F:F, RYOE!C:C), "N/A")</f>
        <v>N/A</v>
      </c>
      <c r="M316" t="str" cm="1">
        <f t="array" ref="M316">IFERROR(_xlfn.XLOOKUP(C316&amp;A316, RYOE!A:A&amp;RYOE!F:F, RYOE!D:D), "N/A")</f>
        <v>N/A</v>
      </c>
      <c r="N316" t="str" cm="1">
        <f t="array" ref="N316">IFERROR(_xlfn.XLOOKUP(C316&amp;A316, RYOE!A:A&amp;RYOE!F:F, RYOE!E:E), "N/A")</f>
        <v>N/A</v>
      </c>
    </row>
    <row r="317" spans="1:14" ht="15" customHeight="1" x14ac:dyDescent="0.45">
      <c r="A317" s="8">
        <v>2024</v>
      </c>
      <c r="B317" s="6" t="s">
        <v>265</v>
      </c>
      <c r="C317" s="2" t="str">
        <f t="shared" si="8"/>
        <v>Trayveon Williams</v>
      </c>
      <c r="D317" s="2" t="str">
        <f t="shared" si="9"/>
        <v>CIN</v>
      </c>
      <c r="E317" s="2">
        <v>0</v>
      </c>
      <c r="F317" s="2">
        <v>0</v>
      </c>
      <c r="G317" s="2">
        <v>0</v>
      </c>
      <c r="H317" s="2">
        <v>0</v>
      </c>
      <c r="I317">
        <v>0</v>
      </c>
      <c r="J317">
        <v>5</v>
      </c>
      <c r="K317" cm="1">
        <f t="array" ref="K317">IFERROR(_xlfn.XLOOKUP(D317&amp;A317, RBWR!A:A&amp;RBWR!C:C, RBWR!B:B), "N/A")</f>
        <v>68</v>
      </c>
      <c r="L317" t="str" cm="1">
        <f t="array" ref="L317">IFERROR(_xlfn.XLOOKUP(C317&amp;A317, RYOE!A:A&amp;RYOE!F:F, RYOE!C:C), "N/A")</f>
        <v>N/A</v>
      </c>
      <c r="M317" t="str" cm="1">
        <f t="array" ref="M317">IFERROR(_xlfn.XLOOKUP(C317&amp;A317, RYOE!A:A&amp;RYOE!F:F, RYOE!D:D), "N/A")</f>
        <v>N/A</v>
      </c>
      <c r="N317" t="str" cm="1">
        <f t="array" ref="N317">IFERROR(_xlfn.XLOOKUP(C317&amp;A317, RYOE!A:A&amp;RYOE!F:F, RYOE!E:E), "N/A")</f>
        <v>N/A</v>
      </c>
    </row>
    <row r="318" spans="1:14" ht="15" customHeight="1" x14ac:dyDescent="0.45">
      <c r="A318" s="7">
        <v>2024</v>
      </c>
      <c r="B318" s="5" t="s">
        <v>266</v>
      </c>
      <c r="C318" s="1" t="str">
        <f t="shared" si="8"/>
        <v>Jakob Johnson</v>
      </c>
      <c r="D318" s="1" t="str">
        <f t="shared" si="9"/>
        <v>NYG</v>
      </c>
      <c r="E318" s="1">
        <v>0</v>
      </c>
      <c r="F318" s="1">
        <v>0</v>
      </c>
      <c r="G318" s="1">
        <v>0</v>
      </c>
      <c r="H318" s="1">
        <v>0</v>
      </c>
      <c r="I318">
        <v>0</v>
      </c>
      <c r="J318">
        <v>1</v>
      </c>
      <c r="K318" cm="1">
        <f t="array" ref="K318">IFERROR(_xlfn.XLOOKUP(D318&amp;A318, RBWR!A:A&amp;RBWR!C:C, RBWR!B:B), "N/A")</f>
        <v>69</v>
      </c>
      <c r="L318" t="str" cm="1">
        <f t="array" ref="L318">IFERROR(_xlfn.XLOOKUP(C318&amp;A318, RYOE!A:A&amp;RYOE!F:F, RYOE!C:C), "N/A")</f>
        <v>N/A</v>
      </c>
      <c r="M318" t="str" cm="1">
        <f t="array" ref="M318">IFERROR(_xlfn.XLOOKUP(C318&amp;A318, RYOE!A:A&amp;RYOE!F:F, RYOE!D:D), "N/A")</f>
        <v>N/A</v>
      </c>
      <c r="N318" t="str" cm="1">
        <f t="array" ref="N318">IFERROR(_xlfn.XLOOKUP(C318&amp;A318, RYOE!A:A&amp;RYOE!F:F, RYOE!E:E), "N/A")</f>
        <v>N/A</v>
      </c>
    </row>
    <row r="319" spans="1:14" ht="15" customHeight="1" x14ac:dyDescent="0.45">
      <c r="A319" s="8">
        <v>2024</v>
      </c>
      <c r="B319" s="6" t="s">
        <v>267</v>
      </c>
      <c r="C319" s="2" t="str">
        <f t="shared" si="8"/>
        <v>Andrew Beck</v>
      </c>
      <c r="D319" s="2" t="str">
        <f t="shared" si="9"/>
        <v>HOU</v>
      </c>
      <c r="E319" s="2">
        <v>0</v>
      </c>
      <c r="F319" s="2">
        <v>0</v>
      </c>
      <c r="G319" s="2">
        <v>0</v>
      </c>
      <c r="H319" s="2">
        <v>0</v>
      </c>
      <c r="I319">
        <v>0</v>
      </c>
      <c r="J319">
        <v>2</v>
      </c>
      <c r="K319" cm="1">
        <f t="array" ref="K319">IFERROR(_xlfn.XLOOKUP(D319&amp;A319, RBWR!A:A&amp;RBWR!C:C, RBWR!B:B), "N/A")</f>
        <v>68</v>
      </c>
      <c r="L319" t="str" cm="1">
        <f t="array" ref="L319">IFERROR(_xlfn.XLOOKUP(C319&amp;A319, RYOE!A:A&amp;RYOE!F:F, RYOE!C:C), "N/A")</f>
        <v>N/A</v>
      </c>
      <c r="M319" t="str" cm="1">
        <f t="array" ref="M319">IFERROR(_xlfn.XLOOKUP(C319&amp;A319, RYOE!A:A&amp;RYOE!F:F, RYOE!D:D), "N/A")</f>
        <v>N/A</v>
      </c>
      <c r="N319" t="str" cm="1">
        <f t="array" ref="N319">IFERROR(_xlfn.XLOOKUP(C319&amp;A319, RYOE!A:A&amp;RYOE!F:F, RYOE!E:E), "N/A")</f>
        <v>N/A</v>
      </c>
    </row>
    <row r="320" spans="1:14" ht="15" customHeight="1" x14ac:dyDescent="0.45">
      <c r="A320" s="7">
        <v>2024</v>
      </c>
      <c r="B320" s="5" t="s">
        <v>268</v>
      </c>
      <c r="C320" s="1" t="str">
        <f t="shared" si="8"/>
        <v>Khari Blasingame</v>
      </c>
      <c r="D320" s="1" t="str">
        <f t="shared" si="9"/>
        <v>CHI</v>
      </c>
      <c r="E320" s="1">
        <v>0</v>
      </c>
      <c r="F320" s="1">
        <v>0</v>
      </c>
      <c r="G320" s="1">
        <v>0</v>
      </c>
      <c r="H320" s="1">
        <v>0</v>
      </c>
      <c r="I320">
        <v>0</v>
      </c>
      <c r="J320">
        <v>2</v>
      </c>
      <c r="K320" cm="1">
        <f t="array" ref="K320">IFERROR(_xlfn.XLOOKUP(D320&amp;A320, RBWR!A:A&amp;RBWR!C:C, RBWR!B:B), "N/A")</f>
        <v>73</v>
      </c>
      <c r="L320" t="str" cm="1">
        <f t="array" ref="L320">IFERROR(_xlfn.XLOOKUP(C320&amp;A320, RYOE!A:A&amp;RYOE!F:F, RYOE!C:C), "N/A")</f>
        <v>N/A</v>
      </c>
      <c r="M320" t="str" cm="1">
        <f t="array" ref="M320">IFERROR(_xlfn.XLOOKUP(C320&amp;A320, RYOE!A:A&amp;RYOE!F:F, RYOE!D:D), "N/A")</f>
        <v>N/A</v>
      </c>
      <c r="N320" t="str" cm="1">
        <f t="array" ref="N320">IFERROR(_xlfn.XLOOKUP(C320&amp;A320, RYOE!A:A&amp;RYOE!F:F, RYOE!E:E), "N/A")</f>
        <v>N/A</v>
      </c>
    </row>
    <row r="321" spans="1:14" ht="15" customHeight="1" x14ac:dyDescent="0.45">
      <c r="A321" s="8">
        <v>2024</v>
      </c>
      <c r="B321" s="6" t="s">
        <v>269</v>
      </c>
      <c r="C321" s="2" t="str">
        <f t="shared" si="8"/>
        <v>La'Mical Perine</v>
      </c>
      <c r="D321" s="2" t="str">
        <f t="shared" si="9"/>
        <v>PIT</v>
      </c>
      <c r="E321" s="2">
        <v>0</v>
      </c>
      <c r="F321" s="2">
        <v>0</v>
      </c>
      <c r="G321" s="2">
        <v>0</v>
      </c>
      <c r="H321" s="2">
        <v>0</v>
      </c>
      <c r="I321">
        <v>0</v>
      </c>
      <c r="J321">
        <v>1</v>
      </c>
      <c r="K321" cm="1">
        <f t="array" ref="K321">IFERROR(_xlfn.XLOOKUP(D321&amp;A321, RBWR!A:A&amp;RBWR!C:C, RBWR!B:B), "N/A")</f>
        <v>71</v>
      </c>
      <c r="L321" t="str" cm="1">
        <f t="array" ref="L321">IFERROR(_xlfn.XLOOKUP(C321&amp;A321, RYOE!A:A&amp;RYOE!F:F, RYOE!C:C), "N/A")</f>
        <v>N/A</v>
      </c>
      <c r="M321" t="str" cm="1">
        <f t="array" ref="M321">IFERROR(_xlfn.XLOOKUP(C321&amp;A321, RYOE!A:A&amp;RYOE!F:F, RYOE!D:D), "N/A")</f>
        <v>N/A</v>
      </c>
      <c r="N321" t="str" cm="1">
        <f t="array" ref="N321">IFERROR(_xlfn.XLOOKUP(C321&amp;A321, RYOE!A:A&amp;RYOE!F:F, RYOE!E:E), "N/A")</f>
        <v>N/A</v>
      </c>
    </row>
    <row r="322" spans="1:14" ht="15" customHeight="1" x14ac:dyDescent="0.45">
      <c r="A322" s="7">
        <v>2024</v>
      </c>
      <c r="B322" s="5" t="s">
        <v>270</v>
      </c>
      <c r="C322" s="1" t="str">
        <f t="shared" ref="C322:C385" si="10">TRIM(LEFT(B322, LEN(B322) - LEN(TRIM(RIGHT(SUBSTITUTE(TRIM(B322)," ",REPT(" ",100)),100)))))</f>
        <v>Keilan Robinson</v>
      </c>
      <c r="D322" s="1" t="str">
        <f t="shared" ref="D322:D385" si="11">MID(B322, FIND("(", B322) + 1, FIND(")", B322) - FIND("(", B322) - 1)</f>
        <v>JAC</v>
      </c>
      <c r="E322" s="1">
        <v>0</v>
      </c>
      <c r="F322" s="1">
        <v>0</v>
      </c>
      <c r="G322" s="1">
        <v>0</v>
      </c>
      <c r="H322" s="1">
        <v>0</v>
      </c>
      <c r="I322">
        <v>0</v>
      </c>
      <c r="J322">
        <v>1</v>
      </c>
      <c r="K322" cm="1">
        <f t="array" ref="K322">IFERROR(_xlfn.XLOOKUP(D322&amp;A322, RBWR!A:A&amp;RBWR!C:C, RBWR!B:B), "N/A")</f>
        <v>70</v>
      </c>
      <c r="L322" t="str" cm="1">
        <f t="array" ref="L322">IFERROR(_xlfn.XLOOKUP(C322&amp;A322, RYOE!A:A&amp;RYOE!F:F, RYOE!C:C), "N/A")</f>
        <v>N/A</v>
      </c>
      <c r="M322" t="str" cm="1">
        <f t="array" ref="M322">IFERROR(_xlfn.XLOOKUP(C322&amp;A322, RYOE!A:A&amp;RYOE!F:F, RYOE!D:D), "N/A")</f>
        <v>N/A</v>
      </c>
      <c r="N322" t="str" cm="1">
        <f t="array" ref="N322">IFERROR(_xlfn.XLOOKUP(C322&amp;A322, RYOE!A:A&amp;RYOE!F:F, RYOE!E:E), "N/A")</f>
        <v>N/A</v>
      </c>
    </row>
    <row r="323" spans="1:14" ht="15" customHeight="1" x14ac:dyDescent="0.45">
      <c r="A323" s="8">
        <v>2024</v>
      </c>
      <c r="B323" s="6" t="s">
        <v>271</v>
      </c>
      <c r="C323" s="2" t="str">
        <f t="shared" si="10"/>
        <v>D.J. Williams</v>
      </c>
      <c r="D323" s="2" t="str">
        <f t="shared" si="11"/>
        <v>TB</v>
      </c>
      <c r="E323" s="2">
        <v>0</v>
      </c>
      <c r="F323" s="2">
        <v>0</v>
      </c>
      <c r="G323" s="2">
        <v>0</v>
      </c>
      <c r="H323" s="2">
        <v>0</v>
      </c>
      <c r="I323">
        <v>0</v>
      </c>
      <c r="J323">
        <v>1</v>
      </c>
      <c r="K323" cm="1">
        <f t="array" ref="K323">IFERROR(_xlfn.XLOOKUP(D323&amp;A323, RBWR!A:A&amp;RBWR!C:C, RBWR!B:B), "N/A")</f>
        <v>73</v>
      </c>
      <c r="L323" t="str" cm="1">
        <f t="array" ref="L323">IFERROR(_xlfn.XLOOKUP(C323&amp;A323, RYOE!A:A&amp;RYOE!F:F, RYOE!C:C), "N/A")</f>
        <v>N/A</v>
      </c>
      <c r="M323" t="str" cm="1">
        <f t="array" ref="M323">IFERROR(_xlfn.XLOOKUP(C323&amp;A323, RYOE!A:A&amp;RYOE!F:F, RYOE!D:D), "N/A")</f>
        <v>N/A</v>
      </c>
      <c r="N323" t="str" cm="1">
        <f t="array" ref="N323">IFERROR(_xlfn.XLOOKUP(C323&amp;A323, RYOE!A:A&amp;RYOE!F:F, RYOE!E:E), "N/A")</f>
        <v>N/A</v>
      </c>
    </row>
    <row r="324" spans="1:14" ht="15" customHeight="1" x14ac:dyDescent="0.45">
      <c r="A324" s="7">
        <v>2024</v>
      </c>
      <c r="B324" s="5" t="s">
        <v>174</v>
      </c>
      <c r="C324" s="1" t="str">
        <f t="shared" si="10"/>
        <v>Kendall Milton</v>
      </c>
      <c r="D324" s="1" t="str">
        <f t="shared" si="11"/>
        <v>CIN</v>
      </c>
      <c r="E324" s="1">
        <v>0</v>
      </c>
      <c r="F324" s="1">
        <v>0</v>
      </c>
      <c r="G324" s="1">
        <v>0</v>
      </c>
      <c r="H324" s="1">
        <v>0</v>
      </c>
      <c r="I324">
        <v>0</v>
      </c>
      <c r="J324">
        <v>2</v>
      </c>
      <c r="K324" cm="1">
        <f t="array" ref="K324">IFERROR(_xlfn.XLOOKUP(D324&amp;A324, RBWR!A:A&amp;RBWR!C:C, RBWR!B:B), "N/A")</f>
        <v>68</v>
      </c>
      <c r="L324" t="str" cm="1">
        <f t="array" ref="L324">IFERROR(_xlfn.XLOOKUP(C324&amp;A324, RYOE!A:A&amp;RYOE!F:F, RYOE!C:C), "N/A")</f>
        <v>N/A</v>
      </c>
      <c r="M324" t="str" cm="1">
        <f t="array" ref="M324">IFERROR(_xlfn.XLOOKUP(C324&amp;A324, RYOE!A:A&amp;RYOE!F:F, RYOE!D:D), "N/A")</f>
        <v>N/A</v>
      </c>
      <c r="N324" t="str" cm="1">
        <f t="array" ref="N324">IFERROR(_xlfn.XLOOKUP(C324&amp;A324, RYOE!A:A&amp;RYOE!F:F, RYOE!E:E), "N/A")</f>
        <v>N/A</v>
      </c>
    </row>
    <row r="325" spans="1:14" ht="15" customHeight="1" x14ac:dyDescent="0.45">
      <c r="A325" s="8">
        <v>2024</v>
      </c>
      <c r="B325" s="6" t="s">
        <v>186</v>
      </c>
      <c r="C325" s="2" t="str">
        <f t="shared" si="10"/>
        <v>Keaontay Ingram</v>
      </c>
      <c r="D325" s="2" t="str">
        <f t="shared" si="11"/>
        <v>KC</v>
      </c>
      <c r="E325" s="2">
        <v>0</v>
      </c>
      <c r="F325" s="2">
        <v>0</v>
      </c>
      <c r="G325" s="2">
        <v>0</v>
      </c>
      <c r="H325" s="2">
        <v>0</v>
      </c>
      <c r="I325">
        <v>0</v>
      </c>
      <c r="J325">
        <v>1</v>
      </c>
      <c r="K325" cm="1">
        <f t="array" ref="K325">IFERROR(_xlfn.XLOOKUP(D325&amp;A325, RBWR!A:A&amp;RBWR!C:C, RBWR!B:B), "N/A")</f>
        <v>73</v>
      </c>
      <c r="L325" t="str" cm="1">
        <f t="array" ref="L325">IFERROR(_xlfn.XLOOKUP(C325&amp;A325, RYOE!A:A&amp;RYOE!F:F, RYOE!C:C), "N/A")</f>
        <v>N/A</v>
      </c>
      <c r="M325" t="str" cm="1">
        <f t="array" ref="M325">IFERROR(_xlfn.XLOOKUP(C325&amp;A325, RYOE!A:A&amp;RYOE!F:F, RYOE!D:D), "N/A")</f>
        <v>N/A</v>
      </c>
      <c r="N325" t="str" cm="1">
        <f t="array" ref="N325">IFERROR(_xlfn.XLOOKUP(C325&amp;A325, RYOE!A:A&amp;RYOE!F:F, RYOE!E:E), "N/A")</f>
        <v>N/A</v>
      </c>
    </row>
    <row r="326" spans="1:14" ht="15" customHeight="1" x14ac:dyDescent="0.45">
      <c r="A326" s="7">
        <v>2024</v>
      </c>
      <c r="B326" s="5" t="s">
        <v>272</v>
      </c>
      <c r="C326" s="1" t="str">
        <f t="shared" si="10"/>
        <v>Avery Williams</v>
      </c>
      <c r="D326" s="1" t="str">
        <f t="shared" si="11"/>
        <v>ATL</v>
      </c>
      <c r="E326" s="1">
        <v>0</v>
      </c>
      <c r="F326" s="1">
        <v>0</v>
      </c>
      <c r="G326" s="1">
        <v>0</v>
      </c>
      <c r="H326" s="1">
        <v>0</v>
      </c>
      <c r="I326">
        <v>0</v>
      </c>
      <c r="J326">
        <v>17</v>
      </c>
      <c r="K326" cm="1">
        <f t="array" ref="K326">IFERROR(_xlfn.XLOOKUP(D326&amp;A326, RBWR!A:A&amp;RBWR!C:C, RBWR!B:B), "N/A")</f>
        <v>71</v>
      </c>
      <c r="L326" t="str" cm="1">
        <f t="array" ref="L326">IFERROR(_xlfn.XLOOKUP(C326&amp;A326, RYOE!A:A&amp;RYOE!F:F, RYOE!C:C), "N/A")</f>
        <v>N/A</v>
      </c>
      <c r="M326" t="str" cm="1">
        <f t="array" ref="M326">IFERROR(_xlfn.XLOOKUP(C326&amp;A326, RYOE!A:A&amp;RYOE!F:F, RYOE!D:D), "N/A")</f>
        <v>N/A</v>
      </c>
      <c r="N326" t="str" cm="1">
        <f t="array" ref="N326">IFERROR(_xlfn.XLOOKUP(C326&amp;A326, RYOE!A:A&amp;RYOE!F:F, RYOE!E:E), "N/A")</f>
        <v>N/A</v>
      </c>
    </row>
    <row r="327" spans="1:14" ht="15" customHeight="1" x14ac:dyDescent="0.45">
      <c r="A327" s="8">
        <v>2024</v>
      </c>
      <c r="B327" s="6" t="s">
        <v>273</v>
      </c>
      <c r="C327" s="2" t="str">
        <f t="shared" si="10"/>
        <v>Gary Brightwell</v>
      </c>
      <c r="D327" s="2" t="str">
        <f t="shared" si="11"/>
        <v>CLE</v>
      </c>
      <c r="E327" s="2">
        <v>0</v>
      </c>
      <c r="F327" s="2">
        <v>0</v>
      </c>
      <c r="G327" s="2">
        <v>0</v>
      </c>
      <c r="H327" s="2">
        <v>0</v>
      </c>
      <c r="I327">
        <v>0</v>
      </c>
      <c r="J327">
        <v>1</v>
      </c>
      <c r="K327" cm="1">
        <f t="array" ref="K327">IFERROR(_xlfn.XLOOKUP(D327&amp;A327, RBWR!A:A&amp;RBWR!C:C, RBWR!B:B), "N/A")</f>
        <v>72</v>
      </c>
      <c r="L327" t="str" cm="1">
        <f t="array" ref="L327">IFERROR(_xlfn.XLOOKUP(C327&amp;A327, RYOE!A:A&amp;RYOE!F:F, RYOE!C:C), "N/A")</f>
        <v>N/A</v>
      </c>
      <c r="M327" t="str" cm="1">
        <f t="array" ref="M327">IFERROR(_xlfn.XLOOKUP(C327&amp;A327, RYOE!A:A&amp;RYOE!F:F, RYOE!D:D), "N/A")</f>
        <v>N/A</v>
      </c>
      <c r="N327" t="str" cm="1">
        <f t="array" ref="N327">IFERROR(_xlfn.XLOOKUP(C327&amp;A327, RYOE!A:A&amp;RYOE!F:F, RYOE!E:E), "N/A")</f>
        <v>N/A</v>
      </c>
    </row>
    <row r="328" spans="1:14" ht="15" customHeight="1" x14ac:dyDescent="0.45">
      <c r="A328" s="7">
        <v>2024</v>
      </c>
      <c r="B328" s="5" t="s">
        <v>274</v>
      </c>
      <c r="C328" s="1" t="str">
        <f t="shared" si="10"/>
        <v>Adam Prentice</v>
      </c>
      <c r="D328" s="1" t="str">
        <f t="shared" si="11"/>
        <v>NO</v>
      </c>
      <c r="E328" s="1">
        <v>0</v>
      </c>
      <c r="F328" s="1">
        <v>0</v>
      </c>
      <c r="G328" s="1">
        <v>0</v>
      </c>
      <c r="H328" s="1">
        <v>0</v>
      </c>
      <c r="I328">
        <v>0</v>
      </c>
      <c r="J328">
        <v>9</v>
      </c>
      <c r="K328" cm="1">
        <f t="array" ref="K328">IFERROR(_xlfn.XLOOKUP(D328&amp;A328, RBWR!A:A&amp;RBWR!C:C, RBWR!B:B), "N/A")</f>
        <v>71</v>
      </c>
      <c r="L328" t="str" cm="1">
        <f t="array" ref="L328">IFERROR(_xlfn.XLOOKUP(C328&amp;A328, RYOE!A:A&amp;RYOE!F:F, RYOE!C:C), "N/A")</f>
        <v>N/A</v>
      </c>
      <c r="M328" t="str" cm="1">
        <f t="array" ref="M328">IFERROR(_xlfn.XLOOKUP(C328&amp;A328, RYOE!A:A&amp;RYOE!F:F, RYOE!D:D), "N/A")</f>
        <v>N/A</v>
      </c>
      <c r="N328" t="str" cm="1">
        <f t="array" ref="N328">IFERROR(_xlfn.XLOOKUP(C328&amp;A328, RYOE!A:A&amp;RYOE!F:F, RYOE!E:E), "N/A")</f>
        <v>N/A</v>
      </c>
    </row>
    <row r="329" spans="1:14" ht="15" customHeight="1" x14ac:dyDescent="0.45">
      <c r="A329" s="8">
        <v>2024</v>
      </c>
      <c r="B329" s="6" t="s">
        <v>275</v>
      </c>
      <c r="C329" s="2" t="str">
        <f t="shared" si="10"/>
        <v>Velus Jones Jr.</v>
      </c>
      <c r="D329" s="2" t="str">
        <f t="shared" si="11"/>
        <v>CAR</v>
      </c>
      <c r="E329" s="2">
        <v>3</v>
      </c>
      <c r="F329" s="2">
        <v>11</v>
      </c>
      <c r="G329" s="2">
        <v>3.7</v>
      </c>
      <c r="H329" s="2">
        <v>0</v>
      </c>
      <c r="I329">
        <v>1</v>
      </c>
      <c r="J329">
        <v>2</v>
      </c>
      <c r="K329" cm="1">
        <f t="array" ref="K329">IFERROR(_xlfn.XLOOKUP(D329&amp;A329, RBWR!A:A&amp;RBWR!C:C, RBWR!B:B), "N/A")</f>
        <v>72</v>
      </c>
      <c r="L329" t="str" cm="1">
        <f t="array" ref="L329">IFERROR(_xlfn.XLOOKUP(C329&amp;A329, RYOE!A:A&amp;RYOE!F:F, RYOE!C:C), "N/A")</f>
        <v>N/A</v>
      </c>
      <c r="M329" t="str" cm="1">
        <f t="array" ref="M329">IFERROR(_xlfn.XLOOKUP(C329&amp;A329, RYOE!A:A&amp;RYOE!F:F, RYOE!D:D), "N/A")</f>
        <v>N/A</v>
      </c>
      <c r="N329" t="str" cm="1">
        <f t="array" ref="N329">IFERROR(_xlfn.XLOOKUP(C329&amp;A329, RYOE!A:A&amp;RYOE!F:F, RYOE!E:E), "N/A")</f>
        <v>N/A</v>
      </c>
    </row>
    <row r="330" spans="1:14" ht="15" customHeight="1" x14ac:dyDescent="0.45">
      <c r="A330" s="7">
        <v>2024</v>
      </c>
      <c r="B330" s="5" t="s">
        <v>276</v>
      </c>
      <c r="C330" s="1" t="str">
        <f t="shared" si="10"/>
        <v>Jabari Small</v>
      </c>
      <c r="D330" s="1" t="str">
        <f t="shared" si="11"/>
        <v>TEN</v>
      </c>
      <c r="E330" s="1">
        <v>0</v>
      </c>
      <c r="F330" s="1">
        <v>0</v>
      </c>
      <c r="G330" s="1">
        <v>0</v>
      </c>
      <c r="H330" s="1">
        <v>0</v>
      </c>
      <c r="I330">
        <v>0</v>
      </c>
      <c r="J330">
        <v>1</v>
      </c>
      <c r="K330" cm="1">
        <f t="array" ref="K330">IFERROR(_xlfn.XLOOKUP(D330&amp;A330, RBWR!A:A&amp;RBWR!C:C, RBWR!B:B), "N/A")</f>
        <v>71</v>
      </c>
      <c r="L330" t="str" cm="1">
        <f t="array" ref="L330">IFERROR(_xlfn.XLOOKUP(C330&amp;A330, RYOE!A:A&amp;RYOE!F:F, RYOE!C:C), "N/A")</f>
        <v>N/A</v>
      </c>
      <c r="M330" t="str" cm="1">
        <f t="array" ref="M330">IFERROR(_xlfn.XLOOKUP(C330&amp;A330, RYOE!A:A&amp;RYOE!F:F, RYOE!D:D), "N/A")</f>
        <v>N/A</v>
      </c>
      <c r="N330" t="str" cm="1">
        <f t="array" ref="N330">IFERROR(_xlfn.XLOOKUP(C330&amp;A330, RYOE!A:A&amp;RYOE!F:F, RYOE!E:E), "N/A")</f>
        <v>N/A</v>
      </c>
    </row>
    <row r="331" spans="1:14" ht="15" customHeight="1" x14ac:dyDescent="0.45">
      <c r="A331" s="8">
        <v>2024</v>
      </c>
      <c r="B331" s="6" t="s">
        <v>141</v>
      </c>
      <c r="C331" s="2" t="str">
        <f t="shared" si="10"/>
        <v>Connor Heyward</v>
      </c>
      <c r="D331" s="2" t="str">
        <f t="shared" si="11"/>
        <v>PIT</v>
      </c>
      <c r="E331" s="2">
        <v>0</v>
      </c>
      <c r="F331" s="2">
        <v>0</v>
      </c>
      <c r="G331" s="2">
        <v>0</v>
      </c>
      <c r="H331" s="2">
        <v>0</v>
      </c>
      <c r="I331">
        <v>0</v>
      </c>
      <c r="J331">
        <v>17</v>
      </c>
      <c r="K331" cm="1">
        <f t="array" ref="K331">IFERROR(_xlfn.XLOOKUP(D331&amp;A331, RBWR!A:A&amp;RBWR!C:C, RBWR!B:B), "N/A")</f>
        <v>71</v>
      </c>
      <c r="L331" t="str" cm="1">
        <f t="array" ref="L331">IFERROR(_xlfn.XLOOKUP(C331&amp;A331, RYOE!A:A&amp;RYOE!F:F, RYOE!C:C), "N/A")</f>
        <v>N/A</v>
      </c>
      <c r="M331" t="str" cm="1">
        <f t="array" ref="M331">IFERROR(_xlfn.XLOOKUP(C331&amp;A331, RYOE!A:A&amp;RYOE!F:F, RYOE!D:D), "N/A")</f>
        <v>N/A</v>
      </c>
      <c r="N331" t="str" cm="1">
        <f t="array" ref="N331">IFERROR(_xlfn.XLOOKUP(C331&amp;A331, RYOE!A:A&amp;RYOE!F:F, RYOE!E:E), "N/A")</f>
        <v>N/A</v>
      </c>
    </row>
    <row r="332" spans="1:14" ht="15" customHeight="1" x14ac:dyDescent="0.45">
      <c r="A332" s="7">
        <v>2024</v>
      </c>
      <c r="B332" s="5" t="s">
        <v>277</v>
      </c>
      <c r="C332" s="1" t="str">
        <f t="shared" si="10"/>
        <v>Troy Hairston II</v>
      </c>
      <c r="D332" s="1" t="str">
        <f t="shared" si="11"/>
        <v>HOU</v>
      </c>
      <c r="E332" s="1">
        <v>0</v>
      </c>
      <c r="F332" s="1">
        <v>0</v>
      </c>
      <c r="G332" s="1">
        <v>0</v>
      </c>
      <c r="H332" s="1">
        <v>0</v>
      </c>
      <c r="I332">
        <v>0</v>
      </c>
      <c r="J332">
        <v>2</v>
      </c>
      <c r="K332" cm="1">
        <f t="array" ref="K332">IFERROR(_xlfn.XLOOKUP(D332&amp;A332, RBWR!A:A&amp;RBWR!C:C, RBWR!B:B), "N/A")</f>
        <v>68</v>
      </c>
      <c r="L332" t="str" cm="1">
        <f t="array" ref="L332">IFERROR(_xlfn.XLOOKUP(C332&amp;A332, RYOE!A:A&amp;RYOE!F:F, RYOE!C:C), "N/A")</f>
        <v>N/A</v>
      </c>
      <c r="M332" t="str" cm="1">
        <f t="array" ref="M332">IFERROR(_xlfn.XLOOKUP(C332&amp;A332, RYOE!A:A&amp;RYOE!F:F, RYOE!D:D), "N/A")</f>
        <v>N/A</v>
      </c>
      <c r="N332" t="str" cm="1">
        <f t="array" ref="N332">IFERROR(_xlfn.XLOOKUP(C332&amp;A332, RYOE!A:A&amp;RYOE!F:F, RYOE!E:E), "N/A")</f>
        <v>N/A</v>
      </c>
    </row>
    <row r="333" spans="1:14" ht="15" customHeight="1" x14ac:dyDescent="0.45">
      <c r="A333" s="8">
        <v>2024</v>
      </c>
      <c r="B333" s="6" t="s">
        <v>179</v>
      </c>
      <c r="C333" s="2" t="str">
        <f t="shared" si="10"/>
        <v>Scott Matlock</v>
      </c>
      <c r="D333" s="2" t="str">
        <f t="shared" si="11"/>
        <v>LAC</v>
      </c>
      <c r="E333" s="2">
        <v>0</v>
      </c>
      <c r="F333" s="2">
        <v>0</v>
      </c>
      <c r="G333" s="2">
        <v>0</v>
      </c>
      <c r="H333" s="2">
        <v>0</v>
      </c>
      <c r="I333">
        <v>0</v>
      </c>
      <c r="J333">
        <v>17</v>
      </c>
      <c r="K333" cm="1">
        <f t="array" ref="K333">IFERROR(_xlfn.XLOOKUP(D333&amp;A333, RBWR!A:A&amp;RBWR!C:C, RBWR!B:B), "N/A")</f>
        <v>72</v>
      </c>
      <c r="L333" t="str" cm="1">
        <f t="array" ref="L333">IFERROR(_xlfn.XLOOKUP(C333&amp;A333, RYOE!A:A&amp;RYOE!F:F, RYOE!C:C), "N/A")</f>
        <v>N/A</v>
      </c>
      <c r="M333" t="str" cm="1">
        <f t="array" ref="M333">IFERROR(_xlfn.XLOOKUP(C333&amp;A333, RYOE!A:A&amp;RYOE!F:F, RYOE!D:D), "N/A")</f>
        <v>N/A</v>
      </c>
      <c r="N333" t="str" cm="1">
        <f t="array" ref="N333">IFERROR(_xlfn.XLOOKUP(C333&amp;A333, RYOE!A:A&amp;RYOE!F:F, RYOE!E:E), "N/A")</f>
        <v>N/A</v>
      </c>
    </row>
    <row r="334" spans="1:14" ht="15" customHeight="1" x14ac:dyDescent="0.45">
      <c r="A334" s="7">
        <v>2024</v>
      </c>
      <c r="B334" s="5" t="s">
        <v>278</v>
      </c>
      <c r="C334" s="1" t="str">
        <f t="shared" si="10"/>
        <v>Kazmeir Allen</v>
      </c>
      <c r="D334" s="1" t="str">
        <f t="shared" si="11"/>
        <v>WAS</v>
      </c>
      <c r="E334" s="1">
        <v>0</v>
      </c>
      <c r="F334" s="1">
        <v>0</v>
      </c>
      <c r="G334" s="1">
        <v>0</v>
      </c>
      <c r="H334" s="1">
        <v>0</v>
      </c>
      <c r="I334">
        <v>0</v>
      </c>
      <c r="J334">
        <v>1</v>
      </c>
      <c r="K334" cm="1">
        <f t="array" ref="K334">IFERROR(_xlfn.XLOOKUP(D334&amp;A334, RBWR!A:A&amp;RBWR!C:C, RBWR!B:B), "N/A")</f>
        <v>74</v>
      </c>
      <c r="L334" t="str" cm="1">
        <f t="array" ref="L334">IFERROR(_xlfn.XLOOKUP(C334&amp;A334, RYOE!A:A&amp;RYOE!F:F, RYOE!C:C), "N/A")</f>
        <v>N/A</v>
      </c>
      <c r="M334" t="str" cm="1">
        <f t="array" ref="M334">IFERROR(_xlfn.XLOOKUP(C334&amp;A334, RYOE!A:A&amp;RYOE!F:F, RYOE!D:D), "N/A")</f>
        <v>N/A</v>
      </c>
      <c r="N334" t="str" cm="1">
        <f t="array" ref="N334">IFERROR(_xlfn.XLOOKUP(C334&amp;A334, RYOE!A:A&amp;RYOE!F:F, RYOE!E:E), "N/A")</f>
        <v>N/A</v>
      </c>
    </row>
    <row r="335" spans="1:14" ht="15" customHeight="1" x14ac:dyDescent="0.45">
      <c r="A335" s="8">
        <v>2024</v>
      </c>
      <c r="B335" s="6" t="s">
        <v>279</v>
      </c>
      <c r="C335" s="2" t="str">
        <f t="shared" si="10"/>
        <v>Ben VanSumeren</v>
      </c>
      <c r="D335" s="2" t="str">
        <f t="shared" si="11"/>
        <v>PHI</v>
      </c>
      <c r="E335" s="2">
        <v>0</v>
      </c>
      <c r="F335" s="2">
        <v>0</v>
      </c>
      <c r="G335" s="2">
        <v>0</v>
      </c>
      <c r="H335" s="2">
        <v>0</v>
      </c>
      <c r="I335">
        <v>0</v>
      </c>
      <c r="J335">
        <v>7</v>
      </c>
      <c r="K335" cm="1">
        <f t="array" ref="K335">IFERROR(_xlfn.XLOOKUP(D335&amp;A335, RBWR!A:A&amp;RBWR!C:C, RBWR!B:B), "N/A")</f>
        <v>72</v>
      </c>
      <c r="L335" t="str" cm="1">
        <f t="array" ref="L335">IFERROR(_xlfn.XLOOKUP(C335&amp;A335, RYOE!A:A&amp;RYOE!F:F, RYOE!C:C), "N/A")</f>
        <v>N/A</v>
      </c>
      <c r="M335" t="str" cm="1">
        <f t="array" ref="M335">IFERROR(_xlfn.XLOOKUP(C335&amp;A335, RYOE!A:A&amp;RYOE!F:F, RYOE!D:D), "N/A")</f>
        <v>N/A</v>
      </c>
      <c r="N335" t="str" cm="1">
        <f t="array" ref="N335">IFERROR(_xlfn.XLOOKUP(C335&amp;A335, RYOE!A:A&amp;RYOE!F:F, RYOE!E:E), "N/A")</f>
        <v>N/A</v>
      </c>
    </row>
    <row r="336" spans="1:14" ht="15" customHeight="1" x14ac:dyDescent="0.45">
      <c r="A336" s="7">
        <v>2024</v>
      </c>
      <c r="B336" s="5" t="s">
        <v>200</v>
      </c>
      <c r="C336" s="1" t="str">
        <f t="shared" si="10"/>
        <v>Brady Russell</v>
      </c>
      <c r="D336" s="1" t="str">
        <f t="shared" si="11"/>
        <v>SEA</v>
      </c>
      <c r="E336" s="1">
        <v>0</v>
      </c>
      <c r="F336" s="1">
        <v>0</v>
      </c>
      <c r="G336" s="1">
        <v>0</v>
      </c>
      <c r="H336" s="1">
        <v>0</v>
      </c>
      <c r="I336">
        <v>0</v>
      </c>
      <c r="J336">
        <v>11</v>
      </c>
      <c r="K336" cm="1">
        <f t="array" ref="K336">IFERROR(_xlfn.XLOOKUP(D336&amp;A336, RBWR!A:A&amp;RBWR!C:C, RBWR!B:B), "N/A")</f>
        <v>69</v>
      </c>
      <c r="L336" t="str" cm="1">
        <f t="array" ref="L336">IFERROR(_xlfn.XLOOKUP(C336&amp;A336, RYOE!A:A&amp;RYOE!F:F, RYOE!C:C), "N/A")</f>
        <v>N/A</v>
      </c>
      <c r="M336" t="str" cm="1">
        <f t="array" ref="M336">IFERROR(_xlfn.XLOOKUP(C336&amp;A336, RYOE!A:A&amp;RYOE!F:F, RYOE!D:D), "N/A")</f>
        <v>N/A</v>
      </c>
      <c r="N336" t="str" cm="1">
        <f t="array" ref="N336">IFERROR(_xlfn.XLOOKUP(C336&amp;A336, RYOE!A:A&amp;RYOE!F:F, RYOE!E:E), "N/A")</f>
        <v>N/A</v>
      </c>
    </row>
    <row r="337" spans="1:14" ht="15" customHeight="1" x14ac:dyDescent="0.45">
      <c r="A337" s="8">
        <v>2024</v>
      </c>
      <c r="B337" s="6" t="s">
        <v>192</v>
      </c>
      <c r="C337" s="2" t="str">
        <f t="shared" si="10"/>
        <v>Jack Westover</v>
      </c>
      <c r="D337" s="2" t="str">
        <f t="shared" si="11"/>
        <v>NE</v>
      </c>
      <c r="E337" s="2">
        <v>0</v>
      </c>
      <c r="F337" s="2">
        <v>0</v>
      </c>
      <c r="G337" s="2">
        <v>0</v>
      </c>
      <c r="H337" s="2">
        <v>0</v>
      </c>
      <c r="I337">
        <v>0</v>
      </c>
      <c r="J337">
        <v>2</v>
      </c>
      <c r="K337" cm="1">
        <f t="array" ref="K337">IFERROR(_xlfn.XLOOKUP(D337&amp;A337, RBWR!A:A&amp;RBWR!C:C, RBWR!B:B), "N/A")</f>
        <v>67</v>
      </c>
      <c r="L337" t="str" cm="1">
        <f t="array" ref="L337">IFERROR(_xlfn.XLOOKUP(C337&amp;A337, RYOE!A:A&amp;RYOE!F:F, RYOE!C:C), "N/A")</f>
        <v>N/A</v>
      </c>
      <c r="M337" t="str" cm="1">
        <f t="array" ref="M337">IFERROR(_xlfn.XLOOKUP(C337&amp;A337, RYOE!A:A&amp;RYOE!F:F, RYOE!D:D), "N/A")</f>
        <v>N/A</v>
      </c>
      <c r="N337" t="str" cm="1">
        <f t="array" ref="N337">IFERROR(_xlfn.XLOOKUP(C337&amp;A337, RYOE!A:A&amp;RYOE!F:F, RYOE!E:E), "N/A")</f>
        <v>N/A</v>
      </c>
    </row>
    <row r="338" spans="1:14" ht="15" customHeight="1" x14ac:dyDescent="0.45">
      <c r="A338" s="7">
        <v>2024</v>
      </c>
      <c r="B338" s="5" t="s">
        <v>280</v>
      </c>
      <c r="C338" s="1" t="str">
        <f t="shared" si="10"/>
        <v>Dante Miller</v>
      </c>
      <c r="D338" s="1" t="str">
        <f t="shared" si="11"/>
        <v>NYG</v>
      </c>
      <c r="E338" s="1">
        <v>0</v>
      </c>
      <c r="F338" s="1">
        <v>0</v>
      </c>
      <c r="G338" s="1">
        <v>0</v>
      </c>
      <c r="H338" s="1">
        <v>0</v>
      </c>
      <c r="I338">
        <v>0</v>
      </c>
      <c r="J338">
        <v>2</v>
      </c>
      <c r="K338" cm="1">
        <f t="array" ref="K338">IFERROR(_xlfn.XLOOKUP(D338&amp;A338, RBWR!A:A&amp;RBWR!C:C, RBWR!B:B), "N/A")</f>
        <v>69</v>
      </c>
      <c r="L338" t="str" cm="1">
        <f t="array" ref="L338">IFERROR(_xlfn.XLOOKUP(C338&amp;A338, RYOE!A:A&amp;RYOE!F:F, RYOE!C:C), "N/A")</f>
        <v>N/A</v>
      </c>
      <c r="M338" t="str" cm="1">
        <f t="array" ref="M338">IFERROR(_xlfn.XLOOKUP(C338&amp;A338, RYOE!A:A&amp;RYOE!F:F, RYOE!D:D), "N/A")</f>
        <v>N/A</v>
      </c>
      <c r="N338" t="str" cm="1">
        <f t="array" ref="N338">IFERROR(_xlfn.XLOOKUP(C338&amp;A338, RYOE!A:A&amp;RYOE!F:F, RYOE!E:E), "N/A")</f>
        <v>N/A</v>
      </c>
    </row>
    <row r="339" spans="1:14" ht="15" customHeight="1" x14ac:dyDescent="0.45">
      <c r="A339" s="8">
        <v>2024</v>
      </c>
      <c r="B339" s="6" t="s">
        <v>162</v>
      </c>
      <c r="C339" s="2" t="str">
        <f t="shared" si="10"/>
        <v>Dylan Laube</v>
      </c>
      <c r="D339" s="2" t="str">
        <f t="shared" si="11"/>
        <v>LV</v>
      </c>
      <c r="E339" s="2">
        <v>1</v>
      </c>
      <c r="F339" s="2">
        <v>0</v>
      </c>
      <c r="G339" s="2">
        <v>0</v>
      </c>
      <c r="H339" s="2">
        <v>0</v>
      </c>
      <c r="I339">
        <v>1</v>
      </c>
      <c r="J339">
        <v>6</v>
      </c>
      <c r="K339" cm="1">
        <f t="array" ref="K339">IFERROR(_xlfn.XLOOKUP(D339&amp;A339, RBWR!A:A&amp;RBWR!C:C, RBWR!B:B), "N/A")</f>
        <v>71</v>
      </c>
      <c r="L339" t="str" cm="1">
        <f t="array" ref="L339">IFERROR(_xlfn.XLOOKUP(C339&amp;A339, RYOE!A:A&amp;RYOE!F:F, RYOE!C:C), "N/A")</f>
        <v>N/A</v>
      </c>
      <c r="M339" t="str" cm="1">
        <f t="array" ref="M339">IFERROR(_xlfn.XLOOKUP(C339&amp;A339, RYOE!A:A&amp;RYOE!F:F, RYOE!D:D), "N/A")</f>
        <v>N/A</v>
      </c>
      <c r="N339" t="str" cm="1">
        <f t="array" ref="N339">IFERROR(_xlfn.XLOOKUP(C339&amp;A339, RYOE!A:A&amp;RYOE!F:F, RYOE!E:E), "N/A")</f>
        <v>N/A</v>
      </c>
    </row>
    <row r="340" spans="1:14" ht="15" customHeight="1" x14ac:dyDescent="0.45">
      <c r="A340" s="7">
        <v>2023</v>
      </c>
      <c r="B340" s="5" t="s">
        <v>40</v>
      </c>
      <c r="C340" s="1" t="str">
        <f t="shared" si="10"/>
        <v>Christian McCaffrey</v>
      </c>
      <c r="D340" s="1" t="str">
        <f t="shared" si="11"/>
        <v>SF</v>
      </c>
      <c r="E340" s="1">
        <v>272</v>
      </c>
      <c r="F340" s="1">
        <v>1459</v>
      </c>
      <c r="G340" s="1">
        <v>5.4</v>
      </c>
      <c r="H340" s="1">
        <v>14</v>
      </c>
      <c r="I340">
        <v>2</v>
      </c>
      <c r="J340">
        <v>16</v>
      </c>
      <c r="K340" cm="1">
        <f t="array" ref="K340">IFERROR(_xlfn.XLOOKUP(D340&amp;A340, RBWR!A:A&amp;RBWR!C:C, RBWR!B:B), "N/A")</f>
        <v>69</v>
      </c>
      <c r="L340" cm="1">
        <f t="array" ref="L340">IFERROR(_xlfn.XLOOKUP(C340&amp;A340, RYOE!A:A&amp;RYOE!F:F, RYOE!C:C), "N/A")</f>
        <v>355</v>
      </c>
      <c r="M340" cm="1">
        <f t="array" ref="M340">IFERROR(_xlfn.XLOOKUP(C340&amp;A340, RYOE!A:A&amp;RYOE!F:F, RYOE!D:D), "N/A")</f>
        <v>1.34</v>
      </c>
      <c r="N340" cm="1">
        <f t="array" ref="N340">IFERROR(_xlfn.XLOOKUP(C340&amp;A340, RYOE!A:A&amp;RYOE!F:F, RYOE!E:E), "N/A")</f>
        <v>46.8</v>
      </c>
    </row>
    <row r="341" spans="1:14" ht="15" customHeight="1" x14ac:dyDescent="0.45">
      <c r="A341" s="8">
        <v>2023</v>
      </c>
      <c r="B341" s="6" t="s">
        <v>222</v>
      </c>
      <c r="C341" s="2" t="str">
        <f t="shared" si="10"/>
        <v>Raheem Mostert</v>
      </c>
      <c r="D341" s="2" t="str">
        <f t="shared" si="11"/>
        <v>MIA</v>
      </c>
      <c r="E341" s="2">
        <v>209</v>
      </c>
      <c r="F341" s="2">
        <v>1012</v>
      </c>
      <c r="G341" s="2">
        <v>4.8</v>
      </c>
      <c r="H341" s="2">
        <v>18</v>
      </c>
      <c r="I341">
        <v>1</v>
      </c>
      <c r="J341">
        <v>15</v>
      </c>
      <c r="K341" cm="1">
        <f t="array" ref="K341">IFERROR(_xlfn.XLOOKUP(D341&amp;A341, RBWR!A:A&amp;RBWR!C:C, RBWR!B:B), "N/A")</f>
        <v>71</v>
      </c>
      <c r="L341" cm="1">
        <f t="array" ref="L341">IFERROR(_xlfn.XLOOKUP(C341&amp;A341, RYOE!A:A&amp;RYOE!F:F, RYOE!C:C), "N/A")</f>
        <v>126</v>
      </c>
      <c r="M341" cm="1">
        <f t="array" ref="M341">IFERROR(_xlfn.XLOOKUP(C341&amp;A341, RYOE!A:A&amp;RYOE!F:F, RYOE!D:D), "N/A")</f>
        <v>0.61</v>
      </c>
      <c r="N341" cm="1">
        <f t="array" ref="N341">IFERROR(_xlfn.XLOOKUP(C341&amp;A341, RYOE!A:A&amp;RYOE!F:F, RYOE!E:E), "N/A")</f>
        <v>38.5</v>
      </c>
    </row>
    <row r="342" spans="1:14" ht="15" customHeight="1" x14ac:dyDescent="0.45">
      <c r="A342" s="7">
        <v>2023</v>
      </c>
      <c r="B342" s="5" t="s">
        <v>43</v>
      </c>
      <c r="C342" s="1" t="str">
        <f t="shared" si="10"/>
        <v>Travis Etienne Jr.</v>
      </c>
      <c r="D342" s="1" t="str">
        <f t="shared" si="11"/>
        <v>JAC</v>
      </c>
      <c r="E342" s="1">
        <v>267</v>
      </c>
      <c r="F342" s="1">
        <v>1008</v>
      </c>
      <c r="G342" s="1">
        <v>3.8</v>
      </c>
      <c r="H342" s="1">
        <v>11</v>
      </c>
      <c r="I342">
        <v>0</v>
      </c>
      <c r="J342">
        <v>17</v>
      </c>
      <c r="K342" cm="1">
        <f t="array" ref="K342">IFERROR(_xlfn.XLOOKUP(D342&amp;A342, RBWR!A:A&amp;RBWR!C:C, RBWR!B:B), "N/A")</f>
        <v>70</v>
      </c>
      <c r="L342" cm="1">
        <f t="array" ref="L342">IFERROR(_xlfn.XLOOKUP(C342&amp;A342, RYOE!A:A&amp;RYOE!F:F, RYOE!C:C), "N/A")</f>
        <v>-77</v>
      </c>
      <c r="M342" cm="1">
        <f t="array" ref="M342">IFERROR(_xlfn.XLOOKUP(C342&amp;A342, RYOE!A:A&amp;RYOE!F:F, RYOE!D:D), "N/A")</f>
        <v>-0.28999999999999998</v>
      </c>
      <c r="N342" cm="1">
        <f t="array" ref="N342">IFERROR(_xlfn.XLOOKUP(C342&amp;A342, RYOE!A:A&amp;RYOE!F:F, RYOE!E:E), "N/A")</f>
        <v>36.6</v>
      </c>
    </row>
    <row r="343" spans="1:14" ht="15" customHeight="1" x14ac:dyDescent="0.45">
      <c r="A343" s="8">
        <v>2023</v>
      </c>
      <c r="B343" s="6" t="s">
        <v>38</v>
      </c>
      <c r="C343" s="2" t="str">
        <f t="shared" si="10"/>
        <v>Kyren Williams</v>
      </c>
      <c r="D343" s="2" t="str">
        <f t="shared" si="11"/>
        <v>LAR</v>
      </c>
      <c r="E343" s="2">
        <v>228</v>
      </c>
      <c r="F343" s="2">
        <v>1144</v>
      </c>
      <c r="G343" s="2">
        <v>5</v>
      </c>
      <c r="H343" s="2">
        <v>12</v>
      </c>
      <c r="I343">
        <v>2</v>
      </c>
      <c r="J343">
        <v>12</v>
      </c>
      <c r="K343" cm="1">
        <f t="array" ref="K343">IFERROR(_xlfn.XLOOKUP(D343&amp;A343, RBWR!A:A&amp;RBWR!C:C, RBWR!B:B), "N/A")</f>
        <v>72</v>
      </c>
      <c r="L343" cm="1">
        <f t="array" ref="L343">IFERROR(_xlfn.XLOOKUP(C343&amp;A343, RYOE!A:A&amp;RYOE!F:F, RYOE!C:C), "N/A")</f>
        <v>147</v>
      </c>
      <c r="M343" cm="1">
        <f t="array" ref="M343">IFERROR(_xlfn.XLOOKUP(C343&amp;A343, RYOE!A:A&amp;RYOE!F:F, RYOE!D:D), "N/A")</f>
        <v>0.65</v>
      </c>
      <c r="N343" cm="1">
        <f t="array" ref="N343">IFERROR(_xlfn.XLOOKUP(C343&amp;A343, RYOE!A:A&amp;RYOE!F:F, RYOE!E:E), "N/A")</f>
        <v>42.7</v>
      </c>
    </row>
    <row r="344" spans="1:14" ht="15" customHeight="1" x14ac:dyDescent="0.45">
      <c r="A344" s="7">
        <v>2023</v>
      </c>
      <c r="B344" s="5" t="s">
        <v>281</v>
      </c>
      <c r="C344" s="1" t="str">
        <f t="shared" si="10"/>
        <v>Derrick Henry</v>
      </c>
      <c r="D344" s="1" t="str">
        <f t="shared" si="11"/>
        <v>TEN</v>
      </c>
      <c r="E344" s="1">
        <v>280</v>
      </c>
      <c r="F344" s="1">
        <v>1167</v>
      </c>
      <c r="G344" s="1">
        <v>4.2</v>
      </c>
      <c r="H344" s="1">
        <v>12</v>
      </c>
      <c r="I344">
        <v>0</v>
      </c>
      <c r="J344">
        <v>17</v>
      </c>
      <c r="K344" cm="1">
        <f t="array" ref="K344">IFERROR(_xlfn.XLOOKUP(D344&amp;A344, RBWR!A:A&amp;RBWR!C:C, RBWR!B:B), "N/A")</f>
        <v>71</v>
      </c>
      <c r="L344" cm="1">
        <f t="array" ref="L344">IFERROR(_xlfn.XLOOKUP(C344&amp;A344, RYOE!A:A&amp;RYOE!F:F, RYOE!C:C), "N/A")</f>
        <v>84</v>
      </c>
      <c r="M344" cm="1">
        <f t="array" ref="M344">IFERROR(_xlfn.XLOOKUP(C344&amp;A344, RYOE!A:A&amp;RYOE!F:F, RYOE!D:D), "N/A")</f>
        <v>0.31</v>
      </c>
      <c r="N344" cm="1">
        <f t="array" ref="N344">IFERROR(_xlfn.XLOOKUP(C344&amp;A344, RYOE!A:A&amp;RYOE!F:F, RYOE!E:E), "N/A")</f>
        <v>40.1</v>
      </c>
    </row>
    <row r="345" spans="1:14" ht="15" customHeight="1" x14ac:dyDescent="0.45">
      <c r="A345" s="8">
        <v>2023</v>
      </c>
      <c r="B345" s="6" t="s">
        <v>282</v>
      </c>
      <c r="C345" s="2" t="str">
        <f t="shared" si="10"/>
        <v>Joe Mixon</v>
      </c>
      <c r="D345" s="2" t="str">
        <f t="shared" si="11"/>
        <v>CIN</v>
      </c>
      <c r="E345" s="2">
        <v>257</v>
      </c>
      <c r="F345" s="2">
        <v>1034</v>
      </c>
      <c r="G345" s="2">
        <v>4</v>
      </c>
      <c r="H345" s="2">
        <v>9</v>
      </c>
      <c r="I345">
        <v>0</v>
      </c>
      <c r="J345">
        <v>17</v>
      </c>
      <c r="K345" cm="1">
        <f t="array" ref="K345">IFERROR(_xlfn.XLOOKUP(D345&amp;A345, RBWR!A:A&amp;RBWR!C:C, RBWR!B:B), "N/A")</f>
        <v>67</v>
      </c>
      <c r="L345" cm="1">
        <f t="array" ref="L345">IFERROR(_xlfn.XLOOKUP(C345&amp;A345, RYOE!A:A&amp;RYOE!F:F, RYOE!C:C), "N/A")</f>
        <v>6</v>
      </c>
      <c r="M345" cm="1">
        <f t="array" ref="M345">IFERROR(_xlfn.XLOOKUP(C345&amp;A345, RYOE!A:A&amp;RYOE!F:F, RYOE!D:D), "N/A")</f>
        <v>0.02</v>
      </c>
      <c r="N345" cm="1">
        <f t="array" ref="N345">IFERROR(_xlfn.XLOOKUP(C345&amp;A345, RYOE!A:A&amp;RYOE!F:F, RYOE!E:E), "N/A")</f>
        <v>41</v>
      </c>
    </row>
    <row r="346" spans="1:14" ht="15" customHeight="1" x14ac:dyDescent="0.45">
      <c r="A346" s="7">
        <v>2023</v>
      </c>
      <c r="B346" s="5" t="s">
        <v>47</v>
      </c>
      <c r="C346" s="1" t="str">
        <f t="shared" si="10"/>
        <v>Breece Hall</v>
      </c>
      <c r="D346" s="1" t="str">
        <f t="shared" si="11"/>
        <v>NYJ</v>
      </c>
      <c r="E346" s="1">
        <v>223</v>
      </c>
      <c r="F346" s="1">
        <v>994</v>
      </c>
      <c r="G346" s="1">
        <v>4.5</v>
      </c>
      <c r="H346" s="1">
        <v>5</v>
      </c>
      <c r="I346">
        <v>0</v>
      </c>
      <c r="J346">
        <v>17</v>
      </c>
      <c r="K346" cm="1">
        <f t="array" ref="K346">IFERROR(_xlfn.XLOOKUP(D346&amp;A346, RBWR!A:A&amp;RBWR!C:C, RBWR!B:B), "N/A")</f>
        <v>68</v>
      </c>
      <c r="L346" cm="1">
        <f t="array" ref="L346">IFERROR(_xlfn.XLOOKUP(C346&amp;A346, RYOE!A:A&amp;RYOE!F:F, RYOE!C:C), "N/A")</f>
        <v>146</v>
      </c>
      <c r="M346" cm="1">
        <f t="array" ref="M346">IFERROR(_xlfn.XLOOKUP(C346&amp;A346, RYOE!A:A&amp;RYOE!F:F, RYOE!D:D), "N/A")</f>
        <v>0.67</v>
      </c>
      <c r="N346" cm="1">
        <f t="array" ref="N346">IFERROR(_xlfn.XLOOKUP(C346&amp;A346, RYOE!A:A&amp;RYOE!F:F, RYOE!E:E), "N/A")</f>
        <v>33.9</v>
      </c>
    </row>
    <row r="347" spans="1:14" ht="15" customHeight="1" x14ac:dyDescent="0.45">
      <c r="A347" s="8">
        <v>2023</v>
      </c>
      <c r="B347" s="6" t="s">
        <v>68</v>
      </c>
      <c r="C347" s="2" t="str">
        <f t="shared" si="10"/>
        <v>Rachaad White</v>
      </c>
      <c r="D347" s="2" t="str">
        <f t="shared" si="11"/>
        <v>TB</v>
      </c>
      <c r="E347" s="2">
        <v>272</v>
      </c>
      <c r="F347" s="2">
        <v>990</v>
      </c>
      <c r="G347" s="2">
        <v>3.6</v>
      </c>
      <c r="H347" s="2">
        <v>6</v>
      </c>
      <c r="I347">
        <v>2</v>
      </c>
      <c r="J347">
        <v>17</v>
      </c>
      <c r="K347" cm="1">
        <f t="array" ref="K347">IFERROR(_xlfn.XLOOKUP(D347&amp;A347, RBWR!A:A&amp;RBWR!C:C, RBWR!B:B), "N/A")</f>
        <v>72</v>
      </c>
      <c r="L347" cm="1">
        <f t="array" ref="L347">IFERROR(_xlfn.XLOOKUP(C347&amp;A347, RYOE!A:A&amp;RYOE!F:F, RYOE!C:C), "N/A")</f>
        <v>-115</v>
      </c>
      <c r="M347" cm="1">
        <f t="array" ref="M347">IFERROR(_xlfn.XLOOKUP(C347&amp;A347, RYOE!A:A&amp;RYOE!F:F, RYOE!D:D), "N/A")</f>
        <v>-0.43</v>
      </c>
      <c r="N347" cm="1">
        <f t="array" ref="N347">IFERROR(_xlfn.XLOOKUP(C347&amp;A347, RYOE!A:A&amp;RYOE!F:F, RYOE!E:E), "N/A")</f>
        <v>36.700000000000003</v>
      </c>
    </row>
    <row r="348" spans="1:14" ht="15" customHeight="1" x14ac:dyDescent="0.45">
      <c r="A348" s="7">
        <v>2023</v>
      </c>
      <c r="B348" s="5" t="s">
        <v>62</v>
      </c>
      <c r="C348" s="1" t="str">
        <f t="shared" si="10"/>
        <v>David Montgomery</v>
      </c>
      <c r="D348" s="1" t="str">
        <f t="shared" si="11"/>
        <v>DET</v>
      </c>
      <c r="E348" s="1">
        <v>219</v>
      </c>
      <c r="F348" s="1">
        <v>1015</v>
      </c>
      <c r="G348" s="1">
        <v>4.5999999999999996</v>
      </c>
      <c r="H348" s="1">
        <v>13</v>
      </c>
      <c r="I348">
        <v>1</v>
      </c>
      <c r="J348">
        <v>14</v>
      </c>
      <c r="K348" cm="1">
        <f t="array" ref="K348">IFERROR(_xlfn.XLOOKUP(D348&amp;A348, RBWR!A:A&amp;RBWR!C:C, RBWR!B:B), "N/A")</f>
        <v>73</v>
      </c>
      <c r="L348" cm="1">
        <f t="array" ref="L348">IFERROR(_xlfn.XLOOKUP(C348&amp;A348, RYOE!A:A&amp;RYOE!F:F, RYOE!C:C), "N/A")</f>
        <v>62</v>
      </c>
      <c r="M348" cm="1">
        <f t="array" ref="M348">IFERROR(_xlfn.XLOOKUP(C348&amp;A348, RYOE!A:A&amp;RYOE!F:F, RYOE!D:D), "N/A")</f>
        <v>0.28999999999999998</v>
      </c>
      <c r="N348" cm="1">
        <f t="array" ref="N348">IFERROR(_xlfn.XLOOKUP(C348&amp;A348, RYOE!A:A&amp;RYOE!F:F, RYOE!E:E), "N/A")</f>
        <v>44.2</v>
      </c>
    </row>
    <row r="349" spans="1:14" ht="15" customHeight="1" x14ac:dyDescent="0.45">
      <c r="A349" s="8">
        <v>2023</v>
      </c>
      <c r="B349" s="6" t="s">
        <v>39</v>
      </c>
      <c r="C349" s="2" t="str">
        <f t="shared" si="10"/>
        <v>Jahmyr Gibbs</v>
      </c>
      <c r="D349" s="2" t="str">
        <f t="shared" si="11"/>
        <v>DET</v>
      </c>
      <c r="E349" s="2">
        <v>182</v>
      </c>
      <c r="F349" s="2">
        <v>945</v>
      </c>
      <c r="G349" s="2">
        <v>5.2</v>
      </c>
      <c r="H349" s="2">
        <v>10</v>
      </c>
      <c r="I349">
        <v>1</v>
      </c>
      <c r="J349">
        <v>15</v>
      </c>
      <c r="K349" cm="1">
        <f t="array" ref="K349">IFERROR(_xlfn.XLOOKUP(D349&amp;A349, RBWR!A:A&amp;RBWR!C:C, RBWR!B:B), "N/A")</f>
        <v>73</v>
      </c>
      <c r="L349" cm="1">
        <f t="array" ref="L349">IFERROR(_xlfn.XLOOKUP(C349&amp;A349, RYOE!A:A&amp;RYOE!F:F, RYOE!C:C), "N/A")</f>
        <v>72</v>
      </c>
      <c r="M349" cm="1">
        <f t="array" ref="M349">IFERROR(_xlfn.XLOOKUP(C349&amp;A349, RYOE!A:A&amp;RYOE!F:F, RYOE!D:D), "N/A")</f>
        <v>0.4</v>
      </c>
      <c r="N349" cm="1">
        <f t="array" ref="N349">IFERROR(_xlfn.XLOOKUP(C349&amp;A349, RYOE!A:A&amp;RYOE!F:F, RYOE!E:E), "N/A")</f>
        <v>33.700000000000003</v>
      </c>
    </row>
    <row r="350" spans="1:14" ht="15" customHeight="1" x14ac:dyDescent="0.45">
      <c r="A350" s="7">
        <v>2023</v>
      </c>
      <c r="B350" s="5" t="s">
        <v>33</v>
      </c>
      <c r="C350" s="1" t="str">
        <f t="shared" si="10"/>
        <v>James Cook III</v>
      </c>
      <c r="D350" s="1" t="str">
        <f t="shared" si="11"/>
        <v>BUF</v>
      </c>
      <c r="E350" s="1">
        <v>237</v>
      </c>
      <c r="F350" s="1">
        <v>1122</v>
      </c>
      <c r="G350" s="1">
        <v>4.7</v>
      </c>
      <c r="H350" s="1">
        <v>2</v>
      </c>
      <c r="I350">
        <v>2</v>
      </c>
      <c r="J350">
        <v>17</v>
      </c>
      <c r="K350" cm="1">
        <f t="array" ref="K350">IFERROR(_xlfn.XLOOKUP(D350&amp;A350, RBWR!A:A&amp;RBWR!C:C, RBWR!B:B), "N/A")</f>
        <v>71</v>
      </c>
      <c r="L350" cm="1">
        <f t="array" ref="L350">IFERROR(_xlfn.XLOOKUP(C350&amp;A350, RYOE!A:A&amp;RYOE!F:F, RYOE!C:C), "N/A")</f>
        <v>105</v>
      </c>
      <c r="M350" cm="1">
        <f t="array" ref="M350">IFERROR(_xlfn.XLOOKUP(C350&amp;A350, RYOE!A:A&amp;RYOE!F:F, RYOE!D:D), "N/A")</f>
        <v>0.45</v>
      </c>
      <c r="N350" cm="1">
        <f t="array" ref="N350">IFERROR(_xlfn.XLOOKUP(C350&amp;A350, RYOE!A:A&amp;RYOE!F:F, RYOE!E:E), "N/A")</f>
        <v>42.7</v>
      </c>
    </row>
    <row r="351" spans="1:14" ht="15" customHeight="1" x14ac:dyDescent="0.45">
      <c r="A351" s="8">
        <v>2023</v>
      </c>
      <c r="B351" s="6" t="s">
        <v>36</v>
      </c>
      <c r="C351" s="2" t="str">
        <f t="shared" si="10"/>
        <v>Bijan Robinson</v>
      </c>
      <c r="D351" s="2" t="str">
        <f t="shared" si="11"/>
        <v>ATL</v>
      </c>
      <c r="E351" s="2">
        <v>214</v>
      </c>
      <c r="F351" s="2">
        <v>976</v>
      </c>
      <c r="G351" s="2">
        <v>4.5999999999999996</v>
      </c>
      <c r="H351" s="2">
        <v>4</v>
      </c>
      <c r="I351">
        <v>3</v>
      </c>
      <c r="J351">
        <v>17</v>
      </c>
      <c r="K351" cm="1">
        <f t="array" ref="K351">IFERROR(_xlfn.XLOOKUP(D351&amp;A351, RBWR!A:A&amp;RBWR!C:C, RBWR!B:B), "N/A")</f>
        <v>72</v>
      </c>
      <c r="L351" cm="1">
        <f t="array" ref="L351">IFERROR(_xlfn.XLOOKUP(C351&amp;A351, RYOE!A:A&amp;RYOE!F:F, RYOE!C:C), "N/A")</f>
        <v>82</v>
      </c>
      <c r="M351" cm="1">
        <f t="array" ref="M351">IFERROR(_xlfn.XLOOKUP(C351&amp;A351, RYOE!A:A&amp;RYOE!F:F, RYOE!D:D), "N/A")</f>
        <v>0.39</v>
      </c>
      <c r="N351" cm="1">
        <f t="array" ref="N351">IFERROR(_xlfn.XLOOKUP(C351&amp;A351, RYOE!A:A&amp;RYOE!F:F, RYOE!E:E), "N/A")</f>
        <v>38.299999999999997</v>
      </c>
    </row>
    <row r="352" spans="1:14" ht="15" customHeight="1" x14ac:dyDescent="0.45">
      <c r="A352" s="7">
        <v>2023</v>
      </c>
      <c r="B352" s="5" t="s">
        <v>283</v>
      </c>
      <c r="C352" s="1" t="str">
        <f t="shared" si="10"/>
        <v>Saquon Barkley</v>
      </c>
      <c r="D352" s="1" t="str">
        <f t="shared" si="11"/>
        <v>NYG</v>
      </c>
      <c r="E352" s="1">
        <v>247</v>
      </c>
      <c r="F352" s="1">
        <v>962</v>
      </c>
      <c r="G352" s="1">
        <v>3.9</v>
      </c>
      <c r="H352" s="1">
        <v>6</v>
      </c>
      <c r="I352">
        <v>2</v>
      </c>
      <c r="J352">
        <v>14</v>
      </c>
      <c r="K352" cm="1">
        <f t="array" ref="K352">IFERROR(_xlfn.XLOOKUP(D352&amp;A352, RBWR!A:A&amp;RBWR!C:C, RBWR!B:B), "N/A")</f>
        <v>71</v>
      </c>
      <c r="L352" cm="1">
        <f t="array" ref="L352">IFERROR(_xlfn.XLOOKUP(C352&amp;A352, RYOE!A:A&amp;RYOE!F:F, RYOE!C:C), "N/A")</f>
        <v>93</v>
      </c>
      <c r="M352" cm="1">
        <f t="array" ref="M352">IFERROR(_xlfn.XLOOKUP(C352&amp;A352, RYOE!A:A&amp;RYOE!F:F, RYOE!D:D), "N/A")</f>
        <v>0.39</v>
      </c>
      <c r="N352" cm="1">
        <f t="array" ref="N352">IFERROR(_xlfn.XLOOKUP(C352&amp;A352, RYOE!A:A&amp;RYOE!F:F, RYOE!E:E), "N/A")</f>
        <v>37.1</v>
      </c>
    </row>
    <row r="353" spans="1:14" ht="15" customHeight="1" x14ac:dyDescent="0.45">
      <c r="A353" s="8">
        <v>2023</v>
      </c>
      <c r="B353" s="6" t="s">
        <v>284</v>
      </c>
      <c r="C353" s="2" t="str">
        <f t="shared" si="10"/>
        <v>Gus Edwards</v>
      </c>
      <c r="D353" s="2" t="str">
        <f t="shared" si="11"/>
        <v>BAL</v>
      </c>
      <c r="E353" s="2">
        <v>198</v>
      </c>
      <c r="F353" s="2">
        <v>810</v>
      </c>
      <c r="G353" s="2">
        <v>4.0999999999999996</v>
      </c>
      <c r="H353" s="2">
        <v>13</v>
      </c>
      <c r="I353">
        <v>2</v>
      </c>
      <c r="J353">
        <v>17</v>
      </c>
      <c r="K353" cm="1">
        <f t="array" ref="K353">IFERROR(_xlfn.XLOOKUP(D353&amp;A353, RBWR!A:A&amp;RBWR!C:C, RBWR!B:B), "N/A")</f>
        <v>74</v>
      </c>
      <c r="L353" cm="1">
        <f t="array" ref="L353">IFERROR(_xlfn.XLOOKUP(C353&amp;A353, RYOE!A:A&amp;RYOE!F:F, RYOE!C:C), "N/A")</f>
        <v>51</v>
      </c>
      <c r="M353" cm="1">
        <f t="array" ref="M353">IFERROR(_xlfn.XLOOKUP(C353&amp;A353, RYOE!A:A&amp;RYOE!F:F, RYOE!D:D), "N/A")</f>
        <v>0.26</v>
      </c>
      <c r="N353" cm="1">
        <f t="array" ref="N353">IFERROR(_xlfn.XLOOKUP(C353&amp;A353, RYOE!A:A&amp;RYOE!F:F, RYOE!E:E), "N/A")</f>
        <v>40.200000000000003</v>
      </c>
    </row>
    <row r="354" spans="1:14" ht="15" customHeight="1" x14ac:dyDescent="0.45">
      <c r="A354" s="7">
        <v>2023</v>
      </c>
      <c r="B354" s="5" t="s">
        <v>115</v>
      </c>
      <c r="C354" s="1" t="str">
        <f t="shared" si="10"/>
        <v>James Conner</v>
      </c>
      <c r="D354" s="1" t="str">
        <f t="shared" si="11"/>
        <v>ARI</v>
      </c>
      <c r="E354" s="1">
        <v>208</v>
      </c>
      <c r="F354" s="1">
        <v>1040</v>
      </c>
      <c r="G354" s="1">
        <v>5</v>
      </c>
      <c r="H354" s="1">
        <v>7</v>
      </c>
      <c r="I354">
        <v>0</v>
      </c>
      <c r="J354">
        <v>13</v>
      </c>
      <c r="K354" cm="1">
        <f t="array" ref="K354">IFERROR(_xlfn.XLOOKUP(D354&amp;A354, RBWR!A:A&amp;RBWR!C:C, RBWR!B:B), "N/A")</f>
        <v>72</v>
      </c>
      <c r="L354" cm="1">
        <f t="array" ref="L354">IFERROR(_xlfn.XLOOKUP(C354&amp;A354, RYOE!A:A&amp;RYOE!F:F, RYOE!C:C), "N/A")</f>
        <v>211</v>
      </c>
      <c r="M354" cm="1">
        <f t="array" ref="M354">IFERROR(_xlfn.XLOOKUP(C354&amp;A354, RYOE!A:A&amp;RYOE!F:F, RYOE!D:D), "N/A")</f>
        <v>1.02</v>
      </c>
      <c r="N354" cm="1">
        <f t="array" ref="N354">IFERROR(_xlfn.XLOOKUP(C354&amp;A354, RYOE!A:A&amp;RYOE!F:F, RYOE!E:E), "N/A")</f>
        <v>43</v>
      </c>
    </row>
    <row r="355" spans="1:14" ht="15" customHeight="1" x14ac:dyDescent="0.45">
      <c r="A355" s="8">
        <v>2023</v>
      </c>
      <c r="B355" s="6" t="s">
        <v>48</v>
      </c>
      <c r="C355" s="2" t="str">
        <f t="shared" si="10"/>
        <v>Kenneth Walker III</v>
      </c>
      <c r="D355" s="2" t="str">
        <f t="shared" si="11"/>
        <v>SEA</v>
      </c>
      <c r="E355" s="2">
        <v>219</v>
      </c>
      <c r="F355" s="2">
        <v>905</v>
      </c>
      <c r="G355" s="2">
        <v>4.0999999999999996</v>
      </c>
      <c r="H355" s="2">
        <v>8</v>
      </c>
      <c r="I355">
        <v>0</v>
      </c>
      <c r="J355">
        <v>15</v>
      </c>
      <c r="K355" cm="1">
        <f t="array" ref="K355">IFERROR(_xlfn.XLOOKUP(D355&amp;A355, RBWR!A:A&amp;RBWR!C:C, RBWR!B:B), "N/A")</f>
        <v>68</v>
      </c>
      <c r="L355" t="str" cm="1">
        <f t="array" ref="L355">IFERROR(_xlfn.XLOOKUP(C355&amp;A355, RYOE!A:A&amp;RYOE!F:F, RYOE!C:C), "N/A")</f>
        <v>N/A</v>
      </c>
      <c r="M355" t="str" cm="1">
        <f t="array" ref="M355">IFERROR(_xlfn.XLOOKUP(C355&amp;A355, RYOE!A:A&amp;RYOE!F:F, RYOE!D:D), "N/A")</f>
        <v>N/A</v>
      </c>
      <c r="N355" t="str" cm="1">
        <f t="array" ref="N355">IFERROR(_xlfn.XLOOKUP(C355&amp;A355, RYOE!A:A&amp;RYOE!F:F, RYOE!E:E), "N/A")</f>
        <v>N/A</v>
      </c>
    </row>
    <row r="356" spans="1:14" ht="15" customHeight="1" x14ac:dyDescent="0.45">
      <c r="A356" s="7">
        <v>2023</v>
      </c>
      <c r="B356" s="5" t="s">
        <v>79</v>
      </c>
      <c r="C356" s="1" t="str">
        <f t="shared" si="10"/>
        <v>Isiah Pacheco</v>
      </c>
      <c r="D356" s="1" t="str">
        <f t="shared" si="11"/>
        <v>KC</v>
      </c>
      <c r="E356" s="1">
        <v>205</v>
      </c>
      <c r="F356" s="1">
        <v>935</v>
      </c>
      <c r="G356" s="1">
        <v>4.5999999999999996</v>
      </c>
      <c r="H356" s="1">
        <v>7</v>
      </c>
      <c r="I356">
        <v>1</v>
      </c>
      <c r="J356">
        <v>14</v>
      </c>
      <c r="K356" cm="1">
        <f t="array" ref="K356">IFERROR(_xlfn.XLOOKUP(D356&amp;A356, RBWR!A:A&amp;RBWR!C:C, RBWR!B:B), "N/A")</f>
        <v>75</v>
      </c>
      <c r="L356" cm="1">
        <f t="array" ref="L356">IFERROR(_xlfn.XLOOKUP(C356&amp;A356, RYOE!A:A&amp;RYOE!F:F, RYOE!C:C), "N/A")</f>
        <v>91</v>
      </c>
      <c r="M356" cm="1">
        <f t="array" ref="M356">IFERROR(_xlfn.XLOOKUP(C356&amp;A356, RYOE!A:A&amp;RYOE!F:F, RYOE!D:D), "N/A")</f>
        <v>0.45</v>
      </c>
      <c r="N356" cm="1">
        <f t="array" ref="N356">IFERROR(_xlfn.XLOOKUP(C356&amp;A356, RYOE!A:A&amp;RYOE!F:F, RYOE!E:E), "N/A")</f>
        <v>40</v>
      </c>
    </row>
    <row r="357" spans="1:14" ht="15" customHeight="1" x14ac:dyDescent="0.45">
      <c r="A357" s="8">
        <v>2023</v>
      </c>
      <c r="B357" s="6" t="s">
        <v>285</v>
      </c>
      <c r="C357" s="2" t="str">
        <f t="shared" si="10"/>
        <v>Tony Pollard</v>
      </c>
      <c r="D357" s="2" t="str">
        <f t="shared" si="11"/>
        <v>DAL</v>
      </c>
      <c r="E357" s="2">
        <v>252</v>
      </c>
      <c r="F357" s="2">
        <v>1005</v>
      </c>
      <c r="G357" s="2">
        <v>4</v>
      </c>
      <c r="H357" s="2">
        <v>6</v>
      </c>
      <c r="I357">
        <v>1</v>
      </c>
      <c r="J357">
        <v>17</v>
      </c>
      <c r="K357" cm="1">
        <f t="array" ref="K357">IFERROR(_xlfn.XLOOKUP(D357&amp;A357, RBWR!A:A&amp;RBWR!C:C, RBWR!B:B), "N/A")</f>
        <v>73</v>
      </c>
      <c r="L357" cm="1">
        <f t="array" ref="L357">IFERROR(_xlfn.XLOOKUP(C357&amp;A357, RYOE!A:A&amp;RYOE!F:F, RYOE!C:C), "N/A")</f>
        <v>-34</v>
      </c>
      <c r="M357" cm="1">
        <f t="array" ref="M357">IFERROR(_xlfn.XLOOKUP(C357&amp;A357, RYOE!A:A&amp;RYOE!F:F, RYOE!D:D), "N/A")</f>
        <v>-0.14000000000000001</v>
      </c>
      <c r="N357" cm="1">
        <f t="array" ref="N357">IFERROR(_xlfn.XLOOKUP(C357&amp;A357, RYOE!A:A&amp;RYOE!F:F, RYOE!E:E), "N/A")</f>
        <v>36.5</v>
      </c>
    </row>
    <row r="358" spans="1:14" ht="15" customHeight="1" x14ac:dyDescent="0.45">
      <c r="A358" s="7">
        <v>2023</v>
      </c>
      <c r="B358" s="5" t="s">
        <v>123</v>
      </c>
      <c r="C358" s="1" t="str">
        <f t="shared" si="10"/>
        <v>Jerome Ford</v>
      </c>
      <c r="D358" s="1" t="str">
        <f t="shared" si="11"/>
        <v>CLE</v>
      </c>
      <c r="E358" s="1">
        <v>204</v>
      </c>
      <c r="F358" s="1">
        <v>813</v>
      </c>
      <c r="G358" s="1">
        <v>4</v>
      </c>
      <c r="H358" s="1">
        <v>4</v>
      </c>
      <c r="I358">
        <v>1</v>
      </c>
      <c r="J358">
        <v>17</v>
      </c>
      <c r="K358" cm="1">
        <f t="array" ref="K358">IFERROR(_xlfn.XLOOKUP(D358&amp;A358, RBWR!A:A&amp;RBWR!C:C, RBWR!B:B), "N/A")</f>
        <v>70</v>
      </c>
      <c r="L358" cm="1">
        <f t="array" ref="L358">IFERROR(_xlfn.XLOOKUP(C358&amp;A358, RYOE!A:A&amp;RYOE!F:F, RYOE!C:C), "N/A")</f>
        <v>-4</v>
      </c>
      <c r="M358" cm="1">
        <f t="array" ref="M358">IFERROR(_xlfn.XLOOKUP(C358&amp;A358, RYOE!A:A&amp;RYOE!F:F, RYOE!D:D), "N/A")</f>
        <v>-0.02</v>
      </c>
      <c r="N358" cm="1">
        <f t="array" ref="N358">IFERROR(_xlfn.XLOOKUP(C358&amp;A358, RYOE!A:A&amp;RYOE!F:F, RYOE!E:E), "N/A")</f>
        <v>35.200000000000003</v>
      </c>
    </row>
    <row r="359" spans="1:14" ht="15" customHeight="1" x14ac:dyDescent="0.45">
      <c r="A359" s="8">
        <v>2023</v>
      </c>
      <c r="B359" s="6" t="s">
        <v>207</v>
      </c>
      <c r="C359" s="2" t="str">
        <f t="shared" si="10"/>
        <v>Najee Harris</v>
      </c>
      <c r="D359" s="2" t="str">
        <f t="shared" si="11"/>
        <v>PIT</v>
      </c>
      <c r="E359" s="2">
        <v>255</v>
      </c>
      <c r="F359" s="2">
        <v>1035</v>
      </c>
      <c r="G359" s="2">
        <v>4.0999999999999996</v>
      </c>
      <c r="H359" s="2">
        <v>8</v>
      </c>
      <c r="I359">
        <v>1</v>
      </c>
      <c r="J359">
        <v>17</v>
      </c>
      <c r="K359" cm="1">
        <f t="array" ref="K359">IFERROR(_xlfn.XLOOKUP(D359&amp;A359, RBWR!A:A&amp;RBWR!C:C, RBWR!B:B), "N/A")</f>
        <v>72</v>
      </c>
      <c r="L359" cm="1">
        <f t="array" ref="L359">IFERROR(_xlfn.XLOOKUP(C359&amp;A359, RYOE!A:A&amp;RYOE!F:F, RYOE!C:C), "N/A")</f>
        <v>79</v>
      </c>
      <c r="M359" cm="1">
        <f t="array" ref="M359">IFERROR(_xlfn.XLOOKUP(C359&amp;A359, RYOE!A:A&amp;RYOE!F:F, RYOE!D:D), "N/A")</f>
        <v>0.31</v>
      </c>
      <c r="N359" cm="1">
        <f t="array" ref="N359">IFERROR(_xlfn.XLOOKUP(C359&amp;A359, RYOE!A:A&amp;RYOE!F:F, RYOE!E:E), "N/A")</f>
        <v>41.9</v>
      </c>
    </row>
    <row r="360" spans="1:14" ht="15" customHeight="1" x14ac:dyDescent="0.45">
      <c r="A360" s="7">
        <v>2023</v>
      </c>
      <c r="B360" s="5" t="s">
        <v>37</v>
      </c>
      <c r="C360" s="1" t="str">
        <f t="shared" si="10"/>
        <v>De'Von Achane</v>
      </c>
      <c r="D360" s="1" t="str">
        <f t="shared" si="11"/>
        <v>MIA</v>
      </c>
      <c r="E360" s="1">
        <v>103</v>
      </c>
      <c r="F360" s="1">
        <v>800</v>
      </c>
      <c r="G360" s="1">
        <v>7.8</v>
      </c>
      <c r="H360" s="1">
        <v>8</v>
      </c>
      <c r="I360">
        <v>1</v>
      </c>
      <c r="J360">
        <v>11</v>
      </c>
      <c r="K360" cm="1">
        <f t="array" ref="K360">IFERROR(_xlfn.XLOOKUP(D360&amp;A360, RBWR!A:A&amp;RBWR!C:C, RBWR!B:B), "N/A")</f>
        <v>71</v>
      </c>
      <c r="L360" cm="1">
        <f t="array" ref="L360">IFERROR(_xlfn.XLOOKUP(C360&amp;A360, RYOE!A:A&amp;RYOE!F:F, RYOE!C:C), "N/A")</f>
        <v>269</v>
      </c>
      <c r="M360" cm="1">
        <f t="array" ref="M360">IFERROR(_xlfn.XLOOKUP(C360&amp;A360, RYOE!A:A&amp;RYOE!F:F, RYOE!D:D), "N/A")</f>
        <v>2.75</v>
      </c>
      <c r="N360" cm="1">
        <f t="array" ref="N360">IFERROR(_xlfn.XLOOKUP(C360&amp;A360, RYOE!A:A&amp;RYOE!F:F, RYOE!E:E), "N/A")</f>
        <v>46.9</v>
      </c>
    </row>
    <row r="361" spans="1:14" ht="15" customHeight="1" x14ac:dyDescent="0.45">
      <c r="A361" s="8">
        <v>2023</v>
      </c>
      <c r="B361" s="6" t="s">
        <v>210</v>
      </c>
      <c r="C361" s="2" t="str">
        <f t="shared" si="10"/>
        <v>Brian Robinson Jr.</v>
      </c>
      <c r="D361" s="2" t="str">
        <f t="shared" si="11"/>
        <v>WAS</v>
      </c>
      <c r="E361" s="2">
        <v>178</v>
      </c>
      <c r="F361" s="2">
        <v>733</v>
      </c>
      <c r="G361" s="2">
        <v>4.0999999999999996</v>
      </c>
      <c r="H361" s="2">
        <v>5</v>
      </c>
      <c r="I361">
        <v>2</v>
      </c>
      <c r="J361">
        <v>15</v>
      </c>
      <c r="K361" cm="1">
        <f t="array" ref="K361">IFERROR(_xlfn.XLOOKUP(D361&amp;A361, RBWR!A:A&amp;RBWR!C:C, RBWR!B:B), "N/A")</f>
        <v>75</v>
      </c>
      <c r="L361" cm="1">
        <f t="array" ref="L361">IFERROR(_xlfn.XLOOKUP(C361&amp;A361, RYOE!A:A&amp;RYOE!F:F, RYOE!C:C), "N/A")</f>
        <v>38</v>
      </c>
      <c r="M361" cm="1">
        <f t="array" ref="M361">IFERROR(_xlfn.XLOOKUP(C361&amp;A361, RYOE!A:A&amp;RYOE!F:F, RYOE!D:D), "N/A")</f>
        <v>0.22</v>
      </c>
      <c r="N361" cm="1">
        <f t="array" ref="N361">IFERROR(_xlfn.XLOOKUP(C361&amp;A361, RYOE!A:A&amp;RYOE!F:F, RYOE!E:E), "N/A")</f>
        <v>40.9</v>
      </c>
    </row>
    <row r="362" spans="1:14" ht="15" customHeight="1" x14ac:dyDescent="0.45">
      <c r="A362" s="7">
        <v>2023</v>
      </c>
      <c r="B362" s="5" t="s">
        <v>286</v>
      </c>
      <c r="C362" s="1" t="str">
        <f t="shared" si="10"/>
        <v>D'Andre Swift</v>
      </c>
      <c r="D362" s="1" t="str">
        <f t="shared" si="11"/>
        <v>PHI</v>
      </c>
      <c r="E362" s="1">
        <v>229</v>
      </c>
      <c r="F362" s="1">
        <v>1049</v>
      </c>
      <c r="G362" s="1">
        <v>4.5999999999999996</v>
      </c>
      <c r="H362" s="1">
        <v>5</v>
      </c>
      <c r="I362">
        <v>1</v>
      </c>
      <c r="J362">
        <v>16</v>
      </c>
      <c r="K362" cm="1">
        <f t="array" ref="K362">IFERROR(_xlfn.XLOOKUP(D362&amp;A362, RBWR!A:A&amp;RBWR!C:C, RBWR!B:B), "N/A")</f>
        <v>73</v>
      </c>
      <c r="L362" cm="1">
        <f t="array" ref="L362">IFERROR(_xlfn.XLOOKUP(C362&amp;A362, RYOE!A:A&amp;RYOE!F:F, RYOE!C:C), "N/A")</f>
        <v>-65</v>
      </c>
      <c r="M362" cm="1">
        <f t="array" ref="M362">IFERROR(_xlfn.XLOOKUP(C362&amp;A362, RYOE!A:A&amp;RYOE!F:F, RYOE!D:D), "N/A")</f>
        <v>-0.28999999999999998</v>
      </c>
      <c r="N362" cm="1">
        <f t="array" ref="N362">IFERROR(_xlfn.XLOOKUP(C362&amp;A362, RYOE!A:A&amp;RYOE!F:F, RYOE!E:E), "N/A")</f>
        <v>36.9</v>
      </c>
    </row>
    <row r="363" spans="1:14" ht="15" customHeight="1" x14ac:dyDescent="0.45">
      <c r="A363" s="8">
        <v>2023</v>
      </c>
      <c r="B363" s="6" t="s">
        <v>78</v>
      </c>
      <c r="C363" s="2" t="str">
        <f t="shared" si="10"/>
        <v>Alvin Kamara</v>
      </c>
      <c r="D363" s="2" t="str">
        <f t="shared" si="11"/>
        <v>NO</v>
      </c>
      <c r="E363" s="2">
        <v>180</v>
      </c>
      <c r="F363" s="2">
        <v>694</v>
      </c>
      <c r="G363" s="2">
        <v>3.9</v>
      </c>
      <c r="H363" s="2">
        <v>5</v>
      </c>
      <c r="I363">
        <v>0</v>
      </c>
      <c r="J363">
        <v>13</v>
      </c>
      <c r="K363" cm="1">
        <f t="array" ref="K363">IFERROR(_xlfn.XLOOKUP(D363&amp;A363, RBWR!A:A&amp;RBWR!C:C, RBWR!B:B), "N/A")</f>
        <v>72</v>
      </c>
      <c r="L363" cm="1">
        <f t="array" ref="L363">IFERROR(_xlfn.XLOOKUP(C363&amp;A363, RYOE!A:A&amp;RYOE!F:F, RYOE!C:C), "N/A")</f>
        <v>-99</v>
      </c>
      <c r="M363" cm="1">
        <f t="array" ref="M363">IFERROR(_xlfn.XLOOKUP(C363&amp;A363, RYOE!A:A&amp;RYOE!F:F, RYOE!D:D), "N/A")</f>
        <v>-0.56000000000000005</v>
      </c>
      <c r="N363" cm="1">
        <f t="array" ref="N363">IFERROR(_xlfn.XLOOKUP(C363&amp;A363, RYOE!A:A&amp;RYOE!F:F, RYOE!E:E), "N/A")</f>
        <v>33.1</v>
      </c>
    </row>
    <row r="364" spans="1:14" ht="15" customHeight="1" x14ac:dyDescent="0.45">
      <c r="A364" s="7">
        <v>2023</v>
      </c>
      <c r="B364" s="5" t="s">
        <v>287</v>
      </c>
      <c r="C364" s="1" t="str">
        <f t="shared" si="10"/>
        <v>Josh Jacobs</v>
      </c>
      <c r="D364" s="1" t="str">
        <f t="shared" si="11"/>
        <v>LV</v>
      </c>
      <c r="E364" s="1">
        <v>233</v>
      </c>
      <c r="F364" s="1">
        <v>805</v>
      </c>
      <c r="G364" s="1">
        <v>3.5</v>
      </c>
      <c r="H364" s="1">
        <v>6</v>
      </c>
      <c r="I364">
        <v>1</v>
      </c>
      <c r="J364">
        <v>13</v>
      </c>
      <c r="K364" cm="1">
        <f t="array" ref="K364">IFERROR(_xlfn.XLOOKUP(D364&amp;A364, RBWR!A:A&amp;RBWR!C:C, RBWR!B:B), "N/A")</f>
        <v>67</v>
      </c>
      <c r="L364" cm="1">
        <f t="array" ref="L364">IFERROR(_xlfn.XLOOKUP(C364&amp;A364, RYOE!A:A&amp;RYOE!F:F, RYOE!C:C), "N/A")</f>
        <v>-86</v>
      </c>
      <c r="M364" cm="1">
        <f t="array" ref="M364">IFERROR(_xlfn.XLOOKUP(C364&amp;A364, RYOE!A:A&amp;RYOE!F:F, RYOE!D:D), "N/A")</f>
        <v>-0.37</v>
      </c>
      <c r="N364" cm="1">
        <f t="array" ref="N364">IFERROR(_xlfn.XLOOKUP(C364&amp;A364, RYOE!A:A&amp;RYOE!F:F, RYOE!E:E), "N/A")</f>
        <v>34.6</v>
      </c>
    </row>
    <row r="365" spans="1:14" ht="15" customHeight="1" x14ac:dyDescent="0.45">
      <c r="A365" s="8">
        <v>2023</v>
      </c>
      <c r="B365" s="6" t="s">
        <v>74</v>
      </c>
      <c r="C365" s="2" t="str">
        <f t="shared" si="10"/>
        <v>Chuba Hubbard</v>
      </c>
      <c r="D365" s="2" t="str">
        <f t="shared" si="11"/>
        <v>CAR</v>
      </c>
      <c r="E365" s="2">
        <v>238</v>
      </c>
      <c r="F365" s="2">
        <v>902</v>
      </c>
      <c r="G365" s="2">
        <v>3.8</v>
      </c>
      <c r="H365" s="2">
        <v>5</v>
      </c>
      <c r="I365">
        <v>0</v>
      </c>
      <c r="J365">
        <v>17</v>
      </c>
      <c r="K365" cm="1">
        <f t="array" ref="K365">IFERROR(_xlfn.XLOOKUP(D365&amp;A365, RBWR!A:A&amp;RBWR!C:C, RBWR!B:B), "N/A")</f>
        <v>72</v>
      </c>
      <c r="L365" cm="1">
        <f t="array" ref="L365">IFERROR(_xlfn.XLOOKUP(C365&amp;A365, RYOE!A:A&amp;RYOE!F:F, RYOE!C:C), "N/A")</f>
        <v>46</v>
      </c>
      <c r="M365" cm="1">
        <f t="array" ref="M365">IFERROR(_xlfn.XLOOKUP(C365&amp;A365, RYOE!A:A&amp;RYOE!F:F, RYOE!D:D), "N/A")</f>
        <v>0.19</v>
      </c>
      <c r="N365" cm="1">
        <f t="array" ref="N365">IFERROR(_xlfn.XLOOKUP(C365&amp;A365, RYOE!A:A&amp;RYOE!F:F, RYOE!E:E), "N/A")</f>
        <v>44.5</v>
      </c>
    </row>
    <row r="366" spans="1:14" ht="15" customHeight="1" x14ac:dyDescent="0.45">
      <c r="A366" s="7">
        <v>2023</v>
      </c>
      <c r="B366" s="5" t="s">
        <v>288</v>
      </c>
      <c r="C366" s="1" t="str">
        <f t="shared" si="10"/>
        <v>Zack Moss</v>
      </c>
      <c r="D366" s="1" t="str">
        <f t="shared" si="11"/>
        <v>IND</v>
      </c>
      <c r="E366" s="1">
        <v>183</v>
      </c>
      <c r="F366" s="1">
        <v>794</v>
      </c>
      <c r="G366" s="1">
        <v>4.3</v>
      </c>
      <c r="H366" s="1">
        <v>5</v>
      </c>
      <c r="I366">
        <v>0</v>
      </c>
      <c r="J366">
        <v>14</v>
      </c>
      <c r="K366" cm="1">
        <f t="array" ref="K366">IFERROR(_xlfn.XLOOKUP(D366&amp;A366, RBWR!A:A&amp;RBWR!C:C, RBWR!B:B), "N/A")</f>
        <v>74</v>
      </c>
      <c r="L366" cm="1">
        <f t="array" ref="L366">IFERROR(_xlfn.XLOOKUP(C366&amp;A366, RYOE!A:A&amp;RYOE!F:F, RYOE!C:C), "N/A")</f>
        <v>129</v>
      </c>
      <c r="M366" cm="1">
        <f t="array" ref="M366">IFERROR(_xlfn.XLOOKUP(C366&amp;A366, RYOE!A:A&amp;RYOE!F:F, RYOE!D:D), "N/A")</f>
        <v>0.71</v>
      </c>
      <c r="N366" cm="1">
        <f t="array" ref="N366">IFERROR(_xlfn.XLOOKUP(C366&amp;A366, RYOE!A:A&amp;RYOE!F:F, RYOE!E:E), "N/A")</f>
        <v>41.8</v>
      </c>
    </row>
    <row r="367" spans="1:14" ht="15" customHeight="1" x14ac:dyDescent="0.45">
      <c r="A367" s="8">
        <v>2023</v>
      </c>
      <c r="B367" s="6" t="s">
        <v>35</v>
      </c>
      <c r="C367" s="2" t="str">
        <f t="shared" si="10"/>
        <v>Jonathan Taylor</v>
      </c>
      <c r="D367" s="2" t="str">
        <f t="shared" si="11"/>
        <v>IND</v>
      </c>
      <c r="E367" s="2">
        <v>169</v>
      </c>
      <c r="F367" s="2">
        <v>741</v>
      </c>
      <c r="G367" s="2">
        <v>4.4000000000000004</v>
      </c>
      <c r="H367" s="2">
        <v>7</v>
      </c>
      <c r="I367">
        <v>0</v>
      </c>
      <c r="J367">
        <v>10</v>
      </c>
      <c r="K367" cm="1">
        <f t="array" ref="K367">IFERROR(_xlfn.XLOOKUP(D367&amp;A367, RBWR!A:A&amp;RBWR!C:C, RBWR!B:B), "N/A")</f>
        <v>74</v>
      </c>
      <c r="L367" cm="1">
        <f t="array" ref="L367">IFERROR(_xlfn.XLOOKUP(C367&amp;A367, RYOE!A:A&amp;RYOE!F:F, RYOE!C:C), "N/A")</f>
        <v>54</v>
      </c>
      <c r="M367" cm="1">
        <f t="array" ref="M367">IFERROR(_xlfn.XLOOKUP(C367&amp;A367, RYOE!A:A&amp;RYOE!F:F, RYOE!D:D), "N/A")</f>
        <v>0.32</v>
      </c>
      <c r="N367" cm="1">
        <f t="array" ref="N367">IFERROR(_xlfn.XLOOKUP(C367&amp;A367, RYOE!A:A&amp;RYOE!F:F, RYOE!E:E), "N/A")</f>
        <v>33.5</v>
      </c>
    </row>
    <row r="368" spans="1:14" ht="15" customHeight="1" x14ac:dyDescent="0.45">
      <c r="A368" s="7">
        <v>2023</v>
      </c>
      <c r="B368" s="5" t="s">
        <v>289</v>
      </c>
      <c r="C368" s="1" t="str">
        <f t="shared" si="10"/>
        <v>Devin Singletary</v>
      </c>
      <c r="D368" s="1" t="str">
        <f t="shared" si="11"/>
        <v>HOU</v>
      </c>
      <c r="E368" s="1">
        <v>216</v>
      </c>
      <c r="F368" s="1">
        <v>898</v>
      </c>
      <c r="G368" s="1">
        <v>4.2</v>
      </c>
      <c r="H368" s="1">
        <v>4</v>
      </c>
      <c r="I368">
        <v>0</v>
      </c>
      <c r="J368">
        <v>17</v>
      </c>
      <c r="K368" cm="1">
        <f t="array" ref="K368">IFERROR(_xlfn.XLOOKUP(D368&amp;A368, RBWR!A:A&amp;RBWR!C:C, RBWR!B:B), "N/A")</f>
        <v>68</v>
      </c>
      <c r="L368" cm="1">
        <f t="array" ref="L368">IFERROR(_xlfn.XLOOKUP(C368&amp;A368, RYOE!A:A&amp;RYOE!F:F, RYOE!C:C), "N/A")</f>
        <v>33</v>
      </c>
      <c r="M368" cm="1">
        <f t="array" ref="M368">IFERROR(_xlfn.XLOOKUP(C368&amp;A368, RYOE!A:A&amp;RYOE!F:F, RYOE!D:D), "N/A")</f>
        <v>0.15</v>
      </c>
      <c r="N368" cm="1">
        <f t="array" ref="N368">IFERROR(_xlfn.XLOOKUP(C368&amp;A368, RYOE!A:A&amp;RYOE!F:F, RYOE!E:E), "N/A")</f>
        <v>37.4</v>
      </c>
    </row>
    <row r="369" spans="1:14" ht="15" customHeight="1" x14ac:dyDescent="0.45">
      <c r="A369" s="8">
        <v>2023</v>
      </c>
      <c r="B369" s="6" t="s">
        <v>51</v>
      </c>
      <c r="C369" s="2" t="str">
        <f t="shared" si="10"/>
        <v>Jaylen Warren</v>
      </c>
      <c r="D369" s="2" t="str">
        <f t="shared" si="11"/>
        <v>PIT</v>
      </c>
      <c r="E369" s="2">
        <v>149</v>
      </c>
      <c r="F369" s="2">
        <v>784</v>
      </c>
      <c r="G369" s="2">
        <v>5.3</v>
      </c>
      <c r="H369" s="2">
        <v>4</v>
      </c>
      <c r="I369">
        <v>2</v>
      </c>
      <c r="J369">
        <v>17</v>
      </c>
      <c r="K369" cm="1">
        <f t="array" ref="K369">IFERROR(_xlfn.XLOOKUP(D369&amp;A369, RBWR!A:A&amp;RBWR!C:C, RBWR!B:B), "N/A")</f>
        <v>72</v>
      </c>
      <c r="L369" cm="1">
        <f t="array" ref="L369">IFERROR(_xlfn.XLOOKUP(C369&amp;A369, RYOE!A:A&amp;RYOE!F:F, RYOE!C:C), "N/A")</f>
        <v>148</v>
      </c>
      <c r="M369" cm="1">
        <f t="array" ref="M369">IFERROR(_xlfn.XLOOKUP(C369&amp;A369, RYOE!A:A&amp;RYOE!F:F, RYOE!D:D), "N/A")</f>
        <v>1</v>
      </c>
      <c r="N369" cm="1">
        <f t="array" ref="N369">IFERROR(_xlfn.XLOOKUP(C369&amp;A369, RYOE!A:A&amp;RYOE!F:F, RYOE!E:E), "N/A")</f>
        <v>39.5</v>
      </c>
    </row>
    <row r="370" spans="1:14" ht="15" customHeight="1" x14ac:dyDescent="0.45">
      <c r="A370" s="7">
        <v>2023</v>
      </c>
      <c r="B370" s="5" t="s">
        <v>290</v>
      </c>
      <c r="C370" s="1" t="str">
        <f t="shared" si="10"/>
        <v>Austin Ekeler</v>
      </c>
      <c r="D370" s="1" t="str">
        <f t="shared" si="11"/>
        <v>LAC</v>
      </c>
      <c r="E370" s="1">
        <v>179</v>
      </c>
      <c r="F370" s="1">
        <v>628</v>
      </c>
      <c r="G370" s="1">
        <v>3.5</v>
      </c>
      <c r="H370" s="1">
        <v>5</v>
      </c>
      <c r="I370">
        <v>4</v>
      </c>
      <c r="J370">
        <v>14</v>
      </c>
      <c r="K370" cm="1">
        <f t="array" ref="K370">IFERROR(_xlfn.XLOOKUP(D370&amp;A370, RBWR!A:A&amp;RBWR!C:C, RBWR!B:B), "N/A")</f>
        <v>72</v>
      </c>
      <c r="L370" cm="1">
        <f t="array" ref="L370">IFERROR(_xlfn.XLOOKUP(C370&amp;A370, RYOE!A:A&amp;RYOE!F:F, RYOE!C:C), "N/A")</f>
        <v>-48</v>
      </c>
      <c r="M370" cm="1">
        <f t="array" ref="M370">IFERROR(_xlfn.XLOOKUP(C370&amp;A370, RYOE!A:A&amp;RYOE!F:F, RYOE!D:D), "N/A")</f>
        <v>-0.27</v>
      </c>
      <c r="N370" cm="1">
        <f t="array" ref="N370">IFERROR(_xlfn.XLOOKUP(C370&amp;A370, RYOE!A:A&amp;RYOE!F:F, RYOE!E:E), "N/A")</f>
        <v>35</v>
      </c>
    </row>
    <row r="371" spans="1:14" ht="15" customHeight="1" x14ac:dyDescent="0.45">
      <c r="A371" s="8">
        <v>2023</v>
      </c>
      <c r="B371" s="6" t="s">
        <v>212</v>
      </c>
      <c r="C371" s="2" t="str">
        <f t="shared" si="10"/>
        <v>Javonte Williams</v>
      </c>
      <c r="D371" s="2" t="str">
        <f t="shared" si="11"/>
        <v>DEN</v>
      </c>
      <c r="E371" s="2">
        <v>217</v>
      </c>
      <c r="F371" s="2">
        <v>774</v>
      </c>
      <c r="G371" s="2">
        <v>3.6</v>
      </c>
      <c r="H371" s="2">
        <v>3</v>
      </c>
      <c r="I371">
        <v>1</v>
      </c>
      <c r="J371">
        <v>16</v>
      </c>
      <c r="K371" cm="1">
        <f t="array" ref="K371">IFERROR(_xlfn.XLOOKUP(D371&amp;A371, RBWR!A:A&amp;RBWR!C:C, RBWR!B:B), "N/A")</f>
        <v>74</v>
      </c>
      <c r="L371" cm="1">
        <f t="array" ref="L371">IFERROR(_xlfn.XLOOKUP(C371&amp;A371, RYOE!A:A&amp;RYOE!F:F, RYOE!C:C), "N/A")</f>
        <v>-83</v>
      </c>
      <c r="M371" cm="1">
        <f t="array" ref="M371">IFERROR(_xlfn.XLOOKUP(C371&amp;A371, RYOE!A:A&amp;RYOE!F:F, RYOE!D:D), "N/A")</f>
        <v>-0.38</v>
      </c>
      <c r="N371" cm="1">
        <f t="array" ref="N371">IFERROR(_xlfn.XLOOKUP(C371&amp;A371, RYOE!A:A&amp;RYOE!F:F, RYOE!E:E), "N/A")</f>
        <v>39.4</v>
      </c>
    </row>
    <row r="372" spans="1:14" ht="15" customHeight="1" x14ac:dyDescent="0.45">
      <c r="A372" s="7">
        <v>2023</v>
      </c>
      <c r="B372" s="5" t="s">
        <v>291</v>
      </c>
      <c r="C372" s="1" t="str">
        <f t="shared" si="10"/>
        <v>Ezekiel Elliott</v>
      </c>
      <c r="D372" s="1" t="str">
        <f t="shared" si="11"/>
        <v>NE</v>
      </c>
      <c r="E372" s="1">
        <v>184</v>
      </c>
      <c r="F372" s="1">
        <v>642</v>
      </c>
      <c r="G372" s="1">
        <v>3.5</v>
      </c>
      <c r="H372" s="1">
        <v>3</v>
      </c>
      <c r="I372">
        <v>1</v>
      </c>
      <c r="J372">
        <v>17</v>
      </c>
      <c r="K372" cm="1">
        <f t="array" ref="K372">IFERROR(_xlfn.XLOOKUP(D372&amp;A372, RBWR!A:A&amp;RBWR!C:C, RBWR!B:B), "N/A")</f>
        <v>68</v>
      </c>
      <c r="L372" cm="1">
        <f t="array" ref="L372">IFERROR(_xlfn.XLOOKUP(C372&amp;A372, RYOE!A:A&amp;RYOE!F:F, RYOE!C:C), "N/A")</f>
        <v>-71</v>
      </c>
      <c r="M372" cm="1">
        <f t="array" ref="M372">IFERROR(_xlfn.XLOOKUP(C372&amp;A372, RYOE!A:A&amp;RYOE!F:F, RYOE!D:D), "N/A")</f>
        <v>-0.39</v>
      </c>
      <c r="N372" cm="1">
        <f t="array" ref="N372">IFERROR(_xlfn.XLOOKUP(C372&amp;A372, RYOE!A:A&amp;RYOE!F:F, RYOE!E:E), "N/A")</f>
        <v>41.8</v>
      </c>
    </row>
    <row r="373" spans="1:14" ht="15" customHeight="1" x14ac:dyDescent="0.45">
      <c r="A373" s="8">
        <v>2023</v>
      </c>
      <c r="B373" s="6" t="s">
        <v>73</v>
      </c>
      <c r="C373" s="2" t="str">
        <f t="shared" si="10"/>
        <v>Tyler Allgeier</v>
      </c>
      <c r="D373" s="2" t="str">
        <f t="shared" si="11"/>
        <v>ATL</v>
      </c>
      <c r="E373" s="2">
        <v>186</v>
      </c>
      <c r="F373" s="2">
        <v>683</v>
      </c>
      <c r="G373" s="2">
        <v>3.7</v>
      </c>
      <c r="H373" s="2">
        <v>4</v>
      </c>
      <c r="I373">
        <v>0</v>
      </c>
      <c r="J373">
        <v>17</v>
      </c>
      <c r="K373" cm="1">
        <f t="array" ref="K373">IFERROR(_xlfn.XLOOKUP(D373&amp;A373, RBWR!A:A&amp;RBWR!C:C, RBWR!B:B), "N/A")</f>
        <v>72</v>
      </c>
      <c r="L373" cm="1">
        <f t="array" ref="L373">IFERROR(_xlfn.XLOOKUP(C373&amp;A373, RYOE!A:A&amp;RYOE!F:F, RYOE!C:C), "N/A")</f>
        <v>-60</v>
      </c>
      <c r="M373" cm="1">
        <f t="array" ref="M373">IFERROR(_xlfn.XLOOKUP(C373&amp;A373, RYOE!A:A&amp;RYOE!F:F, RYOE!D:D), "N/A")</f>
        <v>-0.33</v>
      </c>
      <c r="N373" cm="1">
        <f t="array" ref="N373">IFERROR(_xlfn.XLOOKUP(C373&amp;A373, RYOE!A:A&amp;RYOE!F:F, RYOE!E:E), "N/A")</f>
        <v>39.200000000000003</v>
      </c>
    </row>
    <row r="374" spans="1:14" ht="15" customHeight="1" x14ac:dyDescent="0.45">
      <c r="A374" s="7">
        <v>2023</v>
      </c>
      <c r="B374" s="5" t="s">
        <v>66</v>
      </c>
      <c r="C374" s="1" t="str">
        <f t="shared" si="10"/>
        <v>Rhamondre Stevenson</v>
      </c>
      <c r="D374" s="1" t="str">
        <f t="shared" si="11"/>
        <v>NE</v>
      </c>
      <c r="E374" s="1">
        <v>156</v>
      </c>
      <c r="F374" s="1">
        <v>619</v>
      </c>
      <c r="G374" s="1">
        <v>4</v>
      </c>
      <c r="H374" s="1">
        <v>4</v>
      </c>
      <c r="I374">
        <v>1</v>
      </c>
      <c r="J374">
        <v>12</v>
      </c>
      <c r="K374" cm="1">
        <f t="array" ref="K374">IFERROR(_xlfn.XLOOKUP(D374&amp;A374, RBWR!A:A&amp;RBWR!C:C, RBWR!B:B), "N/A")</f>
        <v>68</v>
      </c>
      <c r="L374" cm="1">
        <f t="array" ref="L374">IFERROR(_xlfn.XLOOKUP(C374&amp;A374, RYOE!A:A&amp;RYOE!F:F, RYOE!C:C), "N/A")</f>
        <v>-18</v>
      </c>
      <c r="M374" cm="1">
        <f t="array" ref="M374">IFERROR(_xlfn.XLOOKUP(C374&amp;A374, RYOE!A:A&amp;RYOE!F:F, RYOE!D:D), "N/A")</f>
        <v>-0.12</v>
      </c>
      <c r="N374" cm="1">
        <f t="array" ref="N374">IFERROR(_xlfn.XLOOKUP(C374&amp;A374, RYOE!A:A&amp;RYOE!F:F, RYOE!E:E), "N/A")</f>
        <v>37.299999999999997</v>
      </c>
    </row>
    <row r="375" spans="1:14" ht="15" customHeight="1" x14ac:dyDescent="0.45">
      <c r="A375" s="8">
        <v>2023</v>
      </c>
      <c r="B375" s="6" t="s">
        <v>292</v>
      </c>
      <c r="C375" s="2" t="str">
        <f t="shared" si="10"/>
        <v>Aaron Jones Sr.</v>
      </c>
      <c r="D375" s="2" t="str">
        <f t="shared" si="11"/>
        <v>GB</v>
      </c>
      <c r="E375" s="2">
        <v>142</v>
      </c>
      <c r="F375" s="2">
        <v>656</v>
      </c>
      <c r="G375" s="2">
        <v>4.5999999999999996</v>
      </c>
      <c r="H375" s="2">
        <v>2</v>
      </c>
      <c r="I375">
        <v>1</v>
      </c>
      <c r="J375">
        <v>11</v>
      </c>
      <c r="K375" cm="1">
        <f t="array" ref="K375">IFERROR(_xlfn.XLOOKUP(D375&amp;A375, RBWR!A:A&amp;RBWR!C:C, RBWR!B:B), "N/A")</f>
        <v>70</v>
      </c>
      <c r="L375" cm="1">
        <f t="array" ref="L375">IFERROR(_xlfn.XLOOKUP(C375&amp;A375, RYOE!A:A&amp;RYOE!F:F, RYOE!C:C), "N/A")</f>
        <v>16</v>
      </c>
      <c r="M375" cm="1">
        <f t="array" ref="M375">IFERROR(_xlfn.XLOOKUP(C375&amp;A375, RYOE!A:A&amp;RYOE!F:F, RYOE!D:D), "N/A")</f>
        <v>0.12</v>
      </c>
      <c r="N375" cm="1">
        <f t="array" ref="N375">IFERROR(_xlfn.XLOOKUP(C375&amp;A375, RYOE!A:A&amp;RYOE!F:F, RYOE!E:E), "N/A")</f>
        <v>39.4</v>
      </c>
    </row>
    <row r="376" spans="1:14" ht="15" customHeight="1" x14ac:dyDescent="0.45">
      <c r="A376" s="7">
        <v>2023</v>
      </c>
      <c r="B376" s="5" t="s">
        <v>293</v>
      </c>
      <c r="C376" s="1" t="str">
        <f t="shared" si="10"/>
        <v>Kareem Hunt</v>
      </c>
      <c r="D376" s="1" t="str">
        <f t="shared" si="11"/>
        <v>CLE</v>
      </c>
      <c r="E376" s="1">
        <v>135</v>
      </c>
      <c r="F376" s="1">
        <v>411</v>
      </c>
      <c r="G376" s="1">
        <v>3</v>
      </c>
      <c r="H376" s="1">
        <v>9</v>
      </c>
      <c r="I376">
        <v>0</v>
      </c>
      <c r="J376">
        <v>15</v>
      </c>
      <c r="K376" cm="1">
        <f t="array" ref="K376">IFERROR(_xlfn.XLOOKUP(D376&amp;A376, RBWR!A:A&amp;RBWR!C:C, RBWR!B:B), "N/A")</f>
        <v>70</v>
      </c>
      <c r="L376" cm="1">
        <f t="array" ref="L376">IFERROR(_xlfn.XLOOKUP(C376&amp;A376, RYOE!A:A&amp;RYOE!F:F, RYOE!C:C), "N/A")</f>
        <v>-101</v>
      </c>
      <c r="M376" cm="1">
        <f t="array" ref="M376">IFERROR(_xlfn.XLOOKUP(C376&amp;A376, RYOE!A:A&amp;RYOE!F:F, RYOE!D:D), "N/A")</f>
        <v>-0.75</v>
      </c>
      <c r="N376" cm="1">
        <f t="array" ref="N376">IFERROR(_xlfn.XLOOKUP(C376&amp;A376, RYOE!A:A&amp;RYOE!F:F, RYOE!E:E), "N/A")</f>
        <v>35.1</v>
      </c>
    </row>
    <row r="377" spans="1:14" ht="15" customHeight="1" x14ac:dyDescent="0.45">
      <c r="A377" s="8">
        <v>2023</v>
      </c>
      <c r="B377" s="6" t="s">
        <v>294</v>
      </c>
      <c r="C377" s="2" t="str">
        <f t="shared" si="10"/>
        <v>Alexander Mattison</v>
      </c>
      <c r="D377" s="2" t="str">
        <f t="shared" si="11"/>
        <v>MIN</v>
      </c>
      <c r="E377" s="2">
        <v>180</v>
      </c>
      <c r="F377" s="2">
        <v>700</v>
      </c>
      <c r="G377" s="2">
        <v>3.9</v>
      </c>
      <c r="H377" s="2">
        <v>0</v>
      </c>
      <c r="I377">
        <v>2</v>
      </c>
      <c r="J377">
        <v>16</v>
      </c>
      <c r="K377" cm="1">
        <f t="array" ref="K377">IFERROR(_xlfn.XLOOKUP(D377&amp;A377, RBWR!A:A&amp;RBWR!C:C, RBWR!B:B), "N/A")</f>
        <v>72</v>
      </c>
      <c r="L377" cm="1">
        <f t="array" ref="L377">IFERROR(_xlfn.XLOOKUP(C377&amp;A377, RYOE!A:A&amp;RYOE!F:F, RYOE!C:C), "N/A")</f>
        <v>-45</v>
      </c>
      <c r="M377" cm="1">
        <f t="array" ref="M377">IFERROR(_xlfn.XLOOKUP(C377&amp;A377, RYOE!A:A&amp;RYOE!F:F, RYOE!D:D), "N/A")</f>
        <v>-0.25</v>
      </c>
      <c r="N377" cm="1">
        <f t="array" ref="N377">IFERROR(_xlfn.XLOOKUP(C377&amp;A377, RYOE!A:A&amp;RYOE!F:F, RYOE!E:E), "N/A")</f>
        <v>39.700000000000003</v>
      </c>
    </row>
    <row r="378" spans="1:14" ht="15" customHeight="1" x14ac:dyDescent="0.45">
      <c r="A378" s="7">
        <v>2023</v>
      </c>
      <c r="B378" s="5" t="s">
        <v>91</v>
      </c>
      <c r="C378" s="1" t="str">
        <f t="shared" si="10"/>
        <v>Tyjae Spears</v>
      </c>
      <c r="D378" s="1" t="str">
        <f t="shared" si="11"/>
        <v>TEN</v>
      </c>
      <c r="E378" s="1">
        <v>100</v>
      </c>
      <c r="F378" s="1">
        <v>453</v>
      </c>
      <c r="G378" s="1">
        <v>4.5</v>
      </c>
      <c r="H378" s="1">
        <v>2</v>
      </c>
      <c r="I378">
        <v>0</v>
      </c>
      <c r="J378">
        <v>17</v>
      </c>
      <c r="K378" cm="1">
        <f t="array" ref="K378">IFERROR(_xlfn.XLOOKUP(D378&amp;A378, RBWR!A:A&amp;RBWR!C:C, RBWR!B:B), "N/A")</f>
        <v>71</v>
      </c>
      <c r="L378" cm="1">
        <f t="array" ref="L378">IFERROR(_xlfn.XLOOKUP(C378&amp;A378, RYOE!A:A&amp;RYOE!F:F, RYOE!C:C), "N/A")</f>
        <v>-14</v>
      </c>
      <c r="M378" cm="1">
        <f t="array" ref="M378">IFERROR(_xlfn.XLOOKUP(C378&amp;A378, RYOE!A:A&amp;RYOE!F:F, RYOE!D:D), "N/A")</f>
        <v>-0.15</v>
      </c>
      <c r="N378" cm="1">
        <f t="array" ref="N378">IFERROR(_xlfn.XLOOKUP(C378&amp;A378, RYOE!A:A&amp;RYOE!F:F, RYOE!E:E), "N/A")</f>
        <v>33</v>
      </c>
    </row>
    <row r="379" spans="1:14" ht="15" customHeight="1" x14ac:dyDescent="0.45">
      <c r="A379" s="8">
        <v>2023</v>
      </c>
      <c r="B379" s="6" t="s">
        <v>295</v>
      </c>
      <c r="C379" s="2" t="str">
        <f t="shared" si="10"/>
        <v>AJ Dillon</v>
      </c>
      <c r="D379" s="2" t="str">
        <f t="shared" si="11"/>
        <v>GB</v>
      </c>
      <c r="E379" s="2">
        <v>178</v>
      </c>
      <c r="F379" s="2">
        <v>613</v>
      </c>
      <c r="G379" s="2">
        <v>3.4</v>
      </c>
      <c r="H379" s="2">
        <v>2</v>
      </c>
      <c r="I379">
        <v>0</v>
      </c>
      <c r="J379">
        <v>15</v>
      </c>
      <c r="K379" cm="1">
        <f t="array" ref="K379">IFERROR(_xlfn.XLOOKUP(D379&amp;A379, RBWR!A:A&amp;RBWR!C:C, RBWR!B:B), "N/A")</f>
        <v>70</v>
      </c>
      <c r="L379" cm="1">
        <f t="array" ref="L379">IFERROR(_xlfn.XLOOKUP(C379&amp;A379, RYOE!A:A&amp;RYOE!F:F, RYOE!C:C), "N/A")</f>
        <v>-64</v>
      </c>
      <c r="M379" cm="1">
        <f t="array" ref="M379">IFERROR(_xlfn.XLOOKUP(C379&amp;A379, RYOE!A:A&amp;RYOE!F:F, RYOE!D:D), "N/A")</f>
        <v>-0.36</v>
      </c>
      <c r="N379" cm="1">
        <f t="array" ref="N379">IFERROR(_xlfn.XLOOKUP(C379&amp;A379, RYOE!A:A&amp;RYOE!F:F, RYOE!E:E), "N/A")</f>
        <v>36.9</v>
      </c>
    </row>
    <row r="380" spans="1:14" ht="15" customHeight="1" x14ac:dyDescent="0.45">
      <c r="A380" s="7">
        <v>2023</v>
      </c>
      <c r="B380" s="5" t="s">
        <v>296</v>
      </c>
      <c r="C380" s="1" t="str">
        <f t="shared" si="10"/>
        <v>Khalil Herbert</v>
      </c>
      <c r="D380" s="1" t="str">
        <f t="shared" si="11"/>
        <v>CHI</v>
      </c>
      <c r="E380" s="1">
        <v>132</v>
      </c>
      <c r="F380" s="1">
        <v>611</v>
      </c>
      <c r="G380" s="1">
        <v>4.5999999999999996</v>
      </c>
      <c r="H380" s="1">
        <v>2</v>
      </c>
      <c r="I380">
        <v>1</v>
      </c>
      <c r="J380">
        <v>12</v>
      </c>
      <c r="K380" cm="1">
        <f t="array" ref="K380">IFERROR(_xlfn.XLOOKUP(D380&amp;A380, RBWR!A:A&amp;RBWR!C:C, RBWR!B:B), "N/A")</f>
        <v>75</v>
      </c>
      <c r="L380" cm="1">
        <f t="array" ref="L380">IFERROR(_xlfn.XLOOKUP(C380&amp;A380, RYOE!A:A&amp;RYOE!F:F, RYOE!C:C), "N/A")</f>
        <v>38</v>
      </c>
      <c r="M380" cm="1">
        <f t="array" ref="M380">IFERROR(_xlfn.XLOOKUP(C380&amp;A380, RYOE!A:A&amp;RYOE!F:F, RYOE!D:D), "N/A")</f>
        <v>0.28999999999999998</v>
      </c>
      <c r="N380" cm="1">
        <f t="array" ref="N380">IFERROR(_xlfn.XLOOKUP(C380&amp;A380, RYOE!A:A&amp;RYOE!F:F, RYOE!E:E), "N/A")</f>
        <v>41.9</v>
      </c>
    </row>
    <row r="381" spans="1:14" ht="15" customHeight="1" x14ac:dyDescent="0.45">
      <c r="A381" s="8">
        <v>2023</v>
      </c>
      <c r="B381" s="6" t="s">
        <v>118</v>
      </c>
      <c r="C381" s="2" t="str">
        <f t="shared" si="10"/>
        <v>Justice Hill</v>
      </c>
      <c r="D381" s="2" t="str">
        <f t="shared" si="11"/>
        <v>BAL</v>
      </c>
      <c r="E381" s="2">
        <v>84</v>
      </c>
      <c r="F381" s="2">
        <v>387</v>
      </c>
      <c r="G381" s="2">
        <v>4.5999999999999996</v>
      </c>
      <c r="H381" s="2">
        <v>3</v>
      </c>
      <c r="I381">
        <v>1</v>
      </c>
      <c r="J381">
        <v>16</v>
      </c>
      <c r="K381" cm="1">
        <f t="array" ref="K381">IFERROR(_xlfn.XLOOKUP(D381&amp;A381, RBWR!A:A&amp;RBWR!C:C, RBWR!B:B), "N/A")</f>
        <v>74</v>
      </c>
      <c r="L381" t="str" cm="1">
        <f t="array" ref="L381">IFERROR(_xlfn.XLOOKUP(C381&amp;A381, RYOE!A:A&amp;RYOE!F:F, RYOE!C:C), "N/A")</f>
        <v>N/A</v>
      </c>
      <c r="M381" t="str" cm="1">
        <f t="array" ref="M381">IFERROR(_xlfn.XLOOKUP(C381&amp;A381, RYOE!A:A&amp;RYOE!F:F, RYOE!D:D), "N/A")</f>
        <v>N/A</v>
      </c>
      <c r="N381" t="str" cm="1">
        <f t="array" ref="N381">IFERROR(_xlfn.XLOOKUP(C381&amp;A381, RYOE!A:A&amp;RYOE!F:F, RYOE!E:E), "N/A")</f>
        <v>N/A</v>
      </c>
    </row>
    <row r="382" spans="1:14" ht="15" customHeight="1" x14ac:dyDescent="0.45">
      <c r="A382" s="7">
        <v>2023</v>
      </c>
      <c r="B382" s="5" t="s">
        <v>297</v>
      </c>
      <c r="C382" s="1" t="str">
        <f t="shared" si="10"/>
        <v>D'Onta Foreman</v>
      </c>
      <c r="D382" s="1" t="str">
        <f t="shared" si="11"/>
        <v>CHI</v>
      </c>
      <c r="E382" s="1">
        <v>109</v>
      </c>
      <c r="F382" s="1">
        <v>425</v>
      </c>
      <c r="G382" s="1">
        <v>3.9</v>
      </c>
      <c r="H382" s="1">
        <v>4</v>
      </c>
      <c r="I382">
        <v>0</v>
      </c>
      <c r="J382">
        <v>9</v>
      </c>
      <c r="K382" cm="1">
        <f t="array" ref="K382">IFERROR(_xlfn.XLOOKUP(D382&amp;A382, RBWR!A:A&amp;RBWR!C:C, RBWR!B:B), "N/A")</f>
        <v>75</v>
      </c>
      <c r="L382" cm="1">
        <f t="array" ref="L382">IFERROR(_xlfn.XLOOKUP(C382&amp;A382, RYOE!A:A&amp;RYOE!F:F, RYOE!C:C), "N/A")</f>
        <v>-11</v>
      </c>
      <c r="M382" cm="1">
        <f t="array" ref="M382">IFERROR(_xlfn.XLOOKUP(C382&amp;A382, RYOE!A:A&amp;RYOE!F:F, RYOE!D:D), "N/A")</f>
        <v>-0.1</v>
      </c>
      <c r="N382" cm="1">
        <f t="array" ref="N382">IFERROR(_xlfn.XLOOKUP(C382&amp;A382, RYOE!A:A&amp;RYOE!F:F, RYOE!E:E), "N/A")</f>
        <v>42.6</v>
      </c>
    </row>
    <row r="383" spans="1:14" ht="15" customHeight="1" x14ac:dyDescent="0.45">
      <c r="A383" s="8">
        <v>2023</v>
      </c>
      <c r="B383" s="6" t="s">
        <v>136</v>
      </c>
      <c r="C383" s="2" t="str">
        <f t="shared" si="10"/>
        <v>Ty Chandler</v>
      </c>
      <c r="D383" s="2" t="str">
        <f t="shared" si="11"/>
        <v>MIN</v>
      </c>
      <c r="E383" s="2">
        <v>102</v>
      </c>
      <c r="F383" s="2">
        <v>461</v>
      </c>
      <c r="G383" s="2">
        <v>4.5</v>
      </c>
      <c r="H383" s="2">
        <v>3</v>
      </c>
      <c r="I383">
        <v>0</v>
      </c>
      <c r="J383">
        <v>16</v>
      </c>
      <c r="K383" cm="1">
        <f t="array" ref="K383">IFERROR(_xlfn.XLOOKUP(D383&amp;A383, RBWR!A:A&amp;RBWR!C:C, RBWR!B:B), "N/A")</f>
        <v>72</v>
      </c>
      <c r="L383" cm="1">
        <f t="array" ref="L383">IFERROR(_xlfn.XLOOKUP(C383&amp;A383, RYOE!A:A&amp;RYOE!F:F, RYOE!C:C), "N/A")</f>
        <v>-14</v>
      </c>
      <c r="M383" cm="1">
        <f t="array" ref="M383">IFERROR(_xlfn.XLOOKUP(C383&amp;A383, RYOE!A:A&amp;RYOE!F:F, RYOE!D:D), "N/A")</f>
        <v>-0.14000000000000001</v>
      </c>
      <c r="N383" cm="1">
        <f t="array" ref="N383">IFERROR(_xlfn.XLOOKUP(C383&amp;A383, RYOE!A:A&amp;RYOE!F:F, RYOE!E:E), "N/A")</f>
        <v>41.4</v>
      </c>
    </row>
    <row r="384" spans="1:14" ht="15" customHeight="1" x14ac:dyDescent="0.45">
      <c r="A384" s="7">
        <v>2023</v>
      </c>
      <c r="B384" s="5" t="s">
        <v>298</v>
      </c>
      <c r="C384" s="1" t="str">
        <f t="shared" si="10"/>
        <v>Antonio Gibson</v>
      </c>
      <c r="D384" s="1" t="str">
        <f t="shared" si="11"/>
        <v>WAS</v>
      </c>
      <c r="E384" s="1">
        <v>65</v>
      </c>
      <c r="F384" s="1">
        <v>265</v>
      </c>
      <c r="G384" s="1">
        <v>4.0999999999999996</v>
      </c>
      <c r="H384" s="1">
        <v>1</v>
      </c>
      <c r="I384">
        <v>2</v>
      </c>
      <c r="J384">
        <v>16</v>
      </c>
      <c r="K384" cm="1">
        <f t="array" ref="K384">IFERROR(_xlfn.XLOOKUP(D384&amp;A384, RBWR!A:A&amp;RBWR!C:C, RBWR!B:B), "N/A")</f>
        <v>75</v>
      </c>
      <c r="L384" t="str" cm="1">
        <f t="array" ref="L384">IFERROR(_xlfn.XLOOKUP(C384&amp;A384, RYOE!A:A&amp;RYOE!F:F, RYOE!C:C), "N/A")</f>
        <v>N/A</v>
      </c>
      <c r="M384" t="str" cm="1">
        <f t="array" ref="M384">IFERROR(_xlfn.XLOOKUP(C384&amp;A384, RYOE!A:A&amp;RYOE!F:F, RYOE!D:D), "N/A")</f>
        <v>N/A</v>
      </c>
      <c r="N384" t="str" cm="1">
        <f t="array" ref="N384">IFERROR(_xlfn.XLOOKUP(C384&amp;A384, RYOE!A:A&amp;RYOE!F:F, RYOE!E:E), "N/A")</f>
        <v>N/A</v>
      </c>
    </row>
    <row r="385" spans="1:14" ht="15" customHeight="1" x14ac:dyDescent="0.45">
      <c r="A385" s="8">
        <v>2023</v>
      </c>
      <c r="B385" s="6" t="s">
        <v>103</v>
      </c>
      <c r="C385" s="2" t="str">
        <f t="shared" si="10"/>
        <v>Jaleel McLaughlin</v>
      </c>
      <c r="D385" s="2" t="str">
        <f t="shared" si="11"/>
        <v>DEN</v>
      </c>
      <c r="E385" s="2">
        <v>76</v>
      </c>
      <c r="F385" s="2">
        <v>410</v>
      </c>
      <c r="G385" s="2">
        <v>5.4</v>
      </c>
      <c r="H385" s="2">
        <v>1</v>
      </c>
      <c r="I385">
        <v>0</v>
      </c>
      <c r="J385">
        <v>17</v>
      </c>
      <c r="K385" cm="1">
        <f t="array" ref="K385">IFERROR(_xlfn.XLOOKUP(D385&amp;A385, RBWR!A:A&amp;RBWR!C:C, RBWR!B:B), "N/A")</f>
        <v>74</v>
      </c>
      <c r="L385" t="str" cm="1">
        <f t="array" ref="L385">IFERROR(_xlfn.XLOOKUP(C385&amp;A385, RYOE!A:A&amp;RYOE!F:F, RYOE!C:C), "N/A")</f>
        <v>N/A</v>
      </c>
      <c r="M385" t="str" cm="1">
        <f t="array" ref="M385">IFERROR(_xlfn.XLOOKUP(C385&amp;A385, RYOE!A:A&amp;RYOE!F:F, RYOE!D:D), "N/A")</f>
        <v>N/A</v>
      </c>
      <c r="N385" t="str" cm="1">
        <f t="array" ref="N385">IFERROR(_xlfn.XLOOKUP(C385&amp;A385, RYOE!A:A&amp;RYOE!F:F, RYOE!E:E), "N/A")</f>
        <v>N/A</v>
      </c>
    </row>
    <row r="386" spans="1:14" ht="15" customHeight="1" x14ac:dyDescent="0.45">
      <c r="A386" s="7">
        <v>2023</v>
      </c>
      <c r="B386" s="5" t="s">
        <v>209</v>
      </c>
      <c r="C386" s="1" t="str">
        <f t="shared" ref="C386:C449" si="12">TRIM(LEFT(B386, LEN(B386) - LEN(TRIM(RIGHT(SUBSTITUTE(TRIM(B386)," ",REPT(" ",100)),100)))))</f>
        <v>Rico Dowdle</v>
      </c>
      <c r="D386" s="1" t="str">
        <f t="shared" ref="D386:D449" si="13">MID(B386, FIND("(", B386) + 1, FIND(")", B386) - FIND("(", B386) - 1)</f>
        <v>DAL</v>
      </c>
      <c r="E386" s="1">
        <v>89</v>
      </c>
      <c r="F386" s="1">
        <v>361</v>
      </c>
      <c r="G386" s="1">
        <v>4.0999999999999996</v>
      </c>
      <c r="H386" s="1">
        <v>2</v>
      </c>
      <c r="I386">
        <v>0</v>
      </c>
      <c r="J386">
        <v>16</v>
      </c>
      <c r="K386" cm="1">
        <f t="array" ref="K386">IFERROR(_xlfn.XLOOKUP(D386&amp;A386, RBWR!A:A&amp;RBWR!C:C, RBWR!B:B), "N/A")</f>
        <v>73</v>
      </c>
      <c r="L386" t="str" cm="1">
        <f t="array" ref="L386">IFERROR(_xlfn.XLOOKUP(C386&amp;A386, RYOE!A:A&amp;RYOE!F:F, RYOE!C:C), "N/A")</f>
        <v>N/A</v>
      </c>
      <c r="M386" t="str" cm="1">
        <f t="array" ref="M386">IFERROR(_xlfn.XLOOKUP(C386&amp;A386, RYOE!A:A&amp;RYOE!F:F, RYOE!D:D), "N/A")</f>
        <v>N/A</v>
      </c>
      <c r="N386" t="str" cm="1">
        <f t="array" ref="N386">IFERROR(_xlfn.XLOOKUP(C386&amp;A386, RYOE!A:A&amp;RYOE!F:F, RYOE!E:E), "N/A")</f>
        <v>N/A</v>
      </c>
    </row>
    <row r="387" spans="1:14" ht="15" customHeight="1" x14ac:dyDescent="0.45">
      <c r="A387" s="8">
        <v>2023</v>
      </c>
      <c r="B387" s="6" t="s">
        <v>61</v>
      </c>
      <c r="C387" s="2" t="str">
        <f t="shared" si="12"/>
        <v>Zach Charbonnet</v>
      </c>
      <c r="D387" s="2" t="str">
        <f t="shared" si="13"/>
        <v>SEA</v>
      </c>
      <c r="E387" s="2">
        <v>108</v>
      </c>
      <c r="F387" s="2">
        <v>462</v>
      </c>
      <c r="G387" s="2">
        <v>4.3</v>
      </c>
      <c r="H387" s="2">
        <v>1</v>
      </c>
      <c r="I387">
        <v>0</v>
      </c>
      <c r="J387">
        <v>16</v>
      </c>
      <c r="K387" cm="1">
        <f t="array" ref="K387">IFERROR(_xlfn.XLOOKUP(D387&amp;A387, RBWR!A:A&amp;RBWR!C:C, RBWR!B:B), "N/A")</f>
        <v>68</v>
      </c>
      <c r="L387" cm="1">
        <f t="array" ref="L387">IFERROR(_xlfn.XLOOKUP(C387&amp;A387, RYOE!A:A&amp;RYOE!F:F, RYOE!C:C), "N/A")</f>
        <v>19</v>
      </c>
      <c r="M387" cm="1">
        <f t="array" ref="M387">IFERROR(_xlfn.XLOOKUP(C387&amp;A387, RYOE!A:A&amp;RYOE!F:F, RYOE!D:D), "N/A")</f>
        <v>0.18</v>
      </c>
      <c r="N387" cm="1">
        <f t="array" ref="N387">IFERROR(_xlfn.XLOOKUP(C387&amp;A387, RYOE!A:A&amp;RYOE!F:F, RYOE!E:E), "N/A")</f>
        <v>40.6</v>
      </c>
    </row>
    <row r="388" spans="1:14" ht="15" customHeight="1" x14ac:dyDescent="0.45">
      <c r="A388" s="7">
        <v>2023</v>
      </c>
      <c r="B388" s="5" t="s">
        <v>299</v>
      </c>
      <c r="C388" s="1" t="str">
        <f t="shared" si="12"/>
        <v>Samaje Perine</v>
      </c>
      <c r="D388" s="1" t="str">
        <f t="shared" si="13"/>
        <v>DEN</v>
      </c>
      <c r="E388" s="1">
        <v>53</v>
      </c>
      <c r="F388" s="1">
        <v>238</v>
      </c>
      <c r="G388" s="1">
        <v>4.5</v>
      </c>
      <c r="H388" s="1">
        <v>1</v>
      </c>
      <c r="I388">
        <v>2</v>
      </c>
      <c r="J388">
        <v>17</v>
      </c>
      <c r="K388" cm="1">
        <f t="array" ref="K388">IFERROR(_xlfn.XLOOKUP(D388&amp;A388, RBWR!A:A&amp;RBWR!C:C, RBWR!B:B), "N/A")</f>
        <v>74</v>
      </c>
      <c r="L388" t="str" cm="1">
        <f t="array" ref="L388">IFERROR(_xlfn.XLOOKUP(C388&amp;A388, RYOE!A:A&amp;RYOE!F:F, RYOE!C:C), "N/A")</f>
        <v>N/A</v>
      </c>
      <c r="M388" t="str" cm="1">
        <f t="array" ref="M388">IFERROR(_xlfn.XLOOKUP(C388&amp;A388, RYOE!A:A&amp;RYOE!F:F, RYOE!D:D), "N/A")</f>
        <v>N/A</v>
      </c>
      <c r="N388" t="str" cm="1">
        <f t="array" ref="N388">IFERROR(_xlfn.XLOOKUP(C388&amp;A388, RYOE!A:A&amp;RYOE!F:F, RYOE!E:E), "N/A")</f>
        <v>N/A</v>
      </c>
    </row>
    <row r="389" spans="1:14" ht="15" customHeight="1" x14ac:dyDescent="0.45">
      <c r="A389" s="8">
        <v>2023</v>
      </c>
      <c r="B389" s="6" t="s">
        <v>226</v>
      </c>
      <c r="C389" s="2" t="str">
        <f t="shared" si="12"/>
        <v>Dameon Pierce</v>
      </c>
      <c r="D389" s="2" t="str">
        <f t="shared" si="13"/>
        <v>HOU</v>
      </c>
      <c r="E389" s="2">
        <v>145</v>
      </c>
      <c r="F389" s="2">
        <v>416</v>
      </c>
      <c r="G389" s="2">
        <v>2.9</v>
      </c>
      <c r="H389" s="2">
        <v>2</v>
      </c>
      <c r="I389">
        <v>0</v>
      </c>
      <c r="J389">
        <v>14</v>
      </c>
      <c r="K389" cm="1">
        <f t="array" ref="K389">IFERROR(_xlfn.XLOOKUP(D389&amp;A389, RBWR!A:A&amp;RBWR!C:C, RBWR!B:B), "N/A")</f>
        <v>68</v>
      </c>
      <c r="L389" cm="1">
        <f t="array" ref="L389">IFERROR(_xlfn.XLOOKUP(C389&amp;A389, RYOE!A:A&amp;RYOE!F:F, RYOE!C:C), "N/A")</f>
        <v>-83</v>
      </c>
      <c r="M389" cm="1">
        <f t="array" ref="M389">IFERROR(_xlfn.XLOOKUP(C389&amp;A389, RYOE!A:A&amp;RYOE!F:F, RYOE!D:D), "N/A")</f>
        <v>-0.59</v>
      </c>
      <c r="N389" cm="1">
        <f t="array" ref="N389">IFERROR(_xlfn.XLOOKUP(C389&amp;A389, RYOE!A:A&amp;RYOE!F:F, RYOE!E:E), "N/A")</f>
        <v>32.6</v>
      </c>
    </row>
    <row r="390" spans="1:14" ht="15" customHeight="1" x14ac:dyDescent="0.45">
      <c r="A390" s="7">
        <v>2023</v>
      </c>
      <c r="B390" s="5" t="s">
        <v>158</v>
      </c>
      <c r="C390" s="1" t="str">
        <f t="shared" si="12"/>
        <v>Roschon Johnson</v>
      </c>
      <c r="D390" s="1" t="str">
        <f t="shared" si="13"/>
        <v>CHI</v>
      </c>
      <c r="E390" s="1">
        <v>81</v>
      </c>
      <c r="F390" s="1">
        <v>352</v>
      </c>
      <c r="G390" s="1">
        <v>4.3</v>
      </c>
      <c r="H390" s="1">
        <v>2</v>
      </c>
      <c r="I390">
        <v>0</v>
      </c>
      <c r="J390">
        <v>15</v>
      </c>
      <c r="K390" cm="1">
        <f t="array" ref="K390">IFERROR(_xlfn.XLOOKUP(D390&amp;A390, RBWR!A:A&amp;RBWR!C:C, RBWR!B:B), "N/A")</f>
        <v>75</v>
      </c>
      <c r="L390" t="str" cm="1">
        <f t="array" ref="L390">IFERROR(_xlfn.XLOOKUP(C390&amp;A390, RYOE!A:A&amp;RYOE!F:F, RYOE!C:C), "N/A")</f>
        <v>N/A</v>
      </c>
      <c r="M390" t="str" cm="1">
        <f t="array" ref="M390">IFERROR(_xlfn.XLOOKUP(C390&amp;A390, RYOE!A:A&amp;RYOE!F:F, RYOE!D:D), "N/A")</f>
        <v>N/A</v>
      </c>
      <c r="N390" t="str" cm="1">
        <f t="array" ref="N390">IFERROR(_xlfn.XLOOKUP(C390&amp;A390, RYOE!A:A&amp;RYOE!F:F, RYOE!E:E), "N/A")</f>
        <v>N/A</v>
      </c>
    </row>
    <row r="391" spans="1:14" ht="15" customHeight="1" x14ac:dyDescent="0.45">
      <c r="A391" s="8">
        <v>2023</v>
      </c>
      <c r="B391" s="6" t="s">
        <v>223</v>
      </c>
      <c r="C391" s="2" t="str">
        <f t="shared" si="12"/>
        <v>Kenny Gainwell</v>
      </c>
      <c r="D391" s="2" t="str">
        <f t="shared" si="13"/>
        <v>PHI</v>
      </c>
      <c r="E391" s="2">
        <v>84</v>
      </c>
      <c r="F391" s="2">
        <v>364</v>
      </c>
      <c r="G391" s="2">
        <v>4.3</v>
      </c>
      <c r="H391" s="2">
        <v>2</v>
      </c>
      <c r="I391">
        <v>1</v>
      </c>
      <c r="J391">
        <v>16</v>
      </c>
      <c r="K391" cm="1">
        <f t="array" ref="K391">IFERROR(_xlfn.XLOOKUP(D391&amp;A391, RBWR!A:A&amp;RBWR!C:C, RBWR!B:B), "N/A")</f>
        <v>73</v>
      </c>
      <c r="L391" t="str" cm="1">
        <f t="array" ref="L391">IFERROR(_xlfn.XLOOKUP(C391&amp;A391, RYOE!A:A&amp;RYOE!F:F, RYOE!C:C), "N/A")</f>
        <v>N/A</v>
      </c>
      <c r="M391" t="str" cm="1">
        <f t="array" ref="M391">IFERROR(_xlfn.XLOOKUP(C391&amp;A391, RYOE!A:A&amp;RYOE!F:F, RYOE!D:D), "N/A")</f>
        <v>N/A</v>
      </c>
      <c r="N391" t="str" cm="1">
        <f t="array" ref="N391">IFERROR(_xlfn.XLOOKUP(C391&amp;A391, RYOE!A:A&amp;RYOE!F:F, RYOE!E:E), "N/A")</f>
        <v>N/A</v>
      </c>
    </row>
    <row r="392" spans="1:14" ht="15" customHeight="1" x14ac:dyDescent="0.45">
      <c r="A392" s="7">
        <v>2023</v>
      </c>
      <c r="B392" s="5" t="s">
        <v>300</v>
      </c>
      <c r="C392" s="1" t="str">
        <f t="shared" si="12"/>
        <v>Latavius Murray</v>
      </c>
      <c r="D392" s="1" t="str">
        <f t="shared" si="13"/>
        <v>BUF</v>
      </c>
      <c r="E392" s="1">
        <v>79</v>
      </c>
      <c r="F392" s="1">
        <v>300</v>
      </c>
      <c r="G392" s="1">
        <v>3.8</v>
      </c>
      <c r="H392" s="1">
        <v>4</v>
      </c>
      <c r="I392">
        <v>0</v>
      </c>
      <c r="J392">
        <v>15</v>
      </c>
      <c r="K392" cm="1">
        <f t="array" ref="K392">IFERROR(_xlfn.XLOOKUP(D392&amp;A392, RBWR!A:A&amp;RBWR!C:C, RBWR!B:B), "N/A")</f>
        <v>71</v>
      </c>
      <c r="L392" t="str" cm="1">
        <f t="array" ref="L392">IFERROR(_xlfn.XLOOKUP(C392&amp;A392, RYOE!A:A&amp;RYOE!F:F, RYOE!C:C), "N/A")</f>
        <v>N/A</v>
      </c>
      <c r="M392" t="str" cm="1">
        <f t="array" ref="M392">IFERROR(_xlfn.XLOOKUP(C392&amp;A392, RYOE!A:A&amp;RYOE!F:F, RYOE!D:D), "N/A")</f>
        <v>N/A</v>
      </c>
      <c r="N392" t="str" cm="1">
        <f t="array" ref="N392">IFERROR(_xlfn.XLOOKUP(C392&amp;A392, RYOE!A:A&amp;RYOE!F:F, RYOE!E:E), "N/A")</f>
        <v>N/A</v>
      </c>
    </row>
    <row r="393" spans="1:14" ht="15" customHeight="1" x14ac:dyDescent="0.45">
      <c r="A393" s="8">
        <v>2023</v>
      </c>
      <c r="B393" s="6" t="s">
        <v>85</v>
      </c>
      <c r="C393" s="2" t="str">
        <f t="shared" si="12"/>
        <v>Keaton Mitchell</v>
      </c>
      <c r="D393" s="2" t="str">
        <f t="shared" si="13"/>
        <v>BAL</v>
      </c>
      <c r="E393" s="2">
        <v>47</v>
      </c>
      <c r="F393" s="2">
        <v>396</v>
      </c>
      <c r="G393" s="2">
        <v>8.4</v>
      </c>
      <c r="H393" s="2">
        <v>2</v>
      </c>
      <c r="I393">
        <v>0</v>
      </c>
      <c r="J393">
        <v>7</v>
      </c>
      <c r="K393" cm="1">
        <f t="array" ref="K393">IFERROR(_xlfn.XLOOKUP(D393&amp;A393, RBWR!A:A&amp;RBWR!C:C, RBWR!B:B), "N/A")</f>
        <v>74</v>
      </c>
      <c r="L393" t="str" cm="1">
        <f t="array" ref="L393">IFERROR(_xlfn.XLOOKUP(C393&amp;A393, RYOE!A:A&amp;RYOE!F:F, RYOE!C:C), "N/A")</f>
        <v>N/A</v>
      </c>
      <c r="M393" t="str" cm="1">
        <f t="array" ref="M393">IFERROR(_xlfn.XLOOKUP(C393&amp;A393, RYOE!A:A&amp;RYOE!F:F, RYOE!D:D), "N/A")</f>
        <v>N/A</v>
      </c>
      <c r="N393" t="str" cm="1">
        <f t="array" ref="N393">IFERROR(_xlfn.XLOOKUP(C393&amp;A393, RYOE!A:A&amp;RYOE!F:F, RYOE!E:E), "N/A")</f>
        <v>N/A</v>
      </c>
    </row>
    <row r="394" spans="1:14" ht="15" customHeight="1" x14ac:dyDescent="0.45">
      <c r="A394" s="7">
        <v>2023</v>
      </c>
      <c r="B394" s="5" t="s">
        <v>221</v>
      </c>
      <c r="C394" s="1" t="str">
        <f t="shared" si="12"/>
        <v>Miles Sanders</v>
      </c>
      <c r="D394" s="1" t="str">
        <f t="shared" si="13"/>
        <v>CAR</v>
      </c>
      <c r="E394" s="1">
        <v>129</v>
      </c>
      <c r="F394" s="1">
        <v>432</v>
      </c>
      <c r="G394" s="1">
        <v>3.3</v>
      </c>
      <c r="H394" s="1">
        <v>1</v>
      </c>
      <c r="I394">
        <v>2</v>
      </c>
      <c r="J394">
        <v>16</v>
      </c>
      <c r="K394" cm="1">
        <f t="array" ref="K394">IFERROR(_xlfn.XLOOKUP(D394&amp;A394, RBWR!A:A&amp;RBWR!C:C, RBWR!B:B), "N/A")</f>
        <v>72</v>
      </c>
      <c r="L394" cm="1">
        <f t="array" ref="L394">IFERROR(_xlfn.XLOOKUP(C394&amp;A394, RYOE!A:A&amp;RYOE!F:F, RYOE!C:C), "N/A")</f>
        <v>-54</v>
      </c>
      <c r="M394" cm="1">
        <f t="array" ref="M394">IFERROR(_xlfn.XLOOKUP(C394&amp;A394, RYOE!A:A&amp;RYOE!F:F, RYOE!D:D), "N/A")</f>
        <v>-0.42</v>
      </c>
      <c r="N394" cm="1">
        <f t="array" ref="N394">IFERROR(_xlfn.XLOOKUP(C394&amp;A394, RYOE!A:A&amp;RYOE!F:F, RYOE!E:E), "N/A")</f>
        <v>28.1</v>
      </c>
    </row>
    <row r="395" spans="1:14" ht="15" customHeight="1" x14ac:dyDescent="0.45">
      <c r="A395" s="8">
        <v>2023</v>
      </c>
      <c r="B395" s="6" t="s">
        <v>301</v>
      </c>
      <c r="C395" s="2" t="str">
        <f t="shared" si="12"/>
        <v>Jerick McKinnon</v>
      </c>
      <c r="D395" s="2" t="str">
        <f t="shared" si="13"/>
        <v>KC</v>
      </c>
      <c r="E395" s="2">
        <v>21</v>
      </c>
      <c r="F395" s="2">
        <v>60</v>
      </c>
      <c r="G395" s="2">
        <v>2.9</v>
      </c>
      <c r="H395" s="2">
        <v>1</v>
      </c>
      <c r="I395">
        <v>0</v>
      </c>
      <c r="J395">
        <v>12</v>
      </c>
      <c r="K395" cm="1">
        <f t="array" ref="K395">IFERROR(_xlfn.XLOOKUP(D395&amp;A395, RBWR!A:A&amp;RBWR!C:C, RBWR!B:B), "N/A")</f>
        <v>75</v>
      </c>
      <c r="L395" t="str" cm="1">
        <f t="array" ref="L395">IFERROR(_xlfn.XLOOKUP(C395&amp;A395, RYOE!A:A&amp;RYOE!F:F, RYOE!C:C), "N/A")</f>
        <v>N/A</v>
      </c>
      <c r="M395" t="str" cm="1">
        <f t="array" ref="M395">IFERROR(_xlfn.XLOOKUP(C395&amp;A395, RYOE!A:A&amp;RYOE!F:F, RYOE!D:D), "N/A")</f>
        <v>N/A</v>
      </c>
      <c r="N395" t="str" cm="1">
        <f t="array" ref="N395">IFERROR(_xlfn.XLOOKUP(C395&amp;A395, RYOE!A:A&amp;RYOE!F:F, RYOE!E:E), "N/A")</f>
        <v>N/A</v>
      </c>
    </row>
    <row r="396" spans="1:14" ht="15" customHeight="1" x14ac:dyDescent="0.45">
      <c r="A396" s="7">
        <v>2023</v>
      </c>
      <c r="B396" s="5" t="s">
        <v>147</v>
      </c>
      <c r="C396" s="1" t="str">
        <f t="shared" si="12"/>
        <v>Zamir White</v>
      </c>
      <c r="D396" s="1" t="str">
        <f t="shared" si="13"/>
        <v>LV</v>
      </c>
      <c r="E396" s="1">
        <v>104</v>
      </c>
      <c r="F396" s="1">
        <v>451</v>
      </c>
      <c r="G396" s="1">
        <v>4.3</v>
      </c>
      <c r="H396" s="1">
        <v>1</v>
      </c>
      <c r="I396">
        <v>1</v>
      </c>
      <c r="J396">
        <v>15</v>
      </c>
      <c r="K396" cm="1">
        <f t="array" ref="K396">IFERROR(_xlfn.XLOOKUP(D396&amp;A396, RBWR!A:A&amp;RBWR!C:C, RBWR!B:B), "N/A")</f>
        <v>67</v>
      </c>
      <c r="L396" cm="1">
        <f t="array" ref="L396">IFERROR(_xlfn.XLOOKUP(C396&amp;A396, RYOE!A:A&amp;RYOE!F:F, RYOE!C:C), "N/A")</f>
        <v>34</v>
      </c>
      <c r="M396" cm="1">
        <f t="array" ref="M396">IFERROR(_xlfn.XLOOKUP(C396&amp;A396, RYOE!A:A&amp;RYOE!F:F, RYOE!D:D), "N/A")</f>
        <v>0.33</v>
      </c>
      <c r="N396" cm="1">
        <f t="array" ref="N396">IFERROR(_xlfn.XLOOKUP(C396&amp;A396, RYOE!A:A&amp;RYOE!F:F, RYOE!E:E), "N/A")</f>
        <v>46.6</v>
      </c>
    </row>
    <row r="397" spans="1:14" ht="15" customHeight="1" x14ac:dyDescent="0.45">
      <c r="A397" s="8">
        <v>2023</v>
      </c>
      <c r="B397" s="6" t="s">
        <v>302</v>
      </c>
      <c r="C397" s="2" t="str">
        <f t="shared" si="12"/>
        <v>Joshua Kelley</v>
      </c>
      <c r="D397" s="2" t="str">
        <f t="shared" si="13"/>
        <v>LAC</v>
      </c>
      <c r="E397" s="2">
        <v>107</v>
      </c>
      <c r="F397" s="2">
        <v>405</v>
      </c>
      <c r="G397" s="2">
        <v>3.8</v>
      </c>
      <c r="H397" s="2">
        <v>2</v>
      </c>
      <c r="I397">
        <v>1</v>
      </c>
      <c r="J397">
        <v>17</v>
      </c>
      <c r="K397" cm="1">
        <f t="array" ref="K397">IFERROR(_xlfn.XLOOKUP(D397&amp;A397, RBWR!A:A&amp;RBWR!C:C, RBWR!B:B), "N/A")</f>
        <v>72</v>
      </c>
      <c r="L397" cm="1">
        <f t="array" ref="L397">IFERROR(_xlfn.XLOOKUP(C397&amp;A397, RYOE!A:A&amp;RYOE!F:F, RYOE!C:C), "N/A")</f>
        <v>-25</v>
      </c>
      <c r="M397" cm="1">
        <f t="array" ref="M397">IFERROR(_xlfn.XLOOKUP(C397&amp;A397, RYOE!A:A&amp;RYOE!F:F, RYOE!D:D), "N/A")</f>
        <v>-0.24</v>
      </c>
      <c r="N397" cm="1">
        <f t="array" ref="N397">IFERROR(_xlfn.XLOOKUP(C397&amp;A397, RYOE!A:A&amp;RYOE!F:F, RYOE!E:E), "N/A")</f>
        <v>30.5</v>
      </c>
    </row>
    <row r="398" spans="1:14" ht="15" customHeight="1" x14ac:dyDescent="0.45">
      <c r="A398" s="7">
        <v>2023</v>
      </c>
      <c r="B398" s="5" t="s">
        <v>159</v>
      </c>
      <c r="C398" s="1" t="str">
        <f t="shared" si="12"/>
        <v>Clyde Edwards-Helaire</v>
      </c>
      <c r="D398" s="1" t="str">
        <f t="shared" si="13"/>
        <v>KC</v>
      </c>
      <c r="E398" s="1">
        <v>70</v>
      </c>
      <c r="F398" s="1">
        <v>223</v>
      </c>
      <c r="G398" s="1">
        <v>3.2</v>
      </c>
      <c r="H398" s="1">
        <v>1</v>
      </c>
      <c r="I398">
        <v>0</v>
      </c>
      <c r="J398">
        <v>15</v>
      </c>
      <c r="K398" cm="1">
        <f t="array" ref="K398">IFERROR(_xlfn.XLOOKUP(D398&amp;A398, RBWR!A:A&amp;RBWR!C:C, RBWR!B:B), "N/A")</f>
        <v>75</v>
      </c>
      <c r="L398" t="str" cm="1">
        <f t="array" ref="L398">IFERROR(_xlfn.XLOOKUP(C398&amp;A398, RYOE!A:A&amp;RYOE!F:F, RYOE!C:C), "N/A")</f>
        <v>N/A</v>
      </c>
      <c r="M398" t="str" cm="1">
        <f t="array" ref="M398">IFERROR(_xlfn.XLOOKUP(C398&amp;A398, RYOE!A:A&amp;RYOE!F:F, RYOE!D:D), "N/A")</f>
        <v>N/A</v>
      </c>
      <c r="N398" t="str" cm="1">
        <f t="array" ref="N398">IFERROR(_xlfn.XLOOKUP(C398&amp;A398, RYOE!A:A&amp;RYOE!F:F, RYOE!E:E), "N/A")</f>
        <v>N/A</v>
      </c>
    </row>
    <row r="399" spans="1:14" ht="15" customHeight="1" x14ac:dyDescent="0.45">
      <c r="A399" s="8">
        <v>2023</v>
      </c>
      <c r="B399" s="6" t="s">
        <v>88</v>
      </c>
      <c r="C399" s="2" t="str">
        <f t="shared" si="12"/>
        <v>Emari Demercado</v>
      </c>
      <c r="D399" s="2" t="str">
        <f t="shared" si="13"/>
        <v>ARI</v>
      </c>
      <c r="E399" s="2">
        <v>58</v>
      </c>
      <c r="F399" s="2">
        <v>284</v>
      </c>
      <c r="G399" s="2">
        <v>4.9000000000000004</v>
      </c>
      <c r="H399" s="2">
        <v>2</v>
      </c>
      <c r="I399">
        <v>0</v>
      </c>
      <c r="J399">
        <v>14</v>
      </c>
      <c r="K399" cm="1">
        <f t="array" ref="K399">IFERROR(_xlfn.XLOOKUP(D399&amp;A399, RBWR!A:A&amp;RBWR!C:C, RBWR!B:B), "N/A")</f>
        <v>72</v>
      </c>
      <c r="L399" t="str" cm="1">
        <f t="array" ref="L399">IFERROR(_xlfn.XLOOKUP(C399&amp;A399, RYOE!A:A&amp;RYOE!F:F, RYOE!C:C), "N/A")</f>
        <v>N/A</v>
      </c>
      <c r="M399" t="str" cm="1">
        <f t="array" ref="M399">IFERROR(_xlfn.XLOOKUP(C399&amp;A399, RYOE!A:A&amp;RYOE!F:F, RYOE!D:D), "N/A")</f>
        <v>N/A</v>
      </c>
      <c r="N399" t="str" cm="1">
        <f t="array" ref="N399">IFERROR(_xlfn.XLOOKUP(C399&amp;A399, RYOE!A:A&amp;RYOE!F:F, RYOE!E:E), "N/A")</f>
        <v>N/A</v>
      </c>
    </row>
    <row r="400" spans="1:14" ht="15" customHeight="1" x14ac:dyDescent="0.45">
      <c r="A400" s="7">
        <v>2023</v>
      </c>
      <c r="B400" s="5" t="s">
        <v>303</v>
      </c>
      <c r="C400" s="1" t="str">
        <f t="shared" si="12"/>
        <v>Royce Freeman</v>
      </c>
      <c r="D400" s="1" t="str">
        <f t="shared" si="13"/>
        <v>LAR</v>
      </c>
      <c r="E400" s="1">
        <v>77</v>
      </c>
      <c r="F400" s="1">
        <v>319</v>
      </c>
      <c r="G400" s="1">
        <v>4.0999999999999996</v>
      </c>
      <c r="H400" s="1">
        <v>2</v>
      </c>
      <c r="I400">
        <v>0</v>
      </c>
      <c r="J400">
        <v>11</v>
      </c>
      <c r="K400" cm="1">
        <f t="array" ref="K400">IFERROR(_xlfn.XLOOKUP(D400&amp;A400, RBWR!A:A&amp;RBWR!C:C, RBWR!B:B), "N/A")</f>
        <v>72</v>
      </c>
      <c r="L400" t="str" cm="1">
        <f t="array" ref="L400">IFERROR(_xlfn.XLOOKUP(C400&amp;A400, RYOE!A:A&amp;RYOE!F:F, RYOE!C:C), "N/A")</f>
        <v>N/A</v>
      </c>
      <c r="M400" t="str" cm="1">
        <f t="array" ref="M400">IFERROR(_xlfn.XLOOKUP(C400&amp;A400, RYOE!A:A&amp;RYOE!F:F, RYOE!D:D), "N/A")</f>
        <v>N/A</v>
      </c>
      <c r="N400" t="str" cm="1">
        <f t="array" ref="N400">IFERROR(_xlfn.XLOOKUP(C400&amp;A400, RYOE!A:A&amp;RYOE!F:F, RYOE!E:E), "N/A")</f>
        <v>N/A</v>
      </c>
    </row>
    <row r="401" spans="1:14" ht="15" customHeight="1" x14ac:dyDescent="0.45">
      <c r="A401" s="8">
        <v>2023</v>
      </c>
      <c r="B401" s="6" t="s">
        <v>228</v>
      </c>
      <c r="C401" s="2" t="str">
        <f t="shared" si="12"/>
        <v>Jamaal Williams</v>
      </c>
      <c r="D401" s="2" t="str">
        <f t="shared" si="13"/>
        <v>NO</v>
      </c>
      <c r="E401" s="2">
        <v>106</v>
      </c>
      <c r="F401" s="2">
        <v>306</v>
      </c>
      <c r="G401" s="2">
        <v>2.9</v>
      </c>
      <c r="H401" s="2">
        <v>1</v>
      </c>
      <c r="I401">
        <v>0</v>
      </c>
      <c r="J401">
        <v>13</v>
      </c>
      <c r="K401" cm="1">
        <f t="array" ref="K401">IFERROR(_xlfn.XLOOKUP(D401&amp;A401, RBWR!A:A&amp;RBWR!C:C, RBWR!B:B), "N/A")</f>
        <v>72</v>
      </c>
      <c r="L401" cm="1">
        <f t="array" ref="L401">IFERROR(_xlfn.XLOOKUP(C401&amp;A401, RYOE!A:A&amp;RYOE!F:F, RYOE!C:C), "N/A")</f>
        <v>-102</v>
      </c>
      <c r="M401" cm="1">
        <f t="array" ref="M401">IFERROR(_xlfn.XLOOKUP(C401&amp;A401, RYOE!A:A&amp;RYOE!F:F, RYOE!D:D), "N/A")</f>
        <v>-0.98</v>
      </c>
      <c r="N401" cm="1">
        <f t="array" ref="N401">IFERROR(_xlfn.XLOOKUP(C401&amp;A401, RYOE!A:A&amp;RYOE!F:F, RYOE!E:E), "N/A")</f>
        <v>28.8</v>
      </c>
    </row>
    <row r="402" spans="1:14" ht="15" customHeight="1" x14ac:dyDescent="0.45">
      <c r="A402" s="7">
        <v>2023</v>
      </c>
      <c r="B402" s="5" t="s">
        <v>213</v>
      </c>
      <c r="C402" s="1" t="str">
        <f t="shared" si="12"/>
        <v>Jordan Mason</v>
      </c>
      <c r="D402" s="1" t="str">
        <f t="shared" si="13"/>
        <v>SF</v>
      </c>
      <c r="E402" s="1">
        <v>40</v>
      </c>
      <c r="F402" s="1">
        <v>206</v>
      </c>
      <c r="G402" s="1">
        <v>5.2</v>
      </c>
      <c r="H402" s="1">
        <v>3</v>
      </c>
      <c r="I402">
        <v>0</v>
      </c>
      <c r="J402">
        <v>16</v>
      </c>
      <c r="K402" cm="1">
        <f t="array" ref="K402">IFERROR(_xlfn.XLOOKUP(D402&amp;A402, RBWR!A:A&amp;RBWR!C:C, RBWR!B:B), "N/A")</f>
        <v>69</v>
      </c>
      <c r="L402" t="str" cm="1">
        <f t="array" ref="L402">IFERROR(_xlfn.XLOOKUP(C402&amp;A402, RYOE!A:A&amp;RYOE!F:F, RYOE!C:C), "N/A")</f>
        <v>N/A</v>
      </c>
      <c r="M402" t="str" cm="1">
        <f t="array" ref="M402">IFERROR(_xlfn.XLOOKUP(C402&amp;A402, RYOE!A:A&amp;RYOE!F:F, RYOE!D:D), "N/A")</f>
        <v>N/A</v>
      </c>
      <c r="N402" t="str" cm="1">
        <f t="array" ref="N402">IFERROR(_xlfn.XLOOKUP(C402&amp;A402, RYOE!A:A&amp;RYOE!F:F, RYOE!E:E), "N/A")</f>
        <v>N/A</v>
      </c>
    </row>
    <row r="403" spans="1:14" ht="15" customHeight="1" x14ac:dyDescent="0.45">
      <c r="A403" s="8">
        <v>2023</v>
      </c>
      <c r="B403" s="6" t="s">
        <v>304</v>
      </c>
      <c r="C403" s="2" t="str">
        <f t="shared" si="12"/>
        <v>Elijah Mitchell</v>
      </c>
      <c r="D403" s="2" t="str">
        <f t="shared" si="13"/>
        <v>SF</v>
      </c>
      <c r="E403" s="2">
        <v>75</v>
      </c>
      <c r="F403" s="2">
        <v>281</v>
      </c>
      <c r="G403" s="2">
        <v>3.7</v>
      </c>
      <c r="H403" s="2">
        <v>2</v>
      </c>
      <c r="I403">
        <v>0</v>
      </c>
      <c r="J403">
        <v>11</v>
      </c>
      <c r="K403" cm="1">
        <f t="array" ref="K403">IFERROR(_xlfn.XLOOKUP(D403&amp;A403, RBWR!A:A&amp;RBWR!C:C, RBWR!B:B), "N/A")</f>
        <v>69</v>
      </c>
      <c r="L403" t="str" cm="1">
        <f t="array" ref="L403">IFERROR(_xlfn.XLOOKUP(C403&amp;A403, RYOE!A:A&amp;RYOE!F:F, RYOE!C:C), "N/A")</f>
        <v>N/A</v>
      </c>
      <c r="M403" t="str" cm="1">
        <f t="array" ref="M403">IFERROR(_xlfn.XLOOKUP(C403&amp;A403, RYOE!A:A&amp;RYOE!F:F, RYOE!D:D), "N/A")</f>
        <v>N/A</v>
      </c>
      <c r="N403" t="str" cm="1">
        <f t="array" ref="N403">IFERROR(_xlfn.XLOOKUP(C403&amp;A403, RYOE!A:A&amp;RYOE!F:F, RYOE!E:E), "N/A")</f>
        <v>N/A</v>
      </c>
    </row>
    <row r="404" spans="1:14" ht="15" customHeight="1" x14ac:dyDescent="0.45">
      <c r="A404" s="7">
        <v>2023</v>
      </c>
      <c r="B404" s="5" t="s">
        <v>49</v>
      </c>
      <c r="C404" s="1" t="str">
        <f t="shared" si="12"/>
        <v>Chase Brown</v>
      </c>
      <c r="D404" s="1" t="str">
        <f t="shared" si="13"/>
        <v>CIN</v>
      </c>
      <c r="E404" s="1">
        <v>44</v>
      </c>
      <c r="F404" s="1">
        <v>179</v>
      </c>
      <c r="G404" s="1">
        <v>4.0999999999999996</v>
      </c>
      <c r="H404" s="1">
        <v>0</v>
      </c>
      <c r="I404">
        <v>0</v>
      </c>
      <c r="J404">
        <v>12</v>
      </c>
      <c r="K404" cm="1">
        <f t="array" ref="K404">IFERROR(_xlfn.XLOOKUP(D404&amp;A404, RBWR!A:A&amp;RBWR!C:C, RBWR!B:B), "N/A")</f>
        <v>67</v>
      </c>
      <c r="L404" t="str" cm="1">
        <f t="array" ref="L404">IFERROR(_xlfn.XLOOKUP(C404&amp;A404, RYOE!A:A&amp;RYOE!F:F, RYOE!C:C), "N/A")</f>
        <v>N/A</v>
      </c>
      <c r="M404" t="str" cm="1">
        <f t="array" ref="M404">IFERROR(_xlfn.XLOOKUP(C404&amp;A404, RYOE!A:A&amp;RYOE!F:F, RYOE!D:D), "N/A")</f>
        <v>N/A</v>
      </c>
      <c r="N404" t="str" cm="1">
        <f t="array" ref="N404">IFERROR(_xlfn.XLOOKUP(C404&amp;A404, RYOE!A:A&amp;RYOE!F:F, RYOE!E:E), "N/A")</f>
        <v>N/A</v>
      </c>
    </row>
    <row r="405" spans="1:14" ht="15" customHeight="1" x14ac:dyDescent="0.45">
      <c r="A405" s="8">
        <v>2023</v>
      </c>
      <c r="B405" s="6" t="s">
        <v>235</v>
      </c>
      <c r="C405" s="2" t="str">
        <f t="shared" si="12"/>
        <v>Pierre Strong Jr.</v>
      </c>
      <c r="D405" s="2" t="str">
        <f t="shared" si="13"/>
        <v>CLE</v>
      </c>
      <c r="E405" s="2">
        <v>63</v>
      </c>
      <c r="F405" s="2">
        <v>291</v>
      </c>
      <c r="G405" s="2">
        <v>4.5999999999999996</v>
      </c>
      <c r="H405" s="2">
        <v>1</v>
      </c>
      <c r="I405">
        <v>1</v>
      </c>
      <c r="J405">
        <v>17</v>
      </c>
      <c r="K405" cm="1">
        <f t="array" ref="K405">IFERROR(_xlfn.XLOOKUP(D405&amp;A405, RBWR!A:A&amp;RBWR!C:C, RBWR!B:B), "N/A")</f>
        <v>70</v>
      </c>
      <c r="L405" t="str" cm="1">
        <f t="array" ref="L405">IFERROR(_xlfn.XLOOKUP(C405&amp;A405, RYOE!A:A&amp;RYOE!F:F, RYOE!C:C), "N/A")</f>
        <v>N/A</v>
      </c>
      <c r="M405" t="str" cm="1">
        <f t="array" ref="M405">IFERROR(_xlfn.XLOOKUP(C405&amp;A405, RYOE!A:A&amp;RYOE!F:F, RYOE!D:D), "N/A")</f>
        <v>N/A</v>
      </c>
      <c r="N405" t="str" cm="1">
        <f t="array" ref="N405">IFERROR(_xlfn.XLOOKUP(C405&amp;A405, RYOE!A:A&amp;RYOE!F:F, RYOE!E:E), "N/A")</f>
        <v>N/A</v>
      </c>
    </row>
    <row r="406" spans="1:14" ht="15" customHeight="1" x14ac:dyDescent="0.45">
      <c r="A406" s="7">
        <v>2023</v>
      </c>
      <c r="B406" s="5" t="s">
        <v>76</v>
      </c>
      <c r="C406" s="1" t="str">
        <f t="shared" si="12"/>
        <v>Chris Rodriguez Jr.</v>
      </c>
      <c r="D406" s="1" t="str">
        <f t="shared" si="13"/>
        <v>WAS</v>
      </c>
      <c r="E406" s="1">
        <v>51</v>
      </c>
      <c r="F406" s="1">
        <v>247</v>
      </c>
      <c r="G406" s="1">
        <v>4.8</v>
      </c>
      <c r="H406" s="1">
        <v>2</v>
      </c>
      <c r="I406">
        <v>1</v>
      </c>
      <c r="J406">
        <v>11</v>
      </c>
      <c r="K406" cm="1">
        <f t="array" ref="K406">IFERROR(_xlfn.XLOOKUP(D406&amp;A406, RBWR!A:A&amp;RBWR!C:C, RBWR!B:B), "N/A")</f>
        <v>75</v>
      </c>
      <c r="L406" t="str" cm="1">
        <f t="array" ref="L406">IFERROR(_xlfn.XLOOKUP(C406&amp;A406, RYOE!A:A&amp;RYOE!F:F, RYOE!C:C), "N/A")</f>
        <v>N/A</v>
      </c>
      <c r="M406" t="str" cm="1">
        <f t="array" ref="M406">IFERROR(_xlfn.XLOOKUP(C406&amp;A406, RYOE!A:A&amp;RYOE!F:F, RYOE!D:D), "N/A")</f>
        <v>N/A</v>
      </c>
      <c r="N406" t="str" cm="1">
        <f t="array" ref="N406">IFERROR(_xlfn.XLOOKUP(C406&amp;A406, RYOE!A:A&amp;RYOE!F:F, RYOE!E:E), "N/A")</f>
        <v>N/A</v>
      </c>
    </row>
    <row r="407" spans="1:14" ht="15" customHeight="1" x14ac:dyDescent="0.45">
      <c r="A407" s="8">
        <v>2023</v>
      </c>
      <c r="B407" s="6" t="s">
        <v>216</v>
      </c>
      <c r="C407" s="2" t="str">
        <f t="shared" si="12"/>
        <v>Cam Akers</v>
      </c>
      <c r="D407" s="2" t="str">
        <f t="shared" si="13"/>
        <v>MIN</v>
      </c>
      <c r="E407" s="2">
        <v>60</v>
      </c>
      <c r="F407" s="2">
        <v>167</v>
      </c>
      <c r="G407" s="2">
        <v>2.8</v>
      </c>
      <c r="H407" s="2">
        <v>2</v>
      </c>
      <c r="I407">
        <v>0</v>
      </c>
      <c r="J407">
        <v>7</v>
      </c>
      <c r="K407" cm="1">
        <f t="array" ref="K407">IFERROR(_xlfn.XLOOKUP(D407&amp;A407, RBWR!A:A&amp;RBWR!C:C, RBWR!B:B), "N/A")</f>
        <v>72</v>
      </c>
      <c r="L407" t="str" cm="1">
        <f t="array" ref="L407">IFERROR(_xlfn.XLOOKUP(C407&amp;A407, RYOE!A:A&amp;RYOE!F:F, RYOE!C:C), "N/A")</f>
        <v>N/A</v>
      </c>
      <c r="M407" t="str" cm="1">
        <f t="array" ref="M407">IFERROR(_xlfn.XLOOKUP(C407&amp;A407, RYOE!A:A&amp;RYOE!F:F, RYOE!D:D), "N/A")</f>
        <v>N/A</v>
      </c>
      <c r="N407" t="str" cm="1">
        <f t="array" ref="N407">IFERROR(_xlfn.XLOOKUP(C407&amp;A407, RYOE!A:A&amp;RYOE!F:F, RYOE!E:E), "N/A")</f>
        <v>N/A</v>
      </c>
    </row>
    <row r="408" spans="1:14" ht="15" customHeight="1" x14ac:dyDescent="0.45">
      <c r="A408" s="7">
        <v>2023</v>
      </c>
      <c r="B408" s="5" t="s">
        <v>86</v>
      </c>
      <c r="C408" s="1" t="str">
        <f t="shared" si="12"/>
        <v>Michael Carter</v>
      </c>
      <c r="D408" s="1" t="str">
        <f t="shared" si="13"/>
        <v>ARI</v>
      </c>
      <c r="E408" s="1">
        <v>30</v>
      </c>
      <c r="F408" s="1">
        <v>187</v>
      </c>
      <c r="G408" s="1">
        <v>6.2</v>
      </c>
      <c r="H408" s="1">
        <v>0</v>
      </c>
      <c r="I408">
        <v>0</v>
      </c>
      <c r="J408">
        <v>15</v>
      </c>
      <c r="K408" cm="1">
        <f t="array" ref="K408">IFERROR(_xlfn.XLOOKUP(D408&amp;A408, RBWR!A:A&amp;RBWR!C:C, RBWR!B:B), "N/A")</f>
        <v>72</v>
      </c>
      <c r="L408" t="str" cm="1">
        <f t="array" ref="L408">IFERROR(_xlfn.XLOOKUP(C408&amp;A408, RYOE!A:A&amp;RYOE!F:F, RYOE!C:C), "N/A")</f>
        <v>N/A</v>
      </c>
      <c r="M408" t="str" cm="1">
        <f t="array" ref="M408">IFERROR(_xlfn.XLOOKUP(C408&amp;A408, RYOE!A:A&amp;RYOE!F:F, RYOE!D:D), "N/A")</f>
        <v>N/A</v>
      </c>
      <c r="N408" t="str" cm="1">
        <f t="array" ref="N408">IFERROR(_xlfn.XLOOKUP(C408&amp;A408, RYOE!A:A&amp;RYOE!F:F, RYOE!E:E), "N/A")</f>
        <v>N/A</v>
      </c>
    </row>
    <row r="409" spans="1:14" ht="15" customHeight="1" x14ac:dyDescent="0.45">
      <c r="A409" s="8">
        <v>2023</v>
      </c>
      <c r="B409" s="6" t="s">
        <v>305</v>
      </c>
      <c r="C409" s="2" t="str">
        <f t="shared" si="12"/>
        <v>Darrell Henderson Jr.</v>
      </c>
      <c r="D409" s="2" t="str">
        <f t="shared" si="13"/>
        <v>LAR</v>
      </c>
      <c r="E409" s="2">
        <v>46</v>
      </c>
      <c r="F409" s="2">
        <v>112</v>
      </c>
      <c r="G409" s="2">
        <v>2.4</v>
      </c>
      <c r="H409" s="2">
        <v>2</v>
      </c>
      <c r="I409">
        <v>0</v>
      </c>
      <c r="J409">
        <v>4</v>
      </c>
      <c r="K409" cm="1">
        <f t="array" ref="K409">IFERROR(_xlfn.XLOOKUP(D409&amp;A409, RBWR!A:A&amp;RBWR!C:C, RBWR!B:B), "N/A")</f>
        <v>72</v>
      </c>
      <c r="L409" t="str" cm="1">
        <f t="array" ref="L409">IFERROR(_xlfn.XLOOKUP(C409&amp;A409, RYOE!A:A&amp;RYOE!F:F, RYOE!C:C), "N/A")</f>
        <v>N/A</v>
      </c>
      <c r="M409" t="str" cm="1">
        <f t="array" ref="M409">IFERROR(_xlfn.XLOOKUP(C409&amp;A409, RYOE!A:A&amp;RYOE!F:F, RYOE!D:D), "N/A")</f>
        <v>N/A</v>
      </c>
      <c r="N409" t="str" cm="1">
        <f t="array" ref="N409">IFERROR(_xlfn.XLOOKUP(C409&amp;A409, RYOE!A:A&amp;RYOE!F:F, RYOE!E:E), "N/A")</f>
        <v>N/A</v>
      </c>
    </row>
    <row r="410" spans="1:14" ht="15" customHeight="1" x14ac:dyDescent="0.45">
      <c r="A410" s="7">
        <v>2023</v>
      </c>
      <c r="B410" s="5" t="s">
        <v>101</v>
      </c>
      <c r="C410" s="1" t="str">
        <f t="shared" si="12"/>
        <v>Kendre Miller</v>
      </c>
      <c r="D410" s="1" t="str">
        <f t="shared" si="13"/>
        <v>NO</v>
      </c>
      <c r="E410" s="1">
        <v>41</v>
      </c>
      <c r="F410" s="1">
        <v>156</v>
      </c>
      <c r="G410" s="1">
        <v>3.8</v>
      </c>
      <c r="H410" s="1">
        <v>1</v>
      </c>
      <c r="I410">
        <v>0</v>
      </c>
      <c r="J410">
        <v>8</v>
      </c>
      <c r="K410" cm="1">
        <f t="array" ref="K410">IFERROR(_xlfn.XLOOKUP(D410&amp;A410, RBWR!A:A&amp;RBWR!C:C, RBWR!B:B), "N/A")</f>
        <v>72</v>
      </c>
      <c r="L410" t="str" cm="1">
        <f t="array" ref="L410">IFERROR(_xlfn.XLOOKUP(C410&amp;A410, RYOE!A:A&amp;RYOE!F:F, RYOE!C:C), "N/A")</f>
        <v>N/A</v>
      </c>
      <c r="M410" t="str" cm="1">
        <f t="array" ref="M410">IFERROR(_xlfn.XLOOKUP(C410&amp;A410, RYOE!A:A&amp;RYOE!F:F, RYOE!D:D), "N/A")</f>
        <v>N/A</v>
      </c>
      <c r="N410" t="str" cm="1">
        <f t="array" ref="N410">IFERROR(_xlfn.XLOOKUP(C410&amp;A410, RYOE!A:A&amp;RYOE!F:F, RYOE!E:E), "N/A")</f>
        <v>N/A</v>
      </c>
    </row>
    <row r="411" spans="1:14" ht="15" customHeight="1" x14ac:dyDescent="0.45">
      <c r="A411" s="8">
        <v>2023</v>
      </c>
      <c r="B411" s="6" t="s">
        <v>306</v>
      </c>
      <c r="C411" s="2" t="str">
        <f t="shared" si="12"/>
        <v>Matt Breida</v>
      </c>
      <c r="D411" s="2" t="str">
        <f t="shared" si="13"/>
        <v>NYG</v>
      </c>
      <c r="E411" s="2">
        <v>55</v>
      </c>
      <c r="F411" s="2">
        <v>151</v>
      </c>
      <c r="G411" s="2">
        <v>2.7</v>
      </c>
      <c r="H411" s="2">
        <v>1</v>
      </c>
      <c r="I411">
        <v>0</v>
      </c>
      <c r="J411">
        <v>15</v>
      </c>
      <c r="K411" cm="1">
        <f t="array" ref="K411">IFERROR(_xlfn.XLOOKUP(D411&amp;A411, RBWR!A:A&amp;RBWR!C:C, RBWR!B:B), "N/A")</f>
        <v>71</v>
      </c>
      <c r="L411" t="str" cm="1">
        <f t="array" ref="L411">IFERROR(_xlfn.XLOOKUP(C411&amp;A411, RYOE!A:A&amp;RYOE!F:F, RYOE!C:C), "N/A")</f>
        <v>N/A</v>
      </c>
      <c r="M411" t="str" cm="1">
        <f t="array" ref="M411">IFERROR(_xlfn.XLOOKUP(C411&amp;A411, RYOE!A:A&amp;RYOE!F:F, RYOE!D:D), "N/A")</f>
        <v>N/A</v>
      </c>
      <c r="N411" t="str" cm="1">
        <f t="array" ref="N411">IFERROR(_xlfn.XLOOKUP(C411&amp;A411, RYOE!A:A&amp;RYOE!F:F, RYOE!E:E), "N/A")</f>
        <v>N/A</v>
      </c>
    </row>
    <row r="412" spans="1:14" ht="15" customHeight="1" x14ac:dyDescent="0.45">
      <c r="A412" s="7">
        <v>2023</v>
      </c>
      <c r="B412" s="5" t="s">
        <v>307</v>
      </c>
      <c r="C412" s="1" t="str">
        <f t="shared" si="12"/>
        <v>Cordarrelle Patterson</v>
      </c>
      <c r="D412" s="1" t="str">
        <f t="shared" si="13"/>
        <v>ATL</v>
      </c>
      <c r="E412" s="1">
        <v>50</v>
      </c>
      <c r="F412" s="1">
        <v>181</v>
      </c>
      <c r="G412" s="1">
        <v>3.6</v>
      </c>
      <c r="H412" s="1">
        <v>0</v>
      </c>
      <c r="I412">
        <v>0</v>
      </c>
      <c r="J412">
        <v>12</v>
      </c>
      <c r="K412" cm="1">
        <f t="array" ref="K412">IFERROR(_xlfn.XLOOKUP(D412&amp;A412, RBWR!A:A&amp;RBWR!C:C, RBWR!B:B), "N/A")</f>
        <v>72</v>
      </c>
      <c r="L412" t="str" cm="1">
        <f t="array" ref="L412">IFERROR(_xlfn.XLOOKUP(C412&amp;A412, RYOE!A:A&amp;RYOE!F:F, RYOE!C:C), "N/A")</f>
        <v>N/A</v>
      </c>
      <c r="M412" t="str" cm="1">
        <f t="array" ref="M412">IFERROR(_xlfn.XLOOKUP(C412&amp;A412, RYOE!A:A&amp;RYOE!F:F, RYOE!D:D), "N/A")</f>
        <v>N/A</v>
      </c>
      <c r="N412" t="str" cm="1">
        <f t="array" ref="N412">IFERROR(_xlfn.XLOOKUP(C412&amp;A412, RYOE!A:A&amp;RYOE!F:F, RYOE!E:E), "N/A")</f>
        <v>N/A</v>
      </c>
    </row>
    <row r="413" spans="1:14" ht="15" customHeight="1" x14ac:dyDescent="0.45">
      <c r="A413" s="8">
        <v>2023</v>
      </c>
      <c r="B413" s="6" t="s">
        <v>189</v>
      </c>
      <c r="C413" s="2" t="str">
        <f t="shared" si="12"/>
        <v>Jeff Wilson Jr.</v>
      </c>
      <c r="D413" s="2" t="str">
        <f t="shared" si="13"/>
        <v>MIA</v>
      </c>
      <c r="E413" s="2">
        <v>41</v>
      </c>
      <c r="F413" s="2">
        <v>188</v>
      </c>
      <c r="G413" s="2">
        <v>4.5999999999999996</v>
      </c>
      <c r="H413" s="2">
        <v>0</v>
      </c>
      <c r="I413">
        <v>0</v>
      </c>
      <c r="J413">
        <v>9</v>
      </c>
      <c r="K413" cm="1">
        <f t="array" ref="K413">IFERROR(_xlfn.XLOOKUP(D413&amp;A413, RBWR!A:A&amp;RBWR!C:C, RBWR!B:B), "N/A")</f>
        <v>71</v>
      </c>
      <c r="L413" t="str" cm="1">
        <f t="array" ref="L413">IFERROR(_xlfn.XLOOKUP(C413&amp;A413, RYOE!A:A&amp;RYOE!F:F, RYOE!C:C), "N/A")</f>
        <v>N/A</v>
      </c>
      <c r="M413" t="str" cm="1">
        <f t="array" ref="M413">IFERROR(_xlfn.XLOOKUP(C413&amp;A413, RYOE!A:A&amp;RYOE!F:F, RYOE!D:D), "N/A")</f>
        <v>N/A</v>
      </c>
      <c r="N413" t="str" cm="1">
        <f t="array" ref="N413">IFERROR(_xlfn.XLOOKUP(C413&amp;A413, RYOE!A:A&amp;RYOE!F:F, RYOE!E:E), "N/A")</f>
        <v>N/A</v>
      </c>
    </row>
    <row r="414" spans="1:14" ht="15" customHeight="1" x14ac:dyDescent="0.45">
      <c r="A414" s="7">
        <v>2023</v>
      </c>
      <c r="B414" s="5" t="s">
        <v>308</v>
      </c>
      <c r="C414" s="1" t="str">
        <f t="shared" si="12"/>
        <v>Salvon Ahmed</v>
      </c>
      <c r="D414" s="1" t="str">
        <f t="shared" si="13"/>
        <v>MIA</v>
      </c>
      <c r="E414" s="1">
        <v>22</v>
      </c>
      <c r="F414" s="1">
        <v>61</v>
      </c>
      <c r="G414" s="1">
        <v>2.8</v>
      </c>
      <c r="H414" s="1">
        <v>1</v>
      </c>
      <c r="I414">
        <v>0</v>
      </c>
      <c r="J414">
        <v>8</v>
      </c>
      <c r="K414" cm="1">
        <f t="array" ref="K414">IFERROR(_xlfn.XLOOKUP(D414&amp;A414, RBWR!A:A&amp;RBWR!C:C, RBWR!B:B), "N/A")</f>
        <v>71</v>
      </c>
      <c r="L414" t="str" cm="1">
        <f t="array" ref="L414">IFERROR(_xlfn.XLOOKUP(C414&amp;A414, RYOE!A:A&amp;RYOE!F:F, RYOE!C:C), "N/A")</f>
        <v>N/A</v>
      </c>
      <c r="M414" t="str" cm="1">
        <f t="array" ref="M414">IFERROR(_xlfn.XLOOKUP(C414&amp;A414, RYOE!A:A&amp;RYOE!F:F, RYOE!D:D), "N/A")</f>
        <v>N/A</v>
      </c>
      <c r="N414" t="str" cm="1">
        <f t="array" ref="N414">IFERROR(_xlfn.XLOOKUP(C414&amp;A414, RYOE!A:A&amp;RYOE!F:F, RYOE!E:E), "N/A")</f>
        <v>N/A</v>
      </c>
    </row>
    <row r="415" spans="1:14" ht="15" customHeight="1" x14ac:dyDescent="0.45">
      <c r="A415" s="8">
        <v>2023</v>
      </c>
      <c r="B415" s="6" t="s">
        <v>309</v>
      </c>
      <c r="C415" s="2" t="str">
        <f t="shared" si="12"/>
        <v>Chase Edmonds</v>
      </c>
      <c r="D415" s="2" t="str">
        <f t="shared" si="13"/>
        <v>TB</v>
      </c>
      <c r="E415" s="2">
        <v>49</v>
      </c>
      <c r="F415" s="2">
        <v>176</v>
      </c>
      <c r="G415" s="2">
        <v>3.6</v>
      </c>
      <c r="H415" s="2">
        <v>0</v>
      </c>
      <c r="I415">
        <v>0</v>
      </c>
      <c r="J415">
        <v>13</v>
      </c>
      <c r="K415" cm="1">
        <f t="array" ref="K415">IFERROR(_xlfn.XLOOKUP(D415&amp;A415, RBWR!A:A&amp;RBWR!C:C, RBWR!B:B), "N/A")</f>
        <v>72</v>
      </c>
      <c r="L415" t="str" cm="1">
        <f t="array" ref="L415">IFERROR(_xlfn.XLOOKUP(C415&amp;A415, RYOE!A:A&amp;RYOE!F:F, RYOE!C:C), "N/A")</f>
        <v>N/A</v>
      </c>
      <c r="M415" t="str" cm="1">
        <f t="array" ref="M415">IFERROR(_xlfn.XLOOKUP(C415&amp;A415, RYOE!A:A&amp;RYOE!F:F, RYOE!D:D), "N/A")</f>
        <v>N/A</v>
      </c>
      <c r="N415" t="str" cm="1">
        <f t="array" ref="N415">IFERROR(_xlfn.XLOOKUP(C415&amp;A415, RYOE!A:A&amp;RYOE!F:F, RYOE!E:E), "N/A")</f>
        <v>N/A</v>
      </c>
    </row>
    <row r="416" spans="1:14" ht="15" customHeight="1" x14ac:dyDescent="0.45">
      <c r="A416" s="7">
        <v>2023</v>
      </c>
      <c r="B416" s="5" t="s">
        <v>98</v>
      </c>
      <c r="C416" s="1" t="str">
        <f t="shared" si="12"/>
        <v>Ty Johnson</v>
      </c>
      <c r="D416" s="1" t="str">
        <f t="shared" si="13"/>
        <v>BUF</v>
      </c>
      <c r="E416" s="1">
        <v>30</v>
      </c>
      <c r="F416" s="1">
        <v>132</v>
      </c>
      <c r="G416" s="1">
        <v>4.4000000000000004</v>
      </c>
      <c r="H416" s="1">
        <v>0</v>
      </c>
      <c r="I416">
        <v>0</v>
      </c>
      <c r="J416">
        <v>9</v>
      </c>
      <c r="K416" cm="1">
        <f t="array" ref="K416">IFERROR(_xlfn.XLOOKUP(D416&amp;A416, RBWR!A:A&amp;RBWR!C:C, RBWR!B:B), "N/A")</f>
        <v>71</v>
      </c>
      <c r="L416" t="str" cm="1">
        <f t="array" ref="L416">IFERROR(_xlfn.XLOOKUP(C416&amp;A416, RYOE!A:A&amp;RYOE!F:F, RYOE!C:C), "N/A")</f>
        <v>N/A</v>
      </c>
      <c r="M416" t="str" cm="1">
        <f t="array" ref="M416">IFERROR(_xlfn.XLOOKUP(C416&amp;A416, RYOE!A:A&amp;RYOE!F:F, RYOE!D:D), "N/A")</f>
        <v>N/A</v>
      </c>
      <c r="N416" t="str" cm="1">
        <f t="array" ref="N416">IFERROR(_xlfn.XLOOKUP(C416&amp;A416, RYOE!A:A&amp;RYOE!F:F, RYOE!E:E), "N/A")</f>
        <v>N/A</v>
      </c>
    </row>
    <row r="417" spans="1:14" ht="15" customHeight="1" x14ac:dyDescent="0.45">
      <c r="A417" s="8">
        <v>2023</v>
      </c>
      <c r="B417" s="6" t="s">
        <v>310</v>
      </c>
      <c r="C417" s="2" t="str">
        <f t="shared" si="12"/>
        <v>Dalvin Cook</v>
      </c>
      <c r="D417" s="2" t="str">
        <f t="shared" si="13"/>
        <v>NYJ</v>
      </c>
      <c r="E417" s="2">
        <v>67</v>
      </c>
      <c r="F417" s="2">
        <v>214</v>
      </c>
      <c r="G417" s="2">
        <v>3.2</v>
      </c>
      <c r="H417" s="2">
        <v>0</v>
      </c>
      <c r="I417">
        <v>2</v>
      </c>
      <c r="J417">
        <v>14</v>
      </c>
      <c r="K417" cm="1">
        <f t="array" ref="K417">IFERROR(_xlfn.XLOOKUP(D417&amp;A417, RBWR!A:A&amp;RBWR!C:C, RBWR!B:B), "N/A")</f>
        <v>68</v>
      </c>
      <c r="L417" t="str" cm="1">
        <f t="array" ref="L417">IFERROR(_xlfn.XLOOKUP(C417&amp;A417, RYOE!A:A&amp;RYOE!F:F, RYOE!C:C), "N/A")</f>
        <v>N/A</v>
      </c>
      <c r="M417" t="str" cm="1">
        <f t="array" ref="M417">IFERROR(_xlfn.XLOOKUP(C417&amp;A417, RYOE!A:A&amp;RYOE!F:F, RYOE!D:D), "N/A")</f>
        <v>N/A</v>
      </c>
      <c r="N417" t="str" cm="1">
        <f t="array" ref="N417">IFERROR(_xlfn.XLOOKUP(C417&amp;A417, RYOE!A:A&amp;RYOE!F:F, RYOE!E:E), "N/A")</f>
        <v>N/A</v>
      </c>
    </row>
    <row r="418" spans="1:14" ht="15" customHeight="1" x14ac:dyDescent="0.45">
      <c r="A418" s="7">
        <v>2023</v>
      </c>
      <c r="B418" s="5" t="s">
        <v>241</v>
      </c>
      <c r="C418" s="1" t="str">
        <f t="shared" si="12"/>
        <v>Tony Jones Jr.</v>
      </c>
      <c r="D418" s="1" t="str">
        <f t="shared" si="13"/>
        <v>ARI</v>
      </c>
      <c r="E418" s="1">
        <v>26</v>
      </c>
      <c r="F418" s="1">
        <v>95</v>
      </c>
      <c r="G418" s="1">
        <v>3.7</v>
      </c>
      <c r="H418" s="1">
        <v>2</v>
      </c>
      <c r="I418">
        <v>0</v>
      </c>
      <c r="J418">
        <v>6</v>
      </c>
      <c r="K418" cm="1">
        <f t="array" ref="K418">IFERROR(_xlfn.XLOOKUP(D418&amp;A418, RBWR!A:A&amp;RBWR!C:C, RBWR!B:B), "N/A")</f>
        <v>72</v>
      </c>
      <c r="L418" t="str" cm="1">
        <f t="array" ref="L418">IFERROR(_xlfn.XLOOKUP(C418&amp;A418, RYOE!A:A&amp;RYOE!F:F, RYOE!C:C), "N/A")</f>
        <v>N/A</v>
      </c>
      <c r="M418" t="str" cm="1">
        <f t="array" ref="M418">IFERROR(_xlfn.XLOOKUP(C418&amp;A418, RYOE!A:A&amp;RYOE!F:F, RYOE!D:D), "N/A")</f>
        <v>N/A</v>
      </c>
      <c r="N418" t="str" cm="1">
        <f t="array" ref="N418">IFERROR(_xlfn.XLOOKUP(C418&amp;A418, RYOE!A:A&amp;RYOE!F:F, RYOE!E:E), "N/A")</f>
        <v>N/A</v>
      </c>
    </row>
    <row r="419" spans="1:14" ht="15" customHeight="1" x14ac:dyDescent="0.45">
      <c r="A419" s="8">
        <v>2023</v>
      </c>
      <c r="B419" s="6" t="s">
        <v>232</v>
      </c>
      <c r="C419" s="2" t="str">
        <f t="shared" si="12"/>
        <v>D'Ernest Johnson</v>
      </c>
      <c r="D419" s="2" t="str">
        <f t="shared" si="13"/>
        <v>JAC</v>
      </c>
      <c r="E419" s="2">
        <v>41</v>
      </c>
      <c r="F419" s="2">
        <v>108</v>
      </c>
      <c r="G419" s="2">
        <v>2.6</v>
      </c>
      <c r="H419" s="2">
        <v>0</v>
      </c>
      <c r="I419">
        <v>0</v>
      </c>
      <c r="J419">
        <v>16</v>
      </c>
      <c r="K419" cm="1">
        <f t="array" ref="K419">IFERROR(_xlfn.XLOOKUP(D419&amp;A419, RBWR!A:A&amp;RBWR!C:C, RBWR!B:B), "N/A")</f>
        <v>70</v>
      </c>
      <c r="L419" t="str" cm="1">
        <f t="array" ref="L419">IFERROR(_xlfn.XLOOKUP(C419&amp;A419, RYOE!A:A&amp;RYOE!F:F, RYOE!C:C), "N/A")</f>
        <v>N/A</v>
      </c>
      <c r="M419" t="str" cm="1">
        <f t="array" ref="M419">IFERROR(_xlfn.XLOOKUP(C419&amp;A419, RYOE!A:A&amp;RYOE!F:F, RYOE!D:D), "N/A")</f>
        <v>N/A</v>
      </c>
      <c r="N419" t="str" cm="1">
        <f t="array" ref="N419">IFERROR(_xlfn.XLOOKUP(C419&amp;A419, RYOE!A:A&amp;RYOE!F:F, RYOE!E:E), "N/A")</f>
        <v>N/A</v>
      </c>
    </row>
    <row r="420" spans="1:14" ht="15" customHeight="1" x14ac:dyDescent="0.45">
      <c r="A420" s="7">
        <v>2023</v>
      </c>
      <c r="B420" s="5" t="s">
        <v>172</v>
      </c>
      <c r="C420" s="1" t="str">
        <f t="shared" si="12"/>
        <v>Craig Reynolds</v>
      </c>
      <c r="D420" s="1" t="str">
        <f t="shared" si="13"/>
        <v>DET</v>
      </c>
      <c r="E420" s="1">
        <v>41</v>
      </c>
      <c r="F420" s="1">
        <v>179</v>
      </c>
      <c r="G420" s="1">
        <v>4.4000000000000004</v>
      </c>
      <c r="H420" s="1">
        <v>1</v>
      </c>
      <c r="I420">
        <v>2</v>
      </c>
      <c r="J420">
        <v>15</v>
      </c>
      <c r="K420" cm="1">
        <f t="array" ref="K420">IFERROR(_xlfn.XLOOKUP(D420&amp;A420, RBWR!A:A&amp;RBWR!C:C, RBWR!B:B), "N/A")</f>
        <v>73</v>
      </c>
      <c r="L420" t="str" cm="1">
        <f t="array" ref="L420">IFERROR(_xlfn.XLOOKUP(C420&amp;A420, RYOE!A:A&amp;RYOE!F:F, RYOE!C:C), "N/A")</f>
        <v>N/A</v>
      </c>
      <c r="M420" t="str" cm="1">
        <f t="array" ref="M420">IFERROR(_xlfn.XLOOKUP(C420&amp;A420, RYOE!A:A&amp;RYOE!F:F, RYOE!D:D), "N/A")</f>
        <v>N/A</v>
      </c>
      <c r="N420" t="str" cm="1">
        <f t="array" ref="N420">IFERROR(_xlfn.XLOOKUP(C420&amp;A420, RYOE!A:A&amp;RYOE!F:F, RYOE!E:E), "N/A")</f>
        <v>N/A</v>
      </c>
    </row>
    <row r="421" spans="1:14" ht="15" customHeight="1" x14ac:dyDescent="0.45">
      <c r="A421" s="8">
        <v>2023</v>
      </c>
      <c r="B421" s="6" t="s">
        <v>205</v>
      </c>
      <c r="C421" s="2" t="str">
        <f t="shared" si="12"/>
        <v>Kyle Juszczyk</v>
      </c>
      <c r="D421" s="2" t="str">
        <f t="shared" si="13"/>
        <v>SF</v>
      </c>
      <c r="E421" s="2">
        <v>5</v>
      </c>
      <c r="F421" s="2">
        <v>6</v>
      </c>
      <c r="G421" s="2">
        <v>1.2</v>
      </c>
      <c r="H421" s="2">
        <v>0</v>
      </c>
      <c r="I421">
        <v>0</v>
      </c>
      <c r="J421">
        <v>17</v>
      </c>
      <c r="K421" cm="1">
        <f t="array" ref="K421">IFERROR(_xlfn.XLOOKUP(D421&amp;A421, RBWR!A:A&amp;RBWR!C:C, RBWR!B:B), "N/A")</f>
        <v>69</v>
      </c>
      <c r="L421" t="str" cm="1">
        <f t="array" ref="L421">IFERROR(_xlfn.XLOOKUP(C421&amp;A421, RYOE!A:A&amp;RYOE!F:F, RYOE!C:C), "N/A")</f>
        <v>N/A</v>
      </c>
      <c r="M421" t="str" cm="1">
        <f t="array" ref="M421">IFERROR(_xlfn.XLOOKUP(C421&amp;A421, RYOE!A:A&amp;RYOE!F:F, RYOE!D:D), "N/A")</f>
        <v>N/A</v>
      </c>
      <c r="N421" t="str" cm="1">
        <f t="array" ref="N421">IFERROR(_xlfn.XLOOKUP(C421&amp;A421, RYOE!A:A&amp;RYOE!F:F, RYOE!E:E), "N/A")</f>
        <v>N/A</v>
      </c>
    </row>
    <row r="422" spans="1:14" ht="15" customHeight="1" x14ac:dyDescent="0.45">
      <c r="A422" s="7">
        <v>2023</v>
      </c>
      <c r="B422" s="5" t="s">
        <v>311</v>
      </c>
      <c r="C422" s="1" t="str">
        <f t="shared" si="12"/>
        <v>Darrynton Evans</v>
      </c>
      <c r="D422" s="1" t="str">
        <f t="shared" si="13"/>
        <v>MIA</v>
      </c>
      <c r="E422" s="1">
        <v>32</v>
      </c>
      <c r="F422" s="1">
        <v>121</v>
      </c>
      <c r="G422" s="1">
        <v>3.8</v>
      </c>
      <c r="H422" s="1">
        <v>1</v>
      </c>
      <c r="I422">
        <v>0</v>
      </c>
      <c r="J422">
        <v>6</v>
      </c>
      <c r="K422" cm="1">
        <f t="array" ref="K422">IFERROR(_xlfn.XLOOKUP(D422&amp;A422, RBWR!A:A&amp;RBWR!C:C, RBWR!B:B), "N/A")</f>
        <v>71</v>
      </c>
      <c r="L422" t="str" cm="1">
        <f t="array" ref="L422">IFERROR(_xlfn.XLOOKUP(C422&amp;A422, RYOE!A:A&amp;RYOE!F:F, RYOE!C:C), "N/A")</f>
        <v>N/A</v>
      </c>
      <c r="M422" t="str" cm="1">
        <f t="array" ref="M422">IFERROR(_xlfn.XLOOKUP(C422&amp;A422, RYOE!A:A&amp;RYOE!F:F, RYOE!D:D), "N/A")</f>
        <v>N/A</v>
      </c>
      <c r="N422" t="str" cm="1">
        <f t="array" ref="N422">IFERROR(_xlfn.XLOOKUP(C422&amp;A422, RYOE!A:A&amp;RYOE!F:F, RYOE!E:E), "N/A")</f>
        <v>N/A</v>
      </c>
    </row>
    <row r="423" spans="1:14" ht="15" customHeight="1" x14ac:dyDescent="0.45">
      <c r="A423" s="8">
        <v>2023</v>
      </c>
      <c r="B423" s="6" t="s">
        <v>215</v>
      </c>
      <c r="C423" s="2" t="str">
        <f t="shared" si="12"/>
        <v>Ameer Abdullah</v>
      </c>
      <c r="D423" s="2" t="str">
        <f t="shared" si="13"/>
        <v>LV</v>
      </c>
      <c r="E423" s="2">
        <v>15</v>
      </c>
      <c r="F423" s="2">
        <v>89</v>
      </c>
      <c r="G423" s="2">
        <v>5.9</v>
      </c>
      <c r="H423" s="2">
        <v>0</v>
      </c>
      <c r="I423">
        <v>0</v>
      </c>
      <c r="J423">
        <v>16</v>
      </c>
      <c r="K423" cm="1">
        <f t="array" ref="K423">IFERROR(_xlfn.XLOOKUP(D423&amp;A423, RBWR!A:A&amp;RBWR!C:C, RBWR!B:B), "N/A")</f>
        <v>67</v>
      </c>
      <c r="L423" t="str" cm="1">
        <f t="array" ref="L423">IFERROR(_xlfn.XLOOKUP(C423&amp;A423, RYOE!A:A&amp;RYOE!F:F, RYOE!C:C), "N/A")</f>
        <v>N/A</v>
      </c>
      <c r="M423" t="str" cm="1">
        <f t="array" ref="M423">IFERROR(_xlfn.XLOOKUP(C423&amp;A423, RYOE!A:A&amp;RYOE!F:F, RYOE!D:D), "N/A")</f>
        <v>N/A</v>
      </c>
      <c r="N423" t="str" cm="1">
        <f t="array" ref="N423">IFERROR(_xlfn.XLOOKUP(C423&amp;A423, RYOE!A:A&amp;RYOE!F:F, RYOE!E:E), "N/A")</f>
        <v>N/A</v>
      </c>
    </row>
    <row r="424" spans="1:14" ht="15" customHeight="1" x14ac:dyDescent="0.45">
      <c r="A424" s="7">
        <v>2023</v>
      </c>
      <c r="B424" s="5" t="s">
        <v>211</v>
      </c>
      <c r="C424" s="1" t="str">
        <f t="shared" si="12"/>
        <v>Tank Bigsby</v>
      </c>
      <c r="D424" s="1" t="str">
        <f t="shared" si="13"/>
        <v>JAC</v>
      </c>
      <c r="E424" s="1">
        <v>50</v>
      </c>
      <c r="F424" s="1">
        <v>132</v>
      </c>
      <c r="G424" s="1">
        <v>2.6</v>
      </c>
      <c r="H424" s="1">
        <v>2</v>
      </c>
      <c r="I424">
        <v>2</v>
      </c>
      <c r="J424">
        <v>16</v>
      </c>
      <c r="K424" cm="1">
        <f t="array" ref="K424">IFERROR(_xlfn.XLOOKUP(D424&amp;A424, RBWR!A:A&amp;RBWR!C:C, RBWR!B:B), "N/A")</f>
        <v>70</v>
      </c>
      <c r="L424" t="str" cm="1">
        <f t="array" ref="L424">IFERROR(_xlfn.XLOOKUP(C424&amp;A424, RYOE!A:A&amp;RYOE!F:F, RYOE!C:C), "N/A")</f>
        <v>N/A</v>
      </c>
      <c r="M424" t="str" cm="1">
        <f t="array" ref="M424">IFERROR(_xlfn.XLOOKUP(C424&amp;A424, RYOE!A:A&amp;RYOE!F:F, RYOE!D:D), "N/A")</f>
        <v>N/A</v>
      </c>
      <c r="N424" t="str" cm="1">
        <f t="array" ref="N424">IFERROR(_xlfn.XLOOKUP(C424&amp;A424, RYOE!A:A&amp;RYOE!F:F, RYOE!E:E), "N/A")</f>
        <v>N/A</v>
      </c>
    </row>
    <row r="425" spans="1:14" ht="15" customHeight="1" x14ac:dyDescent="0.45">
      <c r="A425" s="8">
        <v>2023</v>
      </c>
      <c r="B425" s="6" t="s">
        <v>219</v>
      </c>
      <c r="C425" s="2" t="str">
        <f t="shared" si="12"/>
        <v>Nick Chubb</v>
      </c>
      <c r="D425" s="2" t="str">
        <f t="shared" si="13"/>
        <v>CLE</v>
      </c>
      <c r="E425" s="2">
        <v>28</v>
      </c>
      <c r="F425" s="2">
        <v>170</v>
      </c>
      <c r="G425" s="2">
        <v>6.1</v>
      </c>
      <c r="H425" s="2">
        <v>0</v>
      </c>
      <c r="I425">
        <v>0</v>
      </c>
      <c r="J425">
        <v>2</v>
      </c>
      <c r="K425" cm="1">
        <f t="array" ref="K425">IFERROR(_xlfn.XLOOKUP(D425&amp;A425, RBWR!A:A&amp;RBWR!C:C, RBWR!B:B), "N/A")</f>
        <v>70</v>
      </c>
      <c r="L425" t="str" cm="1">
        <f t="array" ref="L425">IFERROR(_xlfn.XLOOKUP(C425&amp;A425, RYOE!A:A&amp;RYOE!F:F, RYOE!C:C), "N/A")</f>
        <v>N/A</v>
      </c>
      <c r="M425" t="str" cm="1">
        <f t="array" ref="M425">IFERROR(_xlfn.XLOOKUP(C425&amp;A425, RYOE!A:A&amp;RYOE!F:F, RYOE!D:D), "N/A")</f>
        <v>N/A</v>
      </c>
      <c r="N425" t="str" cm="1">
        <f t="array" ref="N425">IFERROR(_xlfn.XLOOKUP(C425&amp;A425, RYOE!A:A&amp;RYOE!F:F, RYOE!E:E), "N/A")</f>
        <v>N/A</v>
      </c>
    </row>
    <row r="426" spans="1:14" ht="15" customHeight="1" x14ac:dyDescent="0.45">
      <c r="A426" s="7">
        <v>2023</v>
      </c>
      <c r="B426" s="5" t="s">
        <v>312</v>
      </c>
      <c r="C426" s="1" t="str">
        <f t="shared" si="12"/>
        <v>Patrick Taylor Jr.</v>
      </c>
      <c r="D426" s="1" t="str">
        <f t="shared" si="13"/>
        <v>GB</v>
      </c>
      <c r="E426" s="1">
        <v>32</v>
      </c>
      <c r="F426" s="1">
        <v>141</v>
      </c>
      <c r="G426" s="1">
        <v>4.4000000000000004</v>
      </c>
      <c r="H426" s="1">
        <v>0</v>
      </c>
      <c r="I426">
        <v>0</v>
      </c>
      <c r="J426">
        <v>11</v>
      </c>
      <c r="K426" cm="1">
        <f t="array" ref="K426">IFERROR(_xlfn.XLOOKUP(D426&amp;A426, RBWR!A:A&amp;RBWR!C:C, RBWR!B:B), "N/A")</f>
        <v>70</v>
      </c>
      <c r="L426" t="str" cm="1">
        <f t="array" ref="L426">IFERROR(_xlfn.XLOOKUP(C426&amp;A426, RYOE!A:A&amp;RYOE!F:F, RYOE!C:C), "N/A")</f>
        <v>N/A</v>
      </c>
      <c r="M426" t="str" cm="1">
        <f t="array" ref="M426">IFERROR(_xlfn.XLOOKUP(C426&amp;A426, RYOE!A:A&amp;RYOE!F:F, RYOE!D:D), "N/A")</f>
        <v>N/A</v>
      </c>
      <c r="N426" t="str" cm="1">
        <f t="array" ref="N426">IFERROR(_xlfn.XLOOKUP(C426&amp;A426, RYOE!A:A&amp;RYOE!F:F, RYOE!E:E), "N/A")</f>
        <v>N/A</v>
      </c>
    </row>
    <row r="427" spans="1:14" ht="15" customHeight="1" x14ac:dyDescent="0.45">
      <c r="A427" s="8">
        <v>2023</v>
      </c>
      <c r="B427" s="6" t="s">
        <v>313</v>
      </c>
      <c r="C427" s="2" t="str">
        <f t="shared" si="12"/>
        <v>Kevin Harris</v>
      </c>
      <c r="D427" s="2" t="str">
        <f t="shared" si="13"/>
        <v>NE</v>
      </c>
      <c r="E427" s="2">
        <v>16</v>
      </c>
      <c r="F427" s="2">
        <v>65</v>
      </c>
      <c r="G427" s="2">
        <v>4.0999999999999996</v>
      </c>
      <c r="H427" s="2">
        <v>1</v>
      </c>
      <c r="I427">
        <v>0</v>
      </c>
      <c r="J427">
        <v>4</v>
      </c>
      <c r="K427" cm="1">
        <f t="array" ref="K427">IFERROR(_xlfn.XLOOKUP(D427&amp;A427, RBWR!A:A&amp;RBWR!C:C, RBWR!B:B), "N/A")</f>
        <v>68</v>
      </c>
      <c r="L427" t="str" cm="1">
        <f t="array" ref="L427">IFERROR(_xlfn.XLOOKUP(C427&amp;A427, RYOE!A:A&amp;RYOE!F:F, RYOE!C:C), "N/A")</f>
        <v>N/A</v>
      </c>
      <c r="M427" t="str" cm="1">
        <f t="array" ref="M427">IFERROR(_xlfn.XLOOKUP(C427&amp;A427, RYOE!A:A&amp;RYOE!F:F, RYOE!D:D), "N/A")</f>
        <v>N/A</v>
      </c>
      <c r="N427" t="str" cm="1">
        <f t="array" ref="N427">IFERROR(_xlfn.XLOOKUP(C427&amp;A427, RYOE!A:A&amp;RYOE!F:F, RYOE!E:E), "N/A")</f>
        <v>N/A</v>
      </c>
    </row>
    <row r="428" spans="1:14" ht="15" customHeight="1" x14ac:dyDescent="0.45">
      <c r="A428" s="7">
        <v>2023</v>
      </c>
      <c r="B428" s="5" t="s">
        <v>227</v>
      </c>
      <c r="C428" s="1" t="str">
        <f t="shared" si="12"/>
        <v>Trey Sermon</v>
      </c>
      <c r="D428" s="1" t="str">
        <f t="shared" si="13"/>
        <v>IND</v>
      </c>
      <c r="E428" s="1">
        <v>35</v>
      </c>
      <c r="F428" s="1">
        <v>160</v>
      </c>
      <c r="G428" s="1">
        <v>4.5999999999999996</v>
      </c>
      <c r="H428" s="1">
        <v>0</v>
      </c>
      <c r="I428">
        <v>0</v>
      </c>
      <c r="J428">
        <v>8</v>
      </c>
      <c r="K428" cm="1">
        <f t="array" ref="K428">IFERROR(_xlfn.XLOOKUP(D428&amp;A428, RBWR!A:A&amp;RBWR!C:C, RBWR!B:B), "N/A")</f>
        <v>74</v>
      </c>
      <c r="L428" t="str" cm="1">
        <f t="array" ref="L428">IFERROR(_xlfn.XLOOKUP(C428&amp;A428, RYOE!A:A&amp;RYOE!F:F, RYOE!C:C), "N/A")</f>
        <v>N/A</v>
      </c>
      <c r="M428" t="str" cm="1">
        <f t="array" ref="M428">IFERROR(_xlfn.XLOOKUP(C428&amp;A428, RYOE!A:A&amp;RYOE!F:F, RYOE!D:D), "N/A")</f>
        <v>N/A</v>
      </c>
      <c r="N428" t="str" cm="1">
        <f t="array" ref="N428">IFERROR(_xlfn.XLOOKUP(C428&amp;A428, RYOE!A:A&amp;RYOE!F:F, RYOE!E:E), "N/A")</f>
        <v>N/A</v>
      </c>
    </row>
    <row r="429" spans="1:14" ht="15" customHeight="1" x14ac:dyDescent="0.45">
      <c r="A429" s="8">
        <v>2023</v>
      </c>
      <c r="B429" s="6" t="s">
        <v>314</v>
      </c>
      <c r="C429" s="2" t="str">
        <f t="shared" si="12"/>
        <v>Damien Harris</v>
      </c>
      <c r="D429" s="2" t="str">
        <f t="shared" si="13"/>
        <v>BUF</v>
      </c>
      <c r="E429" s="2">
        <v>23</v>
      </c>
      <c r="F429" s="2">
        <v>94</v>
      </c>
      <c r="G429" s="2">
        <v>4.0999999999999996</v>
      </c>
      <c r="H429" s="2">
        <v>1</v>
      </c>
      <c r="I429">
        <v>0</v>
      </c>
      <c r="J429">
        <v>7</v>
      </c>
      <c r="K429" cm="1">
        <f t="array" ref="K429">IFERROR(_xlfn.XLOOKUP(D429&amp;A429, RBWR!A:A&amp;RBWR!C:C, RBWR!B:B), "N/A")</f>
        <v>71</v>
      </c>
      <c r="L429" t="str" cm="1">
        <f t="array" ref="L429">IFERROR(_xlfn.XLOOKUP(C429&amp;A429, RYOE!A:A&amp;RYOE!F:F, RYOE!C:C), "N/A")</f>
        <v>N/A</v>
      </c>
      <c r="M429" t="str" cm="1">
        <f t="array" ref="M429">IFERROR(_xlfn.XLOOKUP(C429&amp;A429, RYOE!A:A&amp;RYOE!F:F, RYOE!D:D), "N/A")</f>
        <v>N/A</v>
      </c>
      <c r="N429" t="str" cm="1">
        <f t="array" ref="N429">IFERROR(_xlfn.XLOOKUP(C429&amp;A429, RYOE!A:A&amp;RYOE!F:F, RYOE!E:E), "N/A")</f>
        <v>N/A</v>
      </c>
    </row>
    <row r="430" spans="1:14" ht="15" customHeight="1" x14ac:dyDescent="0.45">
      <c r="A430" s="7">
        <v>2023</v>
      </c>
      <c r="B430" s="5" t="s">
        <v>315</v>
      </c>
      <c r="C430" s="1" t="str">
        <f t="shared" si="12"/>
        <v>Melvin Gordon III</v>
      </c>
      <c r="D430" s="1" t="str">
        <f t="shared" si="13"/>
        <v>BAL</v>
      </c>
      <c r="E430" s="1">
        <v>26</v>
      </c>
      <c r="F430" s="1">
        <v>81</v>
      </c>
      <c r="G430" s="1">
        <v>3.1</v>
      </c>
      <c r="H430" s="1">
        <v>1</v>
      </c>
      <c r="I430">
        <v>1</v>
      </c>
      <c r="J430">
        <v>4</v>
      </c>
      <c r="K430" cm="1">
        <f t="array" ref="K430">IFERROR(_xlfn.XLOOKUP(D430&amp;A430, RBWR!A:A&amp;RBWR!C:C, RBWR!B:B), "N/A")</f>
        <v>74</v>
      </c>
      <c r="L430" t="str" cm="1">
        <f t="array" ref="L430">IFERROR(_xlfn.XLOOKUP(C430&amp;A430, RYOE!A:A&amp;RYOE!F:F, RYOE!C:C), "N/A")</f>
        <v>N/A</v>
      </c>
      <c r="M430" t="str" cm="1">
        <f t="array" ref="M430">IFERROR(_xlfn.XLOOKUP(C430&amp;A430, RYOE!A:A&amp;RYOE!F:F, RYOE!D:D), "N/A")</f>
        <v>N/A</v>
      </c>
      <c r="N430" t="str" cm="1">
        <f t="array" ref="N430">IFERROR(_xlfn.XLOOKUP(C430&amp;A430, RYOE!A:A&amp;RYOE!F:F, RYOE!E:E), "N/A")</f>
        <v>N/A</v>
      </c>
    </row>
    <row r="431" spans="1:14" ht="15" customHeight="1" x14ac:dyDescent="0.45">
      <c r="A431" s="8">
        <v>2023</v>
      </c>
      <c r="B431" s="6" t="s">
        <v>138</v>
      </c>
      <c r="C431" s="2" t="str">
        <f t="shared" si="12"/>
        <v>Ronnie Rivers</v>
      </c>
      <c r="D431" s="2" t="str">
        <f t="shared" si="13"/>
        <v>LAR</v>
      </c>
      <c r="E431" s="2">
        <v>32</v>
      </c>
      <c r="F431" s="2">
        <v>129</v>
      </c>
      <c r="G431" s="2">
        <v>4</v>
      </c>
      <c r="H431" s="2">
        <v>0</v>
      </c>
      <c r="I431">
        <v>0</v>
      </c>
      <c r="J431">
        <v>9</v>
      </c>
      <c r="K431" cm="1">
        <f t="array" ref="K431">IFERROR(_xlfn.XLOOKUP(D431&amp;A431, RBWR!A:A&amp;RBWR!C:C, RBWR!B:B), "N/A")</f>
        <v>72</v>
      </c>
      <c r="L431" t="str" cm="1">
        <f t="array" ref="L431">IFERROR(_xlfn.XLOOKUP(C431&amp;A431, RYOE!A:A&amp;RYOE!F:F, RYOE!C:C), "N/A")</f>
        <v>N/A</v>
      </c>
      <c r="M431" t="str" cm="1">
        <f t="array" ref="M431">IFERROR(_xlfn.XLOOKUP(C431&amp;A431, RYOE!A:A&amp;RYOE!F:F, RYOE!D:D), "N/A")</f>
        <v>N/A</v>
      </c>
      <c r="N431" t="str" cm="1">
        <f t="array" ref="N431">IFERROR(_xlfn.XLOOKUP(C431&amp;A431, RYOE!A:A&amp;RYOE!F:F, RYOE!E:E), "N/A")</f>
        <v>N/A</v>
      </c>
    </row>
    <row r="432" spans="1:14" ht="15" customHeight="1" x14ac:dyDescent="0.45">
      <c r="A432" s="7">
        <v>2023</v>
      </c>
      <c r="B432" s="5" t="s">
        <v>316</v>
      </c>
      <c r="C432" s="1" t="str">
        <f t="shared" si="12"/>
        <v>Isaiah Spiller</v>
      </c>
      <c r="D432" s="1" t="str">
        <f t="shared" si="13"/>
        <v>LAC</v>
      </c>
      <c r="E432" s="1">
        <v>37</v>
      </c>
      <c r="F432" s="1">
        <v>96</v>
      </c>
      <c r="G432" s="1">
        <v>2.6</v>
      </c>
      <c r="H432" s="1">
        <v>0</v>
      </c>
      <c r="I432">
        <v>0</v>
      </c>
      <c r="J432">
        <v>9</v>
      </c>
      <c r="K432" cm="1">
        <f t="array" ref="K432">IFERROR(_xlfn.XLOOKUP(D432&amp;A432, RBWR!A:A&amp;RBWR!C:C, RBWR!B:B), "N/A")</f>
        <v>72</v>
      </c>
      <c r="L432" t="str" cm="1">
        <f t="array" ref="L432">IFERROR(_xlfn.XLOOKUP(C432&amp;A432, RYOE!A:A&amp;RYOE!F:F, RYOE!C:C), "N/A")</f>
        <v>N/A</v>
      </c>
      <c r="M432" t="str" cm="1">
        <f t="array" ref="M432">IFERROR(_xlfn.XLOOKUP(C432&amp;A432, RYOE!A:A&amp;RYOE!F:F, RYOE!D:D), "N/A")</f>
        <v>N/A</v>
      </c>
      <c r="N432" t="str" cm="1">
        <f t="array" ref="N432">IFERROR(_xlfn.XLOOKUP(C432&amp;A432, RYOE!A:A&amp;RYOE!F:F, RYOE!E:E), "N/A")</f>
        <v>N/A</v>
      </c>
    </row>
    <row r="433" spans="1:14" ht="15" customHeight="1" x14ac:dyDescent="0.45">
      <c r="A433" s="8">
        <v>2023</v>
      </c>
      <c r="B433" s="6" t="s">
        <v>151</v>
      </c>
      <c r="C433" s="2" t="str">
        <f t="shared" si="12"/>
        <v>Tyler Goodson</v>
      </c>
      <c r="D433" s="2" t="str">
        <f t="shared" si="13"/>
        <v>IND</v>
      </c>
      <c r="E433" s="2">
        <v>13</v>
      </c>
      <c r="F433" s="2">
        <v>87</v>
      </c>
      <c r="G433" s="2">
        <v>6.7</v>
      </c>
      <c r="H433" s="2">
        <v>0</v>
      </c>
      <c r="I433">
        <v>0</v>
      </c>
      <c r="J433">
        <v>6</v>
      </c>
      <c r="K433" cm="1">
        <f t="array" ref="K433">IFERROR(_xlfn.XLOOKUP(D433&amp;A433, RBWR!A:A&amp;RBWR!C:C, RBWR!B:B), "N/A")</f>
        <v>74</v>
      </c>
      <c r="L433" t="str" cm="1">
        <f t="array" ref="L433">IFERROR(_xlfn.XLOOKUP(C433&amp;A433, RYOE!A:A&amp;RYOE!F:F, RYOE!C:C), "N/A")</f>
        <v>N/A</v>
      </c>
      <c r="M433" t="str" cm="1">
        <f t="array" ref="M433">IFERROR(_xlfn.XLOOKUP(C433&amp;A433, RYOE!A:A&amp;RYOE!F:F, RYOE!D:D), "N/A")</f>
        <v>N/A</v>
      </c>
      <c r="N433" t="str" cm="1">
        <f t="array" ref="N433">IFERROR(_xlfn.XLOOKUP(C433&amp;A433, RYOE!A:A&amp;RYOE!F:F, RYOE!E:E), "N/A")</f>
        <v>N/A</v>
      </c>
    </row>
    <row r="434" spans="1:14" ht="15" customHeight="1" x14ac:dyDescent="0.45">
      <c r="A434" s="7">
        <v>2023</v>
      </c>
      <c r="B434" s="5" t="s">
        <v>163</v>
      </c>
      <c r="C434" s="1" t="str">
        <f t="shared" si="12"/>
        <v>Alec Ingold</v>
      </c>
      <c r="D434" s="1" t="str">
        <f t="shared" si="13"/>
        <v>MIA</v>
      </c>
      <c r="E434" s="1">
        <v>2</v>
      </c>
      <c r="F434" s="1">
        <v>0</v>
      </c>
      <c r="G434" s="1">
        <v>0</v>
      </c>
      <c r="H434" s="1">
        <v>0</v>
      </c>
      <c r="I434">
        <v>0</v>
      </c>
      <c r="J434">
        <v>17</v>
      </c>
      <c r="K434" cm="1">
        <f t="array" ref="K434">IFERROR(_xlfn.XLOOKUP(D434&amp;A434, RBWR!A:A&amp;RBWR!C:C, RBWR!B:B), "N/A")</f>
        <v>71</v>
      </c>
      <c r="L434" t="str" cm="1">
        <f t="array" ref="L434">IFERROR(_xlfn.XLOOKUP(C434&amp;A434, RYOE!A:A&amp;RYOE!F:F, RYOE!C:C), "N/A")</f>
        <v>N/A</v>
      </c>
      <c r="M434" t="str" cm="1">
        <f t="array" ref="M434">IFERROR(_xlfn.XLOOKUP(C434&amp;A434, RYOE!A:A&amp;RYOE!F:F, RYOE!D:D), "N/A")</f>
        <v>N/A</v>
      </c>
      <c r="N434" t="str" cm="1">
        <f t="array" ref="N434">IFERROR(_xlfn.XLOOKUP(C434&amp;A434, RYOE!A:A&amp;RYOE!F:F, RYOE!E:E), "N/A")</f>
        <v>N/A</v>
      </c>
    </row>
    <row r="435" spans="1:14" ht="15" customHeight="1" x14ac:dyDescent="0.45">
      <c r="A435" s="8">
        <v>2023</v>
      </c>
      <c r="B435" s="6" t="s">
        <v>317</v>
      </c>
      <c r="C435" s="2" t="str">
        <f t="shared" si="12"/>
        <v>Boston Scott</v>
      </c>
      <c r="D435" s="2" t="str">
        <f t="shared" si="13"/>
        <v>PHI</v>
      </c>
      <c r="E435" s="2">
        <v>20</v>
      </c>
      <c r="F435" s="2">
        <v>86</v>
      </c>
      <c r="G435" s="2">
        <v>4.3</v>
      </c>
      <c r="H435" s="2">
        <v>0</v>
      </c>
      <c r="I435">
        <v>1</v>
      </c>
      <c r="J435">
        <v>12</v>
      </c>
      <c r="K435" cm="1">
        <f t="array" ref="K435">IFERROR(_xlfn.XLOOKUP(D435&amp;A435, RBWR!A:A&amp;RBWR!C:C, RBWR!B:B), "N/A")</f>
        <v>73</v>
      </c>
      <c r="L435" t="str" cm="1">
        <f t="array" ref="L435">IFERROR(_xlfn.XLOOKUP(C435&amp;A435, RYOE!A:A&amp;RYOE!F:F, RYOE!C:C), "N/A")</f>
        <v>N/A</v>
      </c>
      <c r="M435" t="str" cm="1">
        <f t="array" ref="M435">IFERROR(_xlfn.XLOOKUP(C435&amp;A435, RYOE!A:A&amp;RYOE!F:F, RYOE!D:D), "N/A")</f>
        <v>N/A</v>
      </c>
      <c r="N435" t="str" cm="1">
        <f t="array" ref="N435">IFERROR(_xlfn.XLOOKUP(C435&amp;A435, RYOE!A:A&amp;RYOE!F:F, RYOE!E:E), "N/A")</f>
        <v>N/A</v>
      </c>
    </row>
    <row r="436" spans="1:14" ht="15" customHeight="1" x14ac:dyDescent="0.45">
      <c r="A436" s="7">
        <v>2023</v>
      </c>
      <c r="B436" s="5" t="s">
        <v>173</v>
      </c>
      <c r="C436" s="1" t="str">
        <f t="shared" si="12"/>
        <v>Patrick Ricard</v>
      </c>
      <c r="D436" s="1" t="str">
        <f t="shared" si="13"/>
        <v>BAL</v>
      </c>
      <c r="E436" s="1">
        <v>0</v>
      </c>
      <c r="F436" s="1">
        <v>0</v>
      </c>
      <c r="G436" s="1">
        <v>0</v>
      </c>
      <c r="H436" s="1">
        <v>0</v>
      </c>
      <c r="I436">
        <v>0</v>
      </c>
      <c r="J436">
        <v>17</v>
      </c>
      <c r="K436" cm="1">
        <f t="array" ref="K436">IFERROR(_xlfn.XLOOKUP(D436&amp;A436, RBWR!A:A&amp;RBWR!C:C, RBWR!B:B), "N/A")</f>
        <v>74</v>
      </c>
      <c r="L436" t="str" cm="1">
        <f t="array" ref="L436">IFERROR(_xlfn.XLOOKUP(C436&amp;A436, RYOE!A:A&amp;RYOE!F:F, RYOE!C:C), "N/A")</f>
        <v>N/A</v>
      </c>
      <c r="M436" t="str" cm="1">
        <f t="array" ref="M436">IFERROR(_xlfn.XLOOKUP(C436&amp;A436, RYOE!A:A&amp;RYOE!F:F, RYOE!D:D), "N/A")</f>
        <v>N/A</v>
      </c>
      <c r="N436" t="str" cm="1">
        <f t="array" ref="N436">IFERROR(_xlfn.XLOOKUP(C436&amp;A436, RYOE!A:A&amp;RYOE!F:F, RYOE!E:E), "N/A")</f>
        <v>N/A</v>
      </c>
    </row>
    <row r="437" spans="1:14" ht="15" customHeight="1" x14ac:dyDescent="0.45">
      <c r="A437" s="8">
        <v>2023</v>
      </c>
      <c r="B437" s="6" t="s">
        <v>318</v>
      </c>
      <c r="C437" s="2" t="str">
        <f t="shared" si="12"/>
        <v>Brandon Bolden</v>
      </c>
      <c r="D437" s="2" t="str">
        <f t="shared" si="13"/>
        <v>LV</v>
      </c>
      <c r="E437" s="2">
        <v>4</v>
      </c>
      <c r="F437" s="2">
        <v>31</v>
      </c>
      <c r="G437" s="2">
        <v>7.8</v>
      </c>
      <c r="H437" s="2">
        <v>1</v>
      </c>
      <c r="I437">
        <v>0</v>
      </c>
      <c r="J437">
        <v>5</v>
      </c>
      <c r="K437" cm="1">
        <f t="array" ref="K437">IFERROR(_xlfn.XLOOKUP(D437&amp;A437, RBWR!A:A&amp;RBWR!C:C, RBWR!B:B), "N/A")</f>
        <v>67</v>
      </c>
      <c r="L437" t="str" cm="1">
        <f t="array" ref="L437">IFERROR(_xlfn.XLOOKUP(C437&amp;A437, RYOE!A:A&amp;RYOE!F:F, RYOE!C:C), "N/A")</f>
        <v>N/A</v>
      </c>
      <c r="M437" t="str" cm="1">
        <f t="array" ref="M437">IFERROR(_xlfn.XLOOKUP(C437&amp;A437, RYOE!A:A&amp;RYOE!F:F, RYOE!D:D), "N/A")</f>
        <v>N/A</v>
      </c>
      <c r="N437" t="str" cm="1">
        <f t="array" ref="N437">IFERROR(_xlfn.XLOOKUP(C437&amp;A437, RYOE!A:A&amp;RYOE!F:F, RYOE!E:E), "N/A")</f>
        <v>N/A</v>
      </c>
    </row>
    <row r="438" spans="1:14" ht="15" customHeight="1" x14ac:dyDescent="0.45">
      <c r="A438" s="7">
        <v>2023</v>
      </c>
      <c r="B438" s="5" t="s">
        <v>243</v>
      </c>
      <c r="C438" s="1" t="str">
        <f t="shared" si="12"/>
        <v>Raheem Blackshear</v>
      </c>
      <c r="D438" s="1" t="str">
        <f t="shared" si="13"/>
        <v>CAR</v>
      </c>
      <c r="E438" s="1">
        <v>14</v>
      </c>
      <c r="F438" s="1">
        <v>46</v>
      </c>
      <c r="G438" s="1">
        <v>3.3</v>
      </c>
      <c r="H438" s="1">
        <v>0</v>
      </c>
      <c r="I438">
        <v>0</v>
      </c>
      <c r="J438">
        <v>11</v>
      </c>
      <c r="K438" cm="1">
        <f t="array" ref="K438">IFERROR(_xlfn.XLOOKUP(D438&amp;A438, RBWR!A:A&amp;RBWR!C:C, RBWR!B:B), "N/A")</f>
        <v>72</v>
      </c>
      <c r="L438" t="str" cm="1">
        <f t="array" ref="L438">IFERROR(_xlfn.XLOOKUP(C438&amp;A438, RYOE!A:A&amp;RYOE!F:F, RYOE!C:C), "N/A")</f>
        <v>N/A</v>
      </c>
      <c r="M438" t="str" cm="1">
        <f t="array" ref="M438">IFERROR(_xlfn.XLOOKUP(C438&amp;A438, RYOE!A:A&amp;RYOE!F:F, RYOE!D:D), "N/A")</f>
        <v>N/A</v>
      </c>
      <c r="N438" t="str" cm="1">
        <f t="array" ref="N438">IFERROR(_xlfn.XLOOKUP(C438&amp;A438, RYOE!A:A&amp;RYOE!F:F, RYOE!E:E), "N/A")</f>
        <v>N/A</v>
      </c>
    </row>
    <row r="439" spans="1:14" ht="15" customHeight="1" x14ac:dyDescent="0.45">
      <c r="A439" s="8">
        <v>2023</v>
      </c>
      <c r="B439" s="6" t="s">
        <v>319</v>
      </c>
      <c r="C439" s="2" t="str">
        <f t="shared" si="12"/>
        <v>La'Mical Perine</v>
      </c>
      <c r="D439" s="2" t="str">
        <f t="shared" si="13"/>
        <v>KC</v>
      </c>
      <c r="E439" s="2">
        <v>22</v>
      </c>
      <c r="F439" s="2">
        <v>77</v>
      </c>
      <c r="G439" s="2">
        <v>3.5</v>
      </c>
      <c r="H439" s="2">
        <v>0</v>
      </c>
      <c r="I439">
        <v>0</v>
      </c>
      <c r="J439">
        <v>2</v>
      </c>
      <c r="K439" cm="1">
        <f t="array" ref="K439">IFERROR(_xlfn.XLOOKUP(D439&amp;A439, RBWR!A:A&amp;RBWR!C:C, RBWR!B:B), "N/A")</f>
        <v>75</v>
      </c>
      <c r="L439" t="str" cm="1">
        <f t="array" ref="L439">IFERROR(_xlfn.XLOOKUP(C439&amp;A439, RYOE!A:A&amp;RYOE!F:F, RYOE!C:C), "N/A")</f>
        <v>N/A</v>
      </c>
      <c r="M439" t="str" cm="1">
        <f t="array" ref="M439">IFERROR(_xlfn.XLOOKUP(C439&amp;A439, RYOE!A:A&amp;RYOE!F:F, RYOE!D:D), "N/A")</f>
        <v>N/A</v>
      </c>
      <c r="N439" t="str" cm="1">
        <f t="array" ref="N439">IFERROR(_xlfn.XLOOKUP(C439&amp;A439, RYOE!A:A&amp;RYOE!F:F, RYOE!E:E), "N/A")</f>
        <v>N/A</v>
      </c>
    </row>
    <row r="440" spans="1:14" ht="15" customHeight="1" x14ac:dyDescent="0.45">
      <c r="A440" s="7">
        <v>2023</v>
      </c>
      <c r="B440" s="5" t="s">
        <v>77</v>
      </c>
      <c r="C440" s="1" t="str">
        <f t="shared" si="12"/>
        <v>Emanuel Wilson</v>
      </c>
      <c r="D440" s="1" t="str">
        <f t="shared" si="13"/>
        <v>GB</v>
      </c>
      <c r="E440" s="1">
        <v>14</v>
      </c>
      <c r="F440" s="1">
        <v>85</v>
      </c>
      <c r="G440" s="1">
        <v>6.1</v>
      </c>
      <c r="H440" s="1">
        <v>0</v>
      </c>
      <c r="I440">
        <v>0</v>
      </c>
      <c r="J440">
        <v>7</v>
      </c>
      <c r="K440" cm="1">
        <f t="array" ref="K440">IFERROR(_xlfn.XLOOKUP(D440&amp;A440, RBWR!A:A&amp;RBWR!C:C, RBWR!B:B), "N/A")</f>
        <v>70</v>
      </c>
      <c r="L440" t="str" cm="1">
        <f t="array" ref="L440">IFERROR(_xlfn.XLOOKUP(C440&amp;A440, RYOE!A:A&amp;RYOE!F:F, RYOE!C:C), "N/A")</f>
        <v>N/A</v>
      </c>
      <c r="M440" t="str" cm="1">
        <f t="array" ref="M440">IFERROR(_xlfn.XLOOKUP(C440&amp;A440, RYOE!A:A&amp;RYOE!F:F, RYOE!D:D), "N/A")</f>
        <v>N/A</v>
      </c>
      <c r="N440" t="str" cm="1">
        <f t="array" ref="N440">IFERROR(_xlfn.XLOOKUP(C440&amp;A440, RYOE!A:A&amp;RYOE!F:F, RYOE!E:E), "N/A")</f>
        <v>N/A</v>
      </c>
    </row>
    <row r="441" spans="1:14" ht="15" customHeight="1" x14ac:dyDescent="0.45">
      <c r="A441" s="8">
        <v>2023</v>
      </c>
      <c r="B441" s="6" t="s">
        <v>320</v>
      </c>
      <c r="C441" s="2" t="str">
        <f t="shared" si="12"/>
        <v>Chris Brooks</v>
      </c>
      <c r="D441" s="2" t="str">
        <f t="shared" si="13"/>
        <v>MIA</v>
      </c>
      <c r="E441" s="2">
        <v>19</v>
      </c>
      <c r="F441" s="2">
        <v>106</v>
      </c>
      <c r="G441" s="2">
        <v>5.6</v>
      </c>
      <c r="H441" s="2">
        <v>0</v>
      </c>
      <c r="I441">
        <v>0</v>
      </c>
      <c r="J441">
        <v>3</v>
      </c>
      <c r="K441" cm="1">
        <f t="array" ref="K441">IFERROR(_xlfn.XLOOKUP(D441&amp;A441, RBWR!A:A&amp;RBWR!C:C, RBWR!B:B), "N/A")</f>
        <v>71</v>
      </c>
      <c r="L441" t="str" cm="1">
        <f t="array" ref="L441">IFERROR(_xlfn.XLOOKUP(C441&amp;A441, RYOE!A:A&amp;RYOE!F:F, RYOE!C:C), "N/A")</f>
        <v>N/A</v>
      </c>
      <c r="M441" t="str" cm="1">
        <f t="array" ref="M441">IFERROR(_xlfn.XLOOKUP(C441&amp;A441, RYOE!A:A&amp;RYOE!F:F, RYOE!D:D), "N/A")</f>
        <v>N/A</v>
      </c>
      <c r="N441" t="str" cm="1">
        <f t="array" ref="N441">IFERROR(_xlfn.XLOOKUP(C441&amp;A441, RYOE!A:A&amp;RYOE!F:F, RYOE!E:E), "N/A")</f>
        <v>N/A</v>
      </c>
    </row>
    <row r="442" spans="1:14" ht="15" customHeight="1" x14ac:dyDescent="0.45">
      <c r="A442" s="7">
        <v>2023</v>
      </c>
      <c r="B442" s="5" t="s">
        <v>321</v>
      </c>
      <c r="C442" s="1" t="str">
        <f t="shared" si="12"/>
        <v>Keaontay Ingram</v>
      </c>
      <c r="D442" s="1" t="str">
        <f t="shared" si="13"/>
        <v>ARI</v>
      </c>
      <c r="E442" s="1">
        <v>35</v>
      </c>
      <c r="F442" s="1">
        <v>74</v>
      </c>
      <c r="G442" s="1">
        <v>2.1</v>
      </c>
      <c r="H442" s="1">
        <v>0</v>
      </c>
      <c r="I442">
        <v>0</v>
      </c>
      <c r="J442">
        <v>7</v>
      </c>
      <c r="K442" cm="1">
        <f t="array" ref="K442">IFERROR(_xlfn.XLOOKUP(D442&amp;A442, RBWR!A:A&amp;RBWR!C:C, RBWR!B:B), "N/A")</f>
        <v>72</v>
      </c>
      <c r="L442" t="str" cm="1">
        <f t="array" ref="L442">IFERROR(_xlfn.XLOOKUP(C442&amp;A442, RYOE!A:A&amp;RYOE!F:F, RYOE!C:C), "N/A")</f>
        <v>N/A</v>
      </c>
      <c r="M442" t="str" cm="1">
        <f t="array" ref="M442">IFERROR(_xlfn.XLOOKUP(C442&amp;A442, RYOE!A:A&amp;RYOE!F:F, RYOE!D:D), "N/A")</f>
        <v>N/A</v>
      </c>
      <c r="N442" t="str" cm="1">
        <f t="array" ref="N442">IFERROR(_xlfn.XLOOKUP(C442&amp;A442, RYOE!A:A&amp;RYOE!F:F, RYOE!E:E), "N/A")</f>
        <v>N/A</v>
      </c>
    </row>
    <row r="443" spans="1:14" ht="15" customHeight="1" x14ac:dyDescent="0.45">
      <c r="A443" s="8">
        <v>2023</v>
      </c>
      <c r="B443" s="6" t="s">
        <v>322</v>
      </c>
      <c r="C443" s="2" t="str">
        <f t="shared" si="12"/>
        <v>J.K. Dobbins</v>
      </c>
      <c r="D443" s="2" t="str">
        <f t="shared" si="13"/>
        <v>BAL</v>
      </c>
      <c r="E443" s="2">
        <v>8</v>
      </c>
      <c r="F443" s="2">
        <v>22</v>
      </c>
      <c r="G443" s="2">
        <v>2.8</v>
      </c>
      <c r="H443" s="2">
        <v>1</v>
      </c>
      <c r="I443">
        <v>0</v>
      </c>
      <c r="J443">
        <v>1</v>
      </c>
      <c r="K443" cm="1">
        <f t="array" ref="K443">IFERROR(_xlfn.XLOOKUP(D443&amp;A443, RBWR!A:A&amp;RBWR!C:C, RBWR!B:B), "N/A")</f>
        <v>74</v>
      </c>
      <c r="L443" t="str" cm="1">
        <f t="array" ref="L443">IFERROR(_xlfn.XLOOKUP(C443&amp;A443, RYOE!A:A&amp;RYOE!F:F, RYOE!C:C), "N/A")</f>
        <v>N/A</v>
      </c>
      <c r="M443" t="str" cm="1">
        <f t="array" ref="M443">IFERROR(_xlfn.XLOOKUP(C443&amp;A443, RYOE!A:A&amp;RYOE!F:F, RYOE!D:D), "N/A")</f>
        <v>N/A</v>
      </c>
      <c r="N443" t="str" cm="1">
        <f t="array" ref="N443">IFERROR(_xlfn.XLOOKUP(C443&amp;A443, RYOE!A:A&amp;RYOE!F:F, RYOE!E:E), "N/A")</f>
        <v>N/A</v>
      </c>
    </row>
    <row r="444" spans="1:14" ht="15" customHeight="1" x14ac:dyDescent="0.45">
      <c r="A444" s="7">
        <v>2023</v>
      </c>
      <c r="B444" s="5" t="s">
        <v>125</v>
      </c>
      <c r="C444" s="1" t="str">
        <f t="shared" si="12"/>
        <v>Hunter Luepke</v>
      </c>
      <c r="D444" s="1" t="str">
        <f t="shared" si="13"/>
        <v>DAL</v>
      </c>
      <c r="E444" s="1">
        <v>6</v>
      </c>
      <c r="F444" s="1">
        <v>19</v>
      </c>
      <c r="G444" s="1">
        <v>3.2</v>
      </c>
      <c r="H444" s="1">
        <v>1</v>
      </c>
      <c r="I444">
        <v>0</v>
      </c>
      <c r="J444">
        <v>17</v>
      </c>
      <c r="K444" cm="1">
        <f t="array" ref="K444">IFERROR(_xlfn.XLOOKUP(D444&amp;A444, RBWR!A:A&amp;RBWR!C:C, RBWR!B:B), "N/A")</f>
        <v>73</v>
      </c>
      <c r="L444" t="str" cm="1">
        <f t="array" ref="L444">IFERROR(_xlfn.XLOOKUP(C444&amp;A444, RYOE!A:A&amp;RYOE!F:F, RYOE!C:C), "N/A")</f>
        <v>N/A</v>
      </c>
      <c r="M444" t="str" cm="1">
        <f t="array" ref="M444">IFERROR(_xlfn.XLOOKUP(C444&amp;A444, RYOE!A:A&amp;RYOE!F:F, RYOE!D:D), "N/A")</f>
        <v>N/A</v>
      </c>
      <c r="N444" t="str" cm="1">
        <f t="array" ref="N444">IFERROR(_xlfn.XLOOKUP(C444&amp;A444, RYOE!A:A&amp;RYOE!F:F, RYOE!E:E), "N/A")</f>
        <v>N/A</v>
      </c>
    </row>
    <row r="445" spans="1:14" ht="15" customHeight="1" x14ac:dyDescent="0.45">
      <c r="A445" s="8">
        <v>2023</v>
      </c>
      <c r="B445" s="6" t="s">
        <v>323</v>
      </c>
      <c r="C445" s="2" t="str">
        <f t="shared" si="12"/>
        <v>Israel Abanikanda</v>
      </c>
      <c r="D445" s="2" t="str">
        <f t="shared" si="13"/>
        <v>NYJ</v>
      </c>
      <c r="E445" s="2">
        <v>22</v>
      </c>
      <c r="F445" s="2">
        <v>70</v>
      </c>
      <c r="G445" s="2">
        <v>3.2</v>
      </c>
      <c r="H445" s="2">
        <v>0</v>
      </c>
      <c r="I445">
        <v>1</v>
      </c>
      <c r="J445">
        <v>7</v>
      </c>
      <c r="K445" cm="1">
        <f t="array" ref="K445">IFERROR(_xlfn.XLOOKUP(D445&amp;A445, RBWR!A:A&amp;RBWR!C:C, RBWR!B:B), "N/A")</f>
        <v>68</v>
      </c>
      <c r="L445" t="str" cm="1">
        <f t="array" ref="L445">IFERROR(_xlfn.XLOOKUP(C445&amp;A445, RYOE!A:A&amp;RYOE!F:F, RYOE!C:C), "N/A")</f>
        <v>N/A</v>
      </c>
      <c r="M445" t="str" cm="1">
        <f t="array" ref="M445">IFERROR(_xlfn.XLOOKUP(C445&amp;A445, RYOE!A:A&amp;RYOE!F:F, RYOE!D:D), "N/A")</f>
        <v>N/A</v>
      </c>
      <c r="N445" t="str" cm="1">
        <f t="array" ref="N445">IFERROR(_xlfn.XLOOKUP(C445&amp;A445, RYOE!A:A&amp;RYOE!F:F, RYOE!E:E), "N/A")</f>
        <v>N/A</v>
      </c>
    </row>
    <row r="446" spans="1:14" ht="15" customHeight="1" x14ac:dyDescent="0.45">
      <c r="A446" s="7">
        <v>2023</v>
      </c>
      <c r="B446" s="5" t="s">
        <v>324</v>
      </c>
      <c r="C446" s="1" t="str">
        <f t="shared" si="12"/>
        <v>Nick Bawden</v>
      </c>
      <c r="D446" s="1" t="str">
        <f t="shared" si="13"/>
        <v>NYJ</v>
      </c>
      <c r="E446" s="1">
        <v>2</v>
      </c>
      <c r="F446" s="1">
        <v>4</v>
      </c>
      <c r="G446" s="1">
        <v>2</v>
      </c>
      <c r="H446" s="1">
        <v>1</v>
      </c>
      <c r="I446">
        <v>0</v>
      </c>
      <c r="J446">
        <v>6</v>
      </c>
      <c r="K446" cm="1">
        <f t="array" ref="K446">IFERROR(_xlfn.XLOOKUP(D446&amp;A446, RBWR!A:A&amp;RBWR!C:C, RBWR!B:B), "N/A")</f>
        <v>68</v>
      </c>
      <c r="L446" t="str" cm="1">
        <f t="array" ref="L446">IFERROR(_xlfn.XLOOKUP(C446&amp;A446, RYOE!A:A&amp;RYOE!F:F, RYOE!C:C), "N/A")</f>
        <v>N/A</v>
      </c>
      <c r="M446" t="str" cm="1">
        <f t="array" ref="M446">IFERROR(_xlfn.XLOOKUP(C446&amp;A446, RYOE!A:A&amp;RYOE!F:F, RYOE!D:D), "N/A")</f>
        <v>N/A</v>
      </c>
      <c r="N446" t="str" cm="1">
        <f t="array" ref="N446">IFERROR(_xlfn.XLOOKUP(C446&amp;A446, RYOE!A:A&amp;RYOE!F:F, RYOE!E:E), "N/A")</f>
        <v>N/A</v>
      </c>
    </row>
    <row r="447" spans="1:14" ht="15" customHeight="1" x14ac:dyDescent="0.45">
      <c r="A447" s="8">
        <v>2023</v>
      </c>
      <c r="B447" s="6" t="s">
        <v>149</v>
      </c>
      <c r="C447" s="2" t="str">
        <f t="shared" si="12"/>
        <v>Dare Ogunbowale</v>
      </c>
      <c r="D447" s="2" t="str">
        <f t="shared" si="13"/>
        <v>HOU</v>
      </c>
      <c r="E447" s="2">
        <v>8</v>
      </c>
      <c r="F447" s="2">
        <v>35</v>
      </c>
      <c r="G447" s="2">
        <v>4.4000000000000004</v>
      </c>
      <c r="H447" s="2">
        <v>0</v>
      </c>
      <c r="I447">
        <v>0</v>
      </c>
      <c r="J447">
        <v>10</v>
      </c>
      <c r="K447" cm="1">
        <f t="array" ref="K447">IFERROR(_xlfn.XLOOKUP(D447&amp;A447, RBWR!A:A&amp;RBWR!C:C, RBWR!B:B), "N/A")</f>
        <v>68</v>
      </c>
      <c r="L447" t="str" cm="1">
        <f t="array" ref="L447">IFERROR(_xlfn.XLOOKUP(C447&amp;A447, RYOE!A:A&amp;RYOE!F:F, RYOE!C:C), "N/A")</f>
        <v>N/A</v>
      </c>
      <c r="M447" t="str" cm="1">
        <f t="array" ref="M447">IFERROR(_xlfn.XLOOKUP(C447&amp;A447, RYOE!A:A&amp;RYOE!F:F, RYOE!D:D), "N/A")</f>
        <v>N/A</v>
      </c>
      <c r="N447" t="str" cm="1">
        <f t="array" ref="N447">IFERROR(_xlfn.XLOOKUP(C447&amp;A447, RYOE!A:A&amp;RYOE!F:F, RYOE!E:E), "N/A")</f>
        <v>N/A</v>
      </c>
    </row>
    <row r="448" spans="1:14" ht="15" customHeight="1" x14ac:dyDescent="0.45">
      <c r="A448" s="7">
        <v>2023</v>
      </c>
      <c r="B448" s="5" t="s">
        <v>242</v>
      </c>
      <c r="C448" s="1" t="str">
        <f t="shared" si="12"/>
        <v>Deuce Vaughn</v>
      </c>
      <c r="D448" s="1" t="str">
        <f t="shared" si="13"/>
        <v>DAL</v>
      </c>
      <c r="E448" s="1">
        <v>23</v>
      </c>
      <c r="F448" s="1">
        <v>40</v>
      </c>
      <c r="G448" s="1">
        <v>1.7</v>
      </c>
      <c r="H448" s="1">
        <v>0</v>
      </c>
      <c r="I448">
        <v>0</v>
      </c>
      <c r="J448">
        <v>7</v>
      </c>
      <c r="K448" cm="1">
        <f t="array" ref="K448">IFERROR(_xlfn.XLOOKUP(D448&amp;A448, RBWR!A:A&amp;RBWR!C:C, RBWR!B:B), "N/A")</f>
        <v>73</v>
      </c>
      <c r="L448" t="str" cm="1">
        <f t="array" ref="L448">IFERROR(_xlfn.XLOOKUP(C448&amp;A448, RYOE!A:A&amp;RYOE!F:F, RYOE!C:C), "N/A")</f>
        <v>N/A</v>
      </c>
      <c r="M448" t="str" cm="1">
        <f t="array" ref="M448">IFERROR(_xlfn.XLOOKUP(C448&amp;A448, RYOE!A:A&amp;RYOE!F:F, RYOE!D:D), "N/A")</f>
        <v>N/A</v>
      </c>
      <c r="N448" t="str" cm="1">
        <f t="array" ref="N448">IFERROR(_xlfn.XLOOKUP(C448&amp;A448, RYOE!A:A&amp;RYOE!F:F, RYOE!E:E), "N/A")</f>
        <v>N/A</v>
      </c>
    </row>
    <row r="449" spans="1:14" ht="15" customHeight="1" x14ac:dyDescent="0.45">
      <c r="A449" s="8">
        <v>2023</v>
      </c>
      <c r="B449" s="6" t="s">
        <v>265</v>
      </c>
      <c r="C449" s="2" t="str">
        <f t="shared" si="12"/>
        <v>Trayveon Williams</v>
      </c>
      <c r="D449" s="2" t="str">
        <f t="shared" si="13"/>
        <v>CIN</v>
      </c>
      <c r="E449" s="2">
        <v>15</v>
      </c>
      <c r="F449" s="2">
        <v>69</v>
      </c>
      <c r="G449" s="2">
        <v>4.5999999999999996</v>
      </c>
      <c r="H449" s="2">
        <v>0</v>
      </c>
      <c r="I449">
        <v>0</v>
      </c>
      <c r="J449">
        <v>16</v>
      </c>
      <c r="K449" cm="1">
        <f t="array" ref="K449">IFERROR(_xlfn.XLOOKUP(D449&amp;A449, RBWR!A:A&amp;RBWR!C:C, RBWR!B:B), "N/A")</f>
        <v>67</v>
      </c>
      <c r="L449" t="str" cm="1">
        <f t="array" ref="L449">IFERROR(_xlfn.XLOOKUP(C449&amp;A449, RYOE!A:A&amp;RYOE!F:F, RYOE!C:C), "N/A")</f>
        <v>N/A</v>
      </c>
      <c r="M449" t="str" cm="1">
        <f t="array" ref="M449">IFERROR(_xlfn.XLOOKUP(C449&amp;A449, RYOE!A:A&amp;RYOE!F:F, RYOE!D:D), "N/A")</f>
        <v>N/A</v>
      </c>
      <c r="N449" t="str" cm="1">
        <f t="array" ref="N449">IFERROR(_xlfn.XLOOKUP(C449&amp;A449, RYOE!A:A&amp;RYOE!F:F, RYOE!E:E), "N/A")</f>
        <v>N/A</v>
      </c>
    </row>
    <row r="450" spans="1:14" ht="15" customHeight="1" x14ac:dyDescent="0.45">
      <c r="A450" s="7">
        <v>2023</v>
      </c>
      <c r="B450" s="5" t="s">
        <v>195</v>
      </c>
      <c r="C450" s="1" t="str">
        <f t="shared" ref="C450:C513" si="14">TRIM(LEFT(B450, LEN(B450) - LEN(TRIM(RIGHT(SUBSTITUTE(TRIM(B450)," ",REPT(" ",100)),100)))))</f>
        <v>Eric Gray</v>
      </c>
      <c r="D450" s="1" t="str">
        <f t="shared" ref="D450:D513" si="15">MID(B450, FIND("(", B450) + 1, FIND(")", B450) - FIND("(", B450) - 1)</f>
        <v>NYG</v>
      </c>
      <c r="E450" s="1">
        <v>17</v>
      </c>
      <c r="F450" s="1">
        <v>48</v>
      </c>
      <c r="G450" s="1">
        <v>2.8</v>
      </c>
      <c r="H450" s="1">
        <v>0</v>
      </c>
      <c r="I450">
        <v>0</v>
      </c>
      <c r="J450">
        <v>14</v>
      </c>
      <c r="K450" cm="1">
        <f t="array" ref="K450">IFERROR(_xlfn.XLOOKUP(D450&amp;A450, RBWR!A:A&amp;RBWR!C:C, RBWR!B:B), "N/A")</f>
        <v>71</v>
      </c>
      <c r="L450" t="str" cm="1">
        <f t="array" ref="L450">IFERROR(_xlfn.XLOOKUP(C450&amp;A450, RYOE!A:A&amp;RYOE!F:F, RYOE!C:C), "N/A")</f>
        <v>N/A</v>
      </c>
      <c r="M450" t="str" cm="1">
        <f t="array" ref="M450">IFERROR(_xlfn.XLOOKUP(C450&amp;A450, RYOE!A:A&amp;RYOE!F:F, RYOE!D:D), "N/A")</f>
        <v>N/A</v>
      </c>
      <c r="N450" t="str" cm="1">
        <f t="array" ref="N450">IFERROR(_xlfn.XLOOKUP(C450&amp;A450, RYOE!A:A&amp;RYOE!F:F, RYOE!E:E), "N/A")</f>
        <v>N/A</v>
      </c>
    </row>
    <row r="451" spans="1:14" ht="15" customHeight="1" x14ac:dyDescent="0.45">
      <c r="A451" s="8">
        <v>2023</v>
      </c>
      <c r="B451" s="6" t="s">
        <v>325</v>
      </c>
      <c r="C451" s="2" t="str">
        <f t="shared" si="14"/>
        <v>Gary Brightwell</v>
      </c>
      <c r="D451" s="2" t="str">
        <f t="shared" si="15"/>
        <v>NYG</v>
      </c>
      <c r="E451" s="2">
        <v>9</v>
      </c>
      <c r="F451" s="2">
        <v>19</v>
      </c>
      <c r="G451" s="2">
        <v>2.1</v>
      </c>
      <c r="H451" s="2">
        <v>0</v>
      </c>
      <c r="I451">
        <v>0</v>
      </c>
      <c r="J451">
        <v>4</v>
      </c>
      <c r="K451" cm="1">
        <f t="array" ref="K451">IFERROR(_xlfn.XLOOKUP(D451&amp;A451, RBWR!A:A&amp;RBWR!C:C, RBWR!B:B), "N/A")</f>
        <v>71</v>
      </c>
      <c r="L451" t="str" cm="1">
        <f t="array" ref="L451">IFERROR(_xlfn.XLOOKUP(C451&amp;A451, RYOE!A:A&amp;RYOE!F:F, RYOE!C:C), "N/A")</f>
        <v>N/A</v>
      </c>
      <c r="M451" t="str" cm="1">
        <f t="array" ref="M451">IFERROR(_xlfn.XLOOKUP(C451&amp;A451, RYOE!A:A&amp;RYOE!F:F, RYOE!D:D), "N/A")</f>
        <v>N/A</v>
      </c>
      <c r="N451" t="str" cm="1">
        <f t="array" ref="N451">IFERROR(_xlfn.XLOOKUP(C451&amp;A451, RYOE!A:A&amp;RYOE!F:F, RYOE!E:E), "N/A")</f>
        <v>N/A</v>
      </c>
    </row>
    <row r="452" spans="1:14" ht="15" customHeight="1" x14ac:dyDescent="0.45">
      <c r="A452" s="7">
        <v>2023</v>
      </c>
      <c r="B452" s="5" t="s">
        <v>326</v>
      </c>
      <c r="C452" s="1" t="str">
        <f t="shared" si="14"/>
        <v>Mike Boone</v>
      </c>
      <c r="D452" s="1" t="str">
        <f t="shared" si="15"/>
        <v>HOU</v>
      </c>
      <c r="E452" s="1">
        <v>5</v>
      </c>
      <c r="F452" s="1">
        <v>23</v>
      </c>
      <c r="G452" s="1">
        <v>4.5999999999999996</v>
      </c>
      <c r="H452" s="1">
        <v>0</v>
      </c>
      <c r="I452">
        <v>0</v>
      </c>
      <c r="J452">
        <v>9</v>
      </c>
      <c r="K452" cm="1">
        <f t="array" ref="K452">IFERROR(_xlfn.XLOOKUP(D452&amp;A452, RBWR!A:A&amp;RBWR!C:C, RBWR!B:B), "N/A")</f>
        <v>68</v>
      </c>
      <c r="L452" t="str" cm="1">
        <f t="array" ref="L452">IFERROR(_xlfn.XLOOKUP(C452&amp;A452, RYOE!A:A&amp;RYOE!F:F, RYOE!C:C), "N/A")</f>
        <v>N/A</v>
      </c>
      <c r="M452" t="str" cm="1">
        <f t="array" ref="M452">IFERROR(_xlfn.XLOOKUP(C452&amp;A452, RYOE!A:A&amp;RYOE!F:F, RYOE!D:D), "N/A")</f>
        <v>N/A</v>
      </c>
      <c r="N452" t="str" cm="1">
        <f t="array" ref="N452">IFERROR(_xlfn.XLOOKUP(C452&amp;A452, RYOE!A:A&amp;RYOE!F:F, RYOE!E:E), "N/A")</f>
        <v>N/A</v>
      </c>
    </row>
    <row r="453" spans="1:14" ht="15" customHeight="1" x14ac:dyDescent="0.45">
      <c r="A453" s="8">
        <v>2023</v>
      </c>
      <c r="B453" s="6" t="s">
        <v>327</v>
      </c>
      <c r="C453" s="2" t="str">
        <f t="shared" si="14"/>
        <v>Damien Williams</v>
      </c>
      <c r="D453" s="2" t="str">
        <f t="shared" si="15"/>
        <v>ARI</v>
      </c>
      <c r="E453" s="2">
        <v>11</v>
      </c>
      <c r="F453" s="2">
        <v>43</v>
      </c>
      <c r="G453" s="2">
        <v>3.9</v>
      </c>
      <c r="H453" s="2">
        <v>0</v>
      </c>
      <c r="I453">
        <v>0</v>
      </c>
      <c r="J453">
        <v>3</v>
      </c>
      <c r="K453" cm="1">
        <f t="array" ref="K453">IFERROR(_xlfn.XLOOKUP(D453&amp;A453, RBWR!A:A&amp;RBWR!C:C, RBWR!B:B), "N/A")</f>
        <v>72</v>
      </c>
      <c r="L453" t="str" cm="1">
        <f t="array" ref="L453">IFERROR(_xlfn.XLOOKUP(C453&amp;A453, RYOE!A:A&amp;RYOE!F:F, RYOE!C:C), "N/A")</f>
        <v>N/A</v>
      </c>
      <c r="M453" t="str" cm="1">
        <f t="array" ref="M453">IFERROR(_xlfn.XLOOKUP(C453&amp;A453, RYOE!A:A&amp;RYOE!F:F, RYOE!D:D), "N/A")</f>
        <v>N/A</v>
      </c>
      <c r="N453" t="str" cm="1">
        <f t="array" ref="N453">IFERROR(_xlfn.XLOOKUP(C453&amp;A453, RYOE!A:A&amp;RYOE!F:F, RYOE!E:E), "N/A")</f>
        <v>N/A</v>
      </c>
    </row>
    <row r="454" spans="1:14" ht="15" customHeight="1" x14ac:dyDescent="0.45">
      <c r="A454" s="7">
        <v>2023</v>
      </c>
      <c r="B454" s="5" t="s">
        <v>328</v>
      </c>
      <c r="C454" s="1" t="str">
        <f t="shared" si="14"/>
        <v>Ty Montgomery II</v>
      </c>
      <c r="D454" s="1" t="str">
        <f t="shared" si="15"/>
        <v>NE</v>
      </c>
      <c r="E454" s="1">
        <v>3</v>
      </c>
      <c r="F454" s="1">
        <v>9</v>
      </c>
      <c r="G454" s="1">
        <v>3</v>
      </c>
      <c r="H454" s="1">
        <v>0</v>
      </c>
      <c r="I454">
        <v>0</v>
      </c>
      <c r="J454">
        <v>11</v>
      </c>
      <c r="K454" cm="1">
        <f t="array" ref="K454">IFERROR(_xlfn.XLOOKUP(D454&amp;A454, RBWR!A:A&amp;RBWR!C:C, RBWR!B:B), "N/A")</f>
        <v>68</v>
      </c>
      <c r="L454" t="str" cm="1">
        <f t="array" ref="L454">IFERROR(_xlfn.XLOOKUP(C454&amp;A454, RYOE!A:A&amp;RYOE!F:F, RYOE!C:C), "N/A")</f>
        <v>N/A</v>
      </c>
      <c r="M454" t="str" cm="1">
        <f t="array" ref="M454">IFERROR(_xlfn.XLOOKUP(C454&amp;A454, RYOE!A:A&amp;RYOE!F:F, RYOE!D:D), "N/A")</f>
        <v>N/A</v>
      </c>
      <c r="N454" t="str" cm="1">
        <f t="array" ref="N454">IFERROR(_xlfn.XLOOKUP(C454&amp;A454, RYOE!A:A&amp;RYOE!F:F, RYOE!E:E), "N/A")</f>
        <v>N/A</v>
      </c>
    </row>
    <row r="455" spans="1:14" ht="15" customHeight="1" x14ac:dyDescent="0.45">
      <c r="A455" s="8">
        <v>2023</v>
      </c>
      <c r="B455" s="6" t="s">
        <v>329</v>
      </c>
      <c r="C455" s="2" t="str">
        <f t="shared" si="14"/>
        <v>Ke'Shawn Vaughn</v>
      </c>
      <c r="D455" s="2" t="str">
        <f t="shared" si="15"/>
        <v>TB</v>
      </c>
      <c r="E455" s="2">
        <v>24</v>
      </c>
      <c r="F455" s="2">
        <v>42</v>
      </c>
      <c r="G455" s="2">
        <v>1.8</v>
      </c>
      <c r="H455" s="2">
        <v>0</v>
      </c>
      <c r="I455">
        <v>0</v>
      </c>
      <c r="J455">
        <v>5</v>
      </c>
      <c r="K455" cm="1">
        <f t="array" ref="K455">IFERROR(_xlfn.XLOOKUP(D455&amp;A455, RBWR!A:A&amp;RBWR!C:C, RBWR!B:B), "N/A")</f>
        <v>72</v>
      </c>
      <c r="L455" t="str" cm="1">
        <f t="array" ref="L455">IFERROR(_xlfn.XLOOKUP(C455&amp;A455, RYOE!A:A&amp;RYOE!F:F, RYOE!C:C), "N/A")</f>
        <v>N/A</v>
      </c>
      <c r="M455" t="str" cm="1">
        <f t="array" ref="M455">IFERROR(_xlfn.XLOOKUP(C455&amp;A455, RYOE!A:A&amp;RYOE!F:F, RYOE!D:D), "N/A")</f>
        <v>N/A</v>
      </c>
      <c r="N455" t="str" cm="1">
        <f t="array" ref="N455">IFERROR(_xlfn.XLOOKUP(C455&amp;A455, RYOE!A:A&amp;RYOE!F:F, RYOE!E:E), "N/A")</f>
        <v>N/A</v>
      </c>
    </row>
    <row r="456" spans="1:14" ht="15" customHeight="1" x14ac:dyDescent="0.45">
      <c r="A456" s="7">
        <v>2023</v>
      </c>
      <c r="B456" s="5" t="s">
        <v>330</v>
      </c>
      <c r="C456" s="1" t="str">
        <f t="shared" si="14"/>
        <v>Leonard Fournette</v>
      </c>
      <c r="D456" s="1" t="str">
        <f t="shared" si="15"/>
        <v>BUF</v>
      </c>
      <c r="E456" s="1">
        <v>12</v>
      </c>
      <c r="F456" s="1">
        <v>40</v>
      </c>
      <c r="G456" s="1">
        <v>3.3</v>
      </c>
      <c r="H456" s="1">
        <v>0</v>
      </c>
      <c r="I456">
        <v>0</v>
      </c>
      <c r="J456">
        <v>2</v>
      </c>
      <c r="K456" cm="1">
        <f t="array" ref="K456">IFERROR(_xlfn.XLOOKUP(D456&amp;A456, RBWR!A:A&amp;RBWR!C:C, RBWR!B:B), "N/A")</f>
        <v>71</v>
      </c>
      <c r="L456" t="str" cm="1">
        <f t="array" ref="L456">IFERROR(_xlfn.XLOOKUP(C456&amp;A456, RYOE!A:A&amp;RYOE!F:F, RYOE!C:C), "N/A")</f>
        <v>N/A</v>
      </c>
      <c r="M456" t="str" cm="1">
        <f t="array" ref="M456">IFERROR(_xlfn.XLOOKUP(C456&amp;A456, RYOE!A:A&amp;RYOE!F:F, RYOE!D:D), "N/A")</f>
        <v>N/A</v>
      </c>
      <c r="N456" t="str" cm="1">
        <f t="array" ref="N456">IFERROR(_xlfn.XLOOKUP(C456&amp;A456, RYOE!A:A&amp;RYOE!F:F, RYOE!E:E), "N/A")</f>
        <v>N/A</v>
      </c>
    </row>
    <row r="457" spans="1:14" ht="15" customHeight="1" x14ac:dyDescent="0.45">
      <c r="A457" s="8">
        <v>2023</v>
      </c>
      <c r="B457" s="6" t="s">
        <v>331</v>
      </c>
      <c r="C457" s="2" t="str">
        <f t="shared" si="14"/>
        <v>Rashaad Penny</v>
      </c>
      <c r="D457" s="2" t="str">
        <f t="shared" si="15"/>
        <v>PHI</v>
      </c>
      <c r="E457" s="2">
        <v>11</v>
      </c>
      <c r="F457" s="2">
        <v>33</v>
      </c>
      <c r="G457" s="2">
        <v>3</v>
      </c>
      <c r="H457" s="2">
        <v>0</v>
      </c>
      <c r="I457">
        <v>0</v>
      </c>
      <c r="J457">
        <v>3</v>
      </c>
      <c r="K457" cm="1">
        <f t="array" ref="K457">IFERROR(_xlfn.XLOOKUP(D457&amp;A457, RBWR!A:A&amp;RBWR!C:C, RBWR!B:B), "N/A")</f>
        <v>73</v>
      </c>
      <c r="L457" t="str" cm="1">
        <f t="array" ref="L457">IFERROR(_xlfn.XLOOKUP(C457&amp;A457, RYOE!A:A&amp;RYOE!F:F, RYOE!C:C), "N/A")</f>
        <v>N/A</v>
      </c>
      <c r="M457" t="str" cm="1">
        <f t="array" ref="M457">IFERROR(_xlfn.XLOOKUP(C457&amp;A457, RYOE!A:A&amp;RYOE!F:F, RYOE!D:D), "N/A")</f>
        <v>N/A</v>
      </c>
      <c r="N457" t="str" cm="1">
        <f t="array" ref="N457">IFERROR(_xlfn.XLOOKUP(C457&amp;A457, RYOE!A:A&amp;RYOE!F:F, RYOE!E:E), "N/A")</f>
        <v>N/A</v>
      </c>
    </row>
    <row r="458" spans="1:14" ht="15" customHeight="1" x14ac:dyDescent="0.45">
      <c r="A458" s="7">
        <v>2023</v>
      </c>
      <c r="B458" s="5" t="s">
        <v>182</v>
      </c>
      <c r="C458" s="1" t="str">
        <f t="shared" si="14"/>
        <v>Michael Burton</v>
      </c>
      <c r="D458" s="1" t="str">
        <f t="shared" si="15"/>
        <v>DEN</v>
      </c>
      <c r="E458" s="1">
        <v>7</v>
      </c>
      <c r="F458" s="1">
        <v>9</v>
      </c>
      <c r="G458" s="1">
        <v>1.3</v>
      </c>
      <c r="H458" s="1">
        <v>0</v>
      </c>
      <c r="I458">
        <v>0</v>
      </c>
      <c r="J458">
        <v>17</v>
      </c>
      <c r="K458" cm="1">
        <f t="array" ref="K458">IFERROR(_xlfn.XLOOKUP(D458&amp;A458, RBWR!A:A&amp;RBWR!C:C, RBWR!B:B), "N/A")</f>
        <v>74</v>
      </c>
      <c r="L458" t="str" cm="1">
        <f t="array" ref="L458">IFERROR(_xlfn.XLOOKUP(C458&amp;A458, RYOE!A:A&amp;RYOE!F:F, RYOE!C:C), "N/A")</f>
        <v>N/A</v>
      </c>
      <c r="M458" t="str" cm="1">
        <f t="array" ref="M458">IFERROR(_xlfn.XLOOKUP(C458&amp;A458, RYOE!A:A&amp;RYOE!F:F, RYOE!D:D), "N/A")</f>
        <v>N/A</v>
      </c>
      <c r="N458" t="str" cm="1">
        <f t="array" ref="N458">IFERROR(_xlfn.XLOOKUP(C458&amp;A458, RYOE!A:A&amp;RYOE!F:F, RYOE!E:E), "N/A")</f>
        <v>N/A</v>
      </c>
    </row>
    <row r="459" spans="1:14" ht="15" customHeight="1" x14ac:dyDescent="0.45">
      <c r="A459" s="8">
        <v>2023</v>
      </c>
      <c r="B459" s="6" t="s">
        <v>332</v>
      </c>
      <c r="C459" s="2" t="str">
        <f t="shared" si="14"/>
        <v>Keith Smith</v>
      </c>
      <c r="D459" s="2" t="str">
        <f t="shared" si="15"/>
        <v>ATL</v>
      </c>
      <c r="E459" s="2">
        <v>0</v>
      </c>
      <c r="F459" s="2">
        <v>0</v>
      </c>
      <c r="G459" s="2">
        <v>0</v>
      </c>
      <c r="H459" s="2">
        <v>0</v>
      </c>
      <c r="I459">
        <v>0</v>
      </c>
      <c r="J459">
        <v>11</v>
      </c>
      <c r="K459" cm="1">
        <f t="array" ref="K459">IFERROR(_xlfn.XLOOKUP(D459&amp;A459, RBWR!A:A&amp;RBWR!C:C, RBWR!B:B), "N/A")</f>
        <v>72</v>
      </c>
      <c r="L459" t="str" cm="1">
        <f t="array" ref="L459">IFERROR(_xlfn.XLOOKUP(C459&amp;A459, RYOE!A:A&amp;RYOE!F:F, RYOE!C:C), "N/A")</f>
        <v>N/A</v>
      </c>
      <c r="M459" t="str" cm="1">
        <f t="array" ref="M459">IFERROR(_xlfn.XLOOKUP(C459&amp;A459, RYOE!A:A&amp;RYOE!F:F, RYOE!D:D), "N/A")</f>
        <v>N/A</v>
      </c>
      <c r="N459" t="str" cm="1">
        <f t="array" ref="N459">IFERROR(_xlfn.XLOOKUP(C459&amp;A459, RYOE!A:A&amp;RYOE!F:F, RYOE!E:E), "N/A")</f>
        <v>N/A</v>
      </c>
    </row>
    <row r="460" spans="1:14" ht="15" customHeight="1" x14ac:dyDescent="0.45">
      <c r="A460" s="7">
        <v>2023</v>
      </c>
      <c r="B460" s="5" t="s">
        <v>168</v>
      </c>
      <c r="C460" s="1" t="str">
        <f t="shared" si="14"/>
        <v>C.J. Ham</v>
      </c>
      <c r="D460" s="1" t="str">
        <f t="shared" si="15"/>
        <v>MIN</v>
      </c>
      <c r="E460" s="1">
        <v>1</v>
      </c>
      <c r="F460" s="1">
        <v>7</v>
      </c>
      <c r="G460" s="1">
        <v>7</v>
      </c>
      <c r="H460" s="1">
        <v>0</v>
      </c>
      <c r="I460">
        <v>0</v>
      </c>
      <c r="J460">
        <v>17</v>
      </c>
      <c r="K460" cm="1">
        <f t="array" ref="K460">IFERROR(_xlfn.XLOOKUP(D460&amp;A460, RBWR!A:A&amp;RBWR!C:C, RBWR!B:B), "N/A")</f>
        <v>72</v>
      </c>
      <c r="L460" t="str" cm="1">
        <f t="array" ref="L460">IFERROR(_xlfn.XLOOKUP(C460&amp;A460, RYOE!A:A&amp;RYOE!F:F, RYOE!C:C), "N/A")</f>
        <v>N/A</v>
      </c>
      <c r="M460" t="str" cm="1">
        <f t="array" ref="M460">IFERROR(_xlfn.XLOOKUP(C460&amp;A460, RYOE!A:A&amp;RYOE!F:F, RYOE!D:D), "N/A")</f>
        <v>N/A</v>
      </c>
      <c r="N460" t="str" cm="1">
        <f t="array" ref="N460">IFERROR(_xlfn.XLOOKUP(C460&amp;A460, RYOE!A:A&amp;RYOE!F:F, RYOE!E:E), "N/A")</f>
        <v>N/A</v>
      </c>
    </row>
    <row r="461" spans="1:14" ht="15" customHeight="1" x14ac:dyDescent="0.45">
      <c r="A461" s="8">
        <v>2023</v>
      </c>
      <c r="B461" s="6" t="s">
        <v>87</v>
      </c>
      <c r="C461" s="2" t="str">
        <f t="shared" si="14"/>
        <v>Sean Tucker</v>
      </c>
      <c r="D461" s="2" t="str">
        <f t="shared" si="15"/>
        <v>TB</v>
      </c>
      <c r="E461" s="2">
        <v>15</v>
      </c>
      <c r="F461" s="2">
        <v>23</v>
      </c>
      <c r="G461" s="2">
        <v>1.5</v>
      </c>
      <c r="H461" s="2">
        <v>0</v>
      </c>
      <c r="I461">
        <v>0</v>
      </c>
      <c r="J461">
        <v>5</v>
      </c>
      <c r="K461" cm="1">
        <f t="array" ref="K461">IFERROR(_xlfn.XLOOKUP(D461&amp;A461, RBWR!A:A&amp;RBWR!C:C, RBWR!B:B), "N/A")</f>
        <v>72</v>
      </c>
      <c r="L461" t="str" cm="1">
        <f t="array" ref="L461">IFERROR(_xlfn.XLOOKUP(C461&amp;A461, RYOE!A:A&amp;RYOE!F:F, RYOE!C:C), "N/A")</f>
        <v>N/A</v>
      </c>
      <c r="M461" t="str" cm="1">
        <f t="array" ref="M461">IFERROR(_xlfn.XLOOKUP(C461&amp;A461, RYOE!A:A&amp;RYOE!F:F, RYOE!D:D), "N/A")</f>
        <v>N/A</v>
      </c>
      <c r="N461" t="str" cm="1">
        <f t="array" ref="N461">IFERROR(_xlfn.XLOOKUP(C461&amp;A461, RYOE!A:A&amp;RYOE!F:F, RYOE!E:E), "N/A")</f>
        <v>N/A</v>
      </c>
    </row>
    <row r="462" spans="1:14" ht="15" customHeight="1" x14ac:dyDescent="0.45">
      <c r="A462" s="7">
        <v>2023</v>
      </c>
      <c r="B462" s="5" t="s">
        <v>268</v>
      </c>
      <c r="C462" s="1" t="str">
        <f t="shared" si="14"/>
        <v>Khari Blasingame</v>
      </c>
      <c r="D462" s="1" t="str">
        <f t="shared" si="15"/>
        <v>CHI</v>
      </c>
      <c r="E462" s="1">
        <v>8</v>
      </c>
      <c r="F462" s="1">
        <v>26</v>
      </c>
      <c r="G462" s="1">
        <v>3.3</v>
      </c>
      <c r="H462" s="1">
        <v>0</v>
      </c>
      <c r="I462">
        <v>0</v>
      </c>
      <c r="J462">
        <v>8</v>
      </c>
      <c r="K462" cm="1">
        <f t="array" ref="K462">IFERROR(_xlfn.XLOOKUP(D462&amp;A462, RBWR!A:A&amp;RBWR!C:C, RBWR!B:B), "N/A")</f>
        <v>75</v>
      </c>
      <c r="L462" t="str" cm="1">
        <f t="array" ref="L462">IFERROR(_xlfn.XLOOKUP(C462&amp;A462, RYOE!A:A&amp;RYOE!F:F, RYOE!C:C), "N/A")</f>
        <v>N/A</v>
      </c>
      <c r="M462" t="str" cm="1">
        <f t="array" ref="M462">IFERROR(_xlfn.XLOOKUP(C462&amp;A462, RYOE!A:A&amp;RYOE!F:F, RYOE!D:D), "N/A")</f>
        <v>N/A</v>
      </c>
      <c r="N462" t="str" cm="1">
        <f t="array" ref="N462">IFERROR(_xlfn.XLOOKUP(C462&amp;A462, RYOE!A:A&amp;RYOE!F:F, RYOE!E:E), "N/A")</f>
        <v>N/A</v>
      </c>
    </row>
    <row r="463" spans="1:14" ht="15" customHeight="1" x14ac:dyDescent="0.45">
      <c r="A463" s="8">
        <v>2023</v>
      </c>
      <c r="B463" s="6" t="s">
        <v>333</v>
      </c>
      <c r="C463" s="2" t="str">
        <f t="shared" si="14"/>
        <v>Derrick Gore</v>
      </c>
      <c r="D463" s="2" t="str">
        <f t="shared" si="15"/>
        <v>WAS</v>
      </c>
      <c r="E463" s="2">
        <v>3</v>
      </c>
      <c r="F463" s="2">
        <v>26</v>
      </c>
      <c r="G463" s="2">
        <v>8.6999999999999993</v>
      </c>
      <c r="H463" s="2">
        <v>0</v>
      </c>
      <c r="I463">
        <v>0</v>
      </c>
      <c r="J463">
        <v>3</v>
      </c>
      <c r="K463" cm="1">
        <f t="array" ref="K463">IFERROR(_xlfn.XLOOKUP(D463&amp;A463, RBWR!A:A&amp;RBWR!C:C, RBWR!B:B), "N/A")</f>
        <v>75</v>
      </c>
      <c r="L463" t="str" cm="1">
        <f t="array" ref="L463">IFERROR(_xlfn.XLOOKUP(C463&amp;A463, RYOE!A:A&amp;RYOE!F:F, RYOE!C:C), "N/A")</f>
        <v>N/A</v>
      </c>
      <c r="M463" t="str" cm="1">
        <f t="array" ref="M463">IFERROR(_xlfn.XLOOKUP(C463&amp;A463, RYOE!A:A&amp;RYOE!F:F, RYOE!D:D), "N/A")</f>
        <v>N/A</v>
      </c>
      <c r="N463" t="str" cm="1">
        <f t="array" ref="N463">IFERROR(_xlfn.XLOOKUP(C463&amp;A463, RYOE!A:A&amp;RYOE!F:F, RYOE!E:E), "N/A")</f>
        <v>N/A</v>
      </c>
    </row>
    <row r="464" spans="1:14" ht="15" customHeight="1" x14ac:dyDescent="0.45">
      <c r="A464" s="7">
        <v>2023</v>
      </c>
      <c r="B464" s="5" t="s">
        <v>334</v>
      </c>
      <c r="C464" s="1" t="str">
        <f t="shared" si="14"/>
        <v>DeeJay Dallas</v>
      </c>
      <c r="D464" s="1" t="str">
        <f t="shared" si="15"/>
        <v>SEA</v>
      </c>
      <c r="E464" s="1">
        <v>10</v>
      </c>
      <c r="F464" s="1">
        <v>36</v>
      </c>
      <c r="G464" s="1">
        <v>3.6</v>
      </c>
      <c r="H464" s="1">
        <v>0</v>
      </c>
      <c r="I464">
        <v>2</v>
      </c>
      <c r="J464">
        <v>17</v>
      </c>
      <c r="K464" cm="1">
        <f t="array" ref="K464">IFERROR(_xlfn.XLOOKUP(D464&amp;A464, RBWR!A:A&amp;RBWR!C:C, RBWR!B:B), "N/A")</f>
        <v>68</v>
      </c>
      <c r="L464" t="str" cm="1">
        <f t="array" ref="L464">IFERROR(_xlfn.XLOOKUP(C464&amp;A464, RYOE!A:A&amp;RYOE!F:F, RYOE!C:C), "N/A")</f>
        <v>N/A</v>
      </c>
      <c r="M464" t="str" cm="1">
        <f t="array" ref="M464">IFERROR(_xlfn.XLOOKUP(C464&amp;A464, RYOE!A:A&amp;RYOE!F:F, RYOE!D:D), "N/A")</f>
        <v>N/A</v>
      </c>
      <c r="N464" t="str" cm="1">
        <f t="array" ref="N464">IFERROR(_xlfn.XLOOKUP(C464&amp;A464, RYOE!A:A&amp;RYOE!F:F, RYOE!E:E), "N/A")</f>
        <v>N/A</v>
      </c>
    </row>
    <row r="465" spans="1:14" ht="15" customHeight="1" x14ac:dyDescent="0.45">
      <c r="A465" s="8">
        <v>2023</v>
      </c>
      <c r="B465" s="6" t="s">
        <v>335</v>
      </c>
      <c r="C465" s="2" t="str">
        <f t="shared" si="14"/>
        <v>Jake Funk</v>
      </c>
      <c r="D465" s="2" t="str">
        <f t="shared" si="15"/>
        <v>IND</v>
      </c>
      <c r="E465" s="2">
        <v>2</v>
      </c>
      <c r="F465" s="2">
        <v>10</v>
      </c>
      <c r="G465" s="2">
        <v>5</v>
      </c>
      <c r="H465" s="2">
        <v>0</v>
      </c>
      <c r="I465">
        <v>0</v>
      </c>
      <c r="J465">
        <v>1</v>
      </c>
      <c r="K465" cm="1">
        <f t="array" ref="K465">IFERROR(_xlfn.XLOOKUP(D465&amp;A465, RBWR!A:A&amp;RBWR!C:C, RBWR!B:B), "N/A")</f>
        <v>74</v>
      </c>
      <c r="L465" t="str" cm="1">
        <f t="array" ref="L465">IFERROR(_xlfn.XLOOKUP(C465&amp;A465, RYOE!A:A&amp;RYOE!F:F, RYOE!C:C), "N/A")</f>
        <v>N/A</v>
      </c>
      <c r="M465" t="str" cm="1">
        <f t="array" ref="M465">IFERROR(_xlfn.XLOOKUP(C465&amp;A465, RYOE!A:A&amp;RYOE!F:F, RYOE!D:D), "N/A")</f>
        <v>N/A</v>
      </c>
      <c r="N465" t="str" cm="1">
        <f t="array" ref="N465">IFERROR(_xlfn.XLOOKUP(C465&amp;A465, RYOE!A:A&amp;RYOE!F:F, RYOE!E:E), "N/A")</f>
        <v>N/A</v>
      </c>
    </row>
    <row r="466" spans="1:14" ht="15" customHeight="1" x14ac:dyDescent="0.45">
      <c r="A466" s="7">
        <v>2023</v>
      </c>
      <c r="B466" s="5" t="s">
        <v>336</v>
      </c>
      <c r="C466" s="1" t="str">
        <f t="shared" si="14"/>
        <v>Tyrion Davis-Price</v>
      </c>
      <c r="D466" s="1" t="str">
        <f t="shared" si="15"/>
        <v>SF</v>
      </c>
      <c r="E466" s="1">
        <v>6</v>
      </c>
      <c r="F466" s="1">
        <v>21</v>
      </c>
      <c r="G466" s="1">
        <v>3.5</v>
      </c>
      <c r="H466" s="1">
        <v>0</v>
      </c>
      <c r="I466">
        <v>0</v>
      </c>
      <c r="J466">
        <v>1</v>
      </c>
      <c r="K466" cm="1">
        <f t="array" ref="K466">IFERROR(_xlfn.XLOOKUP(D466&amp;A466, RBWR!A:A&amp;RBWR!C:C, RBWR!B:B), "N/A")</f>
        <v>69</v>
      </c>
      <c r="L466" t="str" cm="1">
        <f t="array" ref="L466">IFERROR(_xlfn.XLOOKUP(C466&amp;A466, RYOE!A:A&amp;RYOE!F:F, RYOE!C:C), "N/A")</f>
        <v>N/A</v>
      </c>
      <c r="M466" t="str" cm="1">
        <f t="array" ref="M466">IFERROR(_xlfn.XLOOKUP(C466&amp;A466, RYOE!A:A&amp;RYOE!F:F, RYOE!D:D), "N/A")</f>
        <v>N/A</v>
      </c>
      <c r="N466" t="str" cm="1">
        <f t="array" ref="N466">IFERROR(_xlfn.XLOOKUP(C466&amp;A466, RYOE!A:A&amp;RYOE!F:F, RYOE!E:E), "N/A")</f>
        <v>N/A</v>
      </c>
    </row>
    <row r="467" spans="1:14" ht="15" customHeight="1" x14ac:dyDescent="0.45">
      <c r="A467" s="8">
        <v>2023</v>
      </c>
      <c r="B467" s="6" t="s">
        <v>337</v>
      </c>
      <c r="C467" s="2" t="str">
        <f t="shared" si="14"/>
        <v>Bam Knight</v>
      </c>
      <c r="D467" s="2" t="str">
        <f t="shared" si="15"/>
        <v>DET</v>
      </c>
      <c r="E467" s="2">
        <v>3</v>
      </c>
      <c r="F467" s="2">
        <v>13</v>
      </c>
      <c r="G467" s="2">
        <v>4.3</v>
      </c>
      <c r="H467" s="2">
        <v>0</v>
      </c>
      <c r="I467">
        <v>0</v>
      </c>
      <c r="J467">
        <v>2</v>
      </c>
      <c r="K467" cm="1">
        <f t="array" ref="K467">IFERROR(_xlfn.XLOOKUP(D467&amp;A467, RBWR!A:A&amp;RBWR!C:C, RBWR!B:B), "N/A")</f>
        <v>73</v>
      </c>
      <c r="L467" t="str" cm="1">
        <f t="array" ref="L467">IFERROR(_xlfn.XLOOKUP(C467&amp;A467, RYOE!A:A&amp;RYOE!F:F, RYOE!C:C), "N/A")</f>
        <v>N/A</v>
      </c>
      <c r="M467" t="str" cm="1">
        <f t="array" ref="M467">IFERROR(_xlfn.XLOOKUP(C467&amp;A467, RYOE!A:A&amp;RYOE!F:F, RYOE!D:D), "N/A")</f>
        <v>N/A</v>
      </c>
      <c r="N467" t="str" cm="1">
        <f t="array" ref="N467">IFERROR(_xlfn.XLOOKUP(C467&amp;A467, RYOE!A:A&amp;RYOE!F:F, RYOE!E:E), "N/A")</f>
        <v>N/A</v>
      </c>
    </row>
    <row r="468" spans="1:14" ht="15" customHeight="1" x14ac:dyDescent="0.45">
      <c r="A468" s="7">
        <v>2023</v>
      </c>
      <c r="B468" s="5" t="s">
        <v>338</v>
      </c>
      <c r="C468" s="1" t="str">
        <f t="shared" si="14"/>
        <v>Zach Evans</v>
      </c>
      <c r="D468" s="1" t="str">
        <f t="shared" si="15"/>
        <v>LAR</v>
      </c>
      <c r="E468" s="1">
        <v>9</v>
      </c>
      <c r="F468" s="1">
        <v>19</v>
      </c>
      <c r="G468" s="1">
        <v>2.1</v>
      </c>
      <c r="H468" s="1">
        <v>0</v>
      </c>
      <c r="I468">
        <v>0</v>
      </c>
      <c r="J468">
        <v>4</v>
      </c>
      <c r="K468" cm="1">
        <f t="array" ref="K468">IFERROR(_xlfn.XLOOKUP(D468&amp;A468, RBWR!A:A&amp;RBWR!C:C, RBWR!B:B), "N/A")</f>
        <v>72</v>
      </c>
      <c r="L468" t="str" cm="1">
        <f t="array" ref="L468">IFERROR(_xlfn.XLOOKUP(C468&amp;A468, RYOE!A:A&amp;RYOE!F:F, RYOE!C:C), "N/A")</f>
        <v>N/A</v>
      </c>
      <c r="M468" t="str" cm="1">
        <f t="array" ref="M468">IFERROR(_xlfn.XLOOKUP(C468&amp;A468, RYOE!A:A&amp;RYOE!F:F, RYOE!D:D), "N/A")</f>
        <v>N/A</v>
      </c>
      <c r="N468" t="str" cm="1">
        <f t="array" ref="N468">IFERROR(_xlfn.XLOOKUP(C468&amp;A468, RYOE!A:A&amp;RYOE!F:F, RYOE!E:E), "N/A")</f>
        <v>N/A</v>
      </c>
    </row>
    <row r="469" spans="1:14" ht="15" customHeight="1" x14ac:dyDescent="0.45">
      <c r="A469" s="8">
        <v>2023</v>
      </c>
      <c r="B469" s="6" t="s">
        <v>339</v>
      </c>
      <c r="C469" s="2" t="str">
        <f t="shared" si="14"/>
        <v>Elijah Dotson</v>
      </c>
      <c r="D469" s="2" t="str">
        <f t="shared" si="15"/>
        <v>LAC</v>
      </c>
      <c r="E469" s="2">
        <v>4</v>
      </c>
      <c r="F469" s="2">
        <v>6</v>
      </c>
      <c r="G469" s="2">
        <v>1.5</v>
      </c>
      <c r="H469" s="2">
        <v>0</v>
      </c>
      <c r="I469">
        <v>0</v>
      </c>
      <c r="J469">
        <v>1</v>
      </c>
      <c r="K469" cm="1">
        <f t="array" ref="K469">IFERROR(_xlfn.XLOOKUP(D469&amp;A469, RBWR!A:A&amp;RBWR!C:C, RBWR!B:B), "N/A")</f>
        <v>72</v>
      </c>
      <c r="L469" t="str" cm="1">
        <f t="array" ref="L469">IFERROR(_xlfn.XLOOKUP(C469&amp;A469, RYOE!A:A&amp;RYOE!F:F, RYOE!C:C), "N/A")</f>
        <v>N/A</v>
      </c>
      <c r="M469" t="str" cm="1">
        <f t="array" ref="M469">IFERROR(_xlfn.XLOOKUP(C469&amp;A469, RYOE!A:A&amp;RYOE!F:F, RYOE!D:D), "N/A")</f>
        <v>N/A</v>
      </c>
      <c r="N469" t="str" cm="1">
        <f t="array" ref="N469">IFERROR(_xlfn.XLOOKUP(C469&amp;A469, RYOE!A:A&amp;RYOE!F:F, RYOE!E:E), "N/A")</f>
        <v>N/A</v>
      </c>
    </row>
    <row r="470" spans="1:14" ht="15" customHeight="1" x14ac:dyDescent="0.45">
      <c r="A470" s="7">
        <v>2023</v>
      </c>
      <c r="B470" s="5" t="s">
        <v>340</v>
      </c>
      <c r="C470" s="1" t="str">
        <f t="shared" si="14"/>
        <v>Alex Armah Jr.</v>
      </c>
      <c r="D470" s="1" t="str">
        <f t="shared" si="15"/>
        <v>WAS</v>
      </c>
      <c r="E470" s="1">
        <v>0</v>
      </c>
      <c r="F470" s="1">
        <v>0</v>
      </c>
      <c r="G470" s="1">
        <v>0</v>
      </c>
      <c r="H470" s="1">
        <v>0</v>
      </c>
      <c r="I470">
        <v>0</v>
      </c>
      <c r="J470">
        <v>4</v>
      </c>
      <c r="K470" cm="1">
        <f t="array" ref="K470">IFERROR(_xlfn.XLOOKUP(D470&amp;A470, RBWR!A:A&amp;RBWR!C:C, RBWR!B:B), "N/A")</f>
        <v>75</v>
      </c>
      <c r="L470" t="str" cm="1">
        <f t="array" ref="L470">IFERROR(_xlfn.XLOOKUP(C470&amp;A470, RYOE!A:A&amp;RYOE!F:F, RYOE!C:C), "N/A")</f>
        <v>N/A</v>
      </c>
      <c r="M470" t="str" cm="1">
        <f t="array" ref="M470">IFERROR(_xlfn.XLOOKUP(C470&amp;A470, RYOE!A:A&amp;RYOE!F:F, RYOE!D:D), "N/A")</f>
        <v>N/A</v>
      </c>
      <c r="N470" t="str" cm="1">
        <f t="array" ref="N470">IFERROR(_xlfn.XLOOKUP(C470&amp;A470, RYOE!A:A&amp;RYOE!F:F, RYOE!E:E), "N/A")</f>
        <v>N/A</v>
      </c>
    </row>
    <row r="471" spans="1:14" ht="15" customHeight="1" x14ac:dyDescent="0.45">
      <c r="A471" s="8">
        <v>2023</v>
      </c>
      <c r="B471" s="6" t="s">
        <v>341</v>
      </c>
      <c r="C471" s="2" t="str">
        <f t="shared" si="14"/>
        <v>Devine Ozigbo</v>
      </c>
      <c r="D471" s="2" t="str">
        <f t="shared" si="15"/>
        <v>DET</v>
      </c>
      <c r="E471" s="2">
        <v>3</v>
      </c>
      <c r="F471" s="2">
        <v>5</v>
      </c>
      <c r="G471" s="2">
        <v>1.7</v>
      </c>
      <c r="H471" s="2">
        <v>0</v>
      </c>
      <c r="I471">
        <v>0</v>
      </c>
      <c r="J471">
        <v>1</v>
      </c>
      <c r="K471" cm="1">
        <f t="array" ref="K471">IFERROR(_xlfn.XLOOKUP(D471&amp;A471, RBWR!A:A&amp;RBWR!C:C, RBWR!B:B), "N/A")</f>
        <v>73</v>
      </c>
      <c r="L471" t="str" cm="1">
        <f t="array" ref="L471">IFERROR(_xlfn.XLOOKUP(C471&amp;A471, RYOE!A:A&amp;RYOE!F:F, RYOE!C:C), "N/A")</f>
        <v>N/A</v>
      </c>
      <c r="M471" t="str" cm="1">
        <f t="array" ref="M471">IFERROR(_xlfn.XLOOKUP(C471&amp;A471, RYOE!A:A&amp;RYOE!F:F, RYOE!D:D), "N/A")</f>
        <v>N/A</v>
      </c>
      <c r="N471" t="str" cm="1">
        <f t="array" ref="N471">IFERROR(_xlfn.XLOOKUP(C471&amp;A471, RYOE!A:A&amp;RYOE!F:F, RYOE!E:E), "N/A")</f>
        <v>N/A</v>
      </c>
    </row>
    <row r="472" spans="1:14" ht="15" customHeight="1" x14ac:dyDescent="0.45">
      <c r="A472" s="7">
        <v>2023</v>
      </c>
      <c r="B472" s="5" t="s">
        <v>342</v>
      </c>
      <c r="C472" s="1" t="str">
        <f t="shared" si="14"/>
        <v>Jashaun Corbin</v>
      </c>
      <c r="D472" s="1" t="str">
        <f t="shared" si="15"/>
        <v>NYG</v>
      </c>
      <c r="E472" s="1">
        <v>1</v>
      </c>
      <c r="F472" s="1">
        <v>1</v>
      </c>
      <c r="G472" s="1">
        <v>1</v>
      </c>
      <c r="H472" s="1">
        <v>0</v>
      </c>
      <c r="I472">
        <v>0</v>
      </c>
      <c r="J472">
        <v>3</v>
      </c>
      <c r="K472" cm="1">
        <f t="array" ref="K472">IFERROR(_xlfn.XLOOKUP(D472&amp;A472, RBWR!A:A&amp;RBWR!C:C, RBWR!B:B), "N/A")</f>
        <v>71</v>
      </c>
      <c r="L472" t="str" cm="1">
        <f t="array" ref="L472">IFERROR(_xlfn.XLOOKUP(C472&amp;A472, RYOE!A:A&amp;RYOE!F:F, RYOE!C:C), "N/A")</f>
        <v>N/A</v>
      </c>
      <c r="M472" t="str" cm="1">
        <f t="array" ref="M472">IFERROR(_xlfn.XLOOKUP(C472&amp;A472, RYOE!A:A&amp;RYOE!F:F, RYOE!D:D), "N/A")</f>
        <v>N/A</v>
      </c>
      <c r="N472" t="str" cm="1">
        <f t="array" ref="N472">IFERROR(_xlfn.XLOOKUP(C472&amp;A472, RYOE!A:A&amp;RYOE!F:F, RYOE!E:E), "N/A")</f>
        <v>N/A</v>
      </c>
    </row>
    <row r="473" spans="1:14" ht="15" customHeight="1" x14ac:dyDescent="0.45">
      <c r="A473" s="8">
        <v>2023</v>
      </c>
      <c r="B473" s="6" t="s">
        <v>343</v>
      </c>
      <c r="C473" s="2" t="str">
        <f t="shared" si="14"/>
        <v>Kene Nwangwu</v>
      </c>
      <c r="D473" s="2" t="str">
        <f t="shared" si="15"/>
        <v>MIN</v>
      </c>
      <c r="E473" s="2">
        <v>5</v>
      </c>
      <c r="F473" s="2">
        <v>13</v>
      </c>
      <c r="G473" s="2">
        <v>2.6</v>
      </c>
      <c r="H473" s="2">
        <v>0</v>
      </c>
      <c r="I473">
        <v>0</v>
      </c>
      <c r="J473">
        <v>8</v>
      </c>
      <c r="K473" cm="1">
        <f t="array" ref="K473">IFERROR(_xlfn.XLOOKUP(D473&amp;A473, RBWR!A:A&amp;RBWR!C:C, RBWR!B:B), "N/A")</f>
        <v>72</v>
      </c>
      <c r="L473" t="str" cm="1">
        <f t="array" ref="L473">IFERROR(_xlfn.XLOOKUP(C473&amp;A473, RYOE!A:A&amp;RYOE!F:F, RYOE!C:C), "N/A")</f>
        <v>N/A</v>
      </c>
      <c r="M473" t="str" cm="1">
        <f t="array" ref="M473">IFERROR(_xlfn.XLOOKUP(C473&amp;A473, RYOE!A:A&amp;RYOE!F:F, RYOE!D:D), "N/A")</f>
        <v>N/A</v>
      </c>
      <c r="N473" t="str" cm="1">
        <f t="array" ref="N473">IFERROR(_xlfn.XLOOKUP(C473&amp;A473, RYOE!A:A&amp;RYOE!F:F, RYOE!E:E), "N/A")</f>
        <v>N/A</v>
      </c>
    </row>
    <row r="474" spans="1:14" ht="15" customHeight="1" x14ac:dyDescent="0.45">
      <c r="A474" s="7">
        <v>2023</v>
      </c>
      <c r="B474" s="5" t="s">
        <v>344</v>
      </c>
      <c r="C474" s="1" t="str">
        <f t="shared" si="14"/>
        <v>Jakob Johnson</v>
      </c>
      <c r="D474" s="1" t="str">
        <f t="shared" si="15"/>
        <v>LV</v>
      </c>
      <c r="E474" s="1">
        <v>0</v>
      </c>
      <c r="F474" s="1">
        <v>0</v>
      </c>
      <c r="G474" s="1">
        <v>0</v>
      </c>
      <c r="H474" s="1">
        <v>0</v>
      </c>
      <c r="I474">
        <v>0</v>
      </c>
      <c r="J474">
        <v>8</v>
      </c>
      <c r="K474" cm="1">
        <f t="array" ref="K474">IFERROR(_xlfn.XLOOKUP(D474&amp;A474, RBWR!A:A&amp;RBWR!C:C, RBWR!B:B), "N/A")</f>
        <v>67</v>
      </c>
      <c r="L474" t="str" cm="1">
        <f t="array" ref="L474">IFERROR(_xlfn.XLOOKUP(C474&amp;A474, RYOE!A:A&amp;RYOE!F:F, RYOE!C:C), "N/A")</f>
        <v>N/A</v>
      </c>
      <c r="M474" t="str" cm="1">
        <f t="array" ref="M474">IFERROR(_xlfn.XLOOKUP(C474&amp;A474, RYOE!A:A&amp;RYOE!F:F, RYOE!D:D), "N/A")</f>
        <v>N/A</v>
      </c>
      <c r="N474" t="str" cm="1">
        <f t="array" ref="N474">IFERROR(_xlfn.XLOOKUP(C474&amp;A474, RYOE!A:A&amp;RYOE!F:F, RYOE!E:E), "N/A")</f>
        <v>N/A</v>
      </c>
    </row>
    <row r="475" spans="1:14" ht="15" customHeight="1" x14ac:dyDescent="0.45">
      <c r="A475" s="8">
        <v>2023</v>
      </c>
      <c r="B475" s="6" t="s">
        <v>345</v>
      </c>
      <c r="C475" s="2" t="str">
        <f t="shared" si="14"/>
        <v>Kenyan Drake</v>
      </c>
      <c r="D475" s="2" t="str">
        <f t="shared" si="15"/>
        <v>GB</v>
      </c>
      <c r="E475" s="2">
        <v>2</v>
      </c>
      <c r="F475" s="2">
        <v>0</v>
      </c>
      <c r="G475" s="2">
        <v>0</v>
      </c>
      <c r="H475" s="2">
        <v>0</v>
      </c>
      <c r="I475">
        <v>1</v>
      </c>
      <c r="J475">
        <v>2</v>
      </c>
      <c r="K475" cm="1">
        <f t="array" ref="K475">IFERROR(_xlfn.XLOOKUP(D475&amp;A475, RBWR!A:A&amp;RBWR!C:C, RBWR!B:B), "N/A")</f>
        <v>70</v>
      </c>
      <c r="L475" t="str" cm="1">
        <f t="array" ref="L475">IFERROR(_xlfn.XLOOKUP(C475&amp;A475, RYOE!A:A&amp;RYOE!F:F, RYOE!C:C), "N/A")</f>
        <v>N/A</v>
      </c>
      <c r="M475" t="str" cm="1">
        <f t="array" ref="M475">IFERROR(_xlfn.XLOOKUP(C475&amp;A475, RYOE!A:A&amp;RYOE!F:F, RYOE!D:D), "N/A")</f>
        <v>N/A</v>
      </c>
      <c r="N475" t="str" cm="1">
        <f t="array" ref="N475">IFERROR(_xlfn.XLOOKUP(C475&amp;A475, RYOE!A:A&amp;RYOE!F:F, RYOE!E:E), "N/A")</f>
        <v>N/A</v>
      </c>
    </row>
    <row r="476" spans="1:14" ht="15" customHeight="1" x14ac:dyDescent="0.45">
      <c r="A476" s="7">
        <v>2023</v>
      </c>
      <c r="B476" s="5" t="s">
        <v>346</v>
      </c>
      <c r="C476" s="1" t="str">
        <f t="shared" si="14"/>
        <v>Anthony McFarland Jr.</v>
      </c>
      <c r="D476" s="1" t="str">
        <f t="shared" si="15"/>
        <v>PIT</v>
      </c>
      <c r="E476" s="1">
        <v>0</v>
      </c>
      <c r="F476" s="1">
        <v>0</v>
      </c>
      <c r="G476" s="1">
        <v>0</v>
      </c>
      <c r="H476" s="1">
        <v>0</v>
      </c>
      <c r="I476">
        <v>0</v>
      </c>
      <c r="J476">
        <v>3</v>
      </c>
      <c r="K476" cm="1">
        <f t="array" ref="K476">IFERROR(_xlfn.XLOOKUP(D476&amp;A476, RBWR!A:A&amp;RBWR!C:C, RBWR!B:B), "N/A")</f>
        <v>72</v>
      </c>
      <c r="L476" t="str" cm="1">
        <f t="array" ref="L476">IFERROR(_xlfn.XLOOKUP(C476&amp;A476, RYOE!A:A&amp;RYOE!F:F, RYOE!C:C), "N/A")</f>
        <v>N/A</v>
      </c>
      <c r="M476" t="str" cm="1">
        <f t="array" ref="M476">IFERROR(_xlfn.XLOOKUP(C476&amp;A476, RYOE!A:A&amp;RYOE!F:F, RYOE!D:D), "N/A")</f>
        <v>N/A</v>
      </c>
      <c r="N476" t="str" cm="1">
        <f t="array" ref="N476">IFERROR(_xlfn.XLOOKUP(C476&amp;A476, RYOE!A:A&amp;RYOE!F:F, RYOE!E:E), "N/A")</f>
        <v>N/A</v>
      </c>
    </row>
    <row r="477" spans="1:14" ht="15" customHeight="1" x14ac:dyDescent="0.45">
      <c r="A477" s="8">
        <v>2023</v>
      </c>
      <c r="B477" s="6" t="s">
        <v>347</v>
      </c>
      <c r="C477" s="2" t="str">
        <f t="shared" si="14"/>
        <v>Jonathan Ward</v>
      </c>
      <c r="D477" s="2" t="str">
        <f t="shared" si="15"/>
        <v>TEN</v>
      </c>
      <c r="E477" s="2">
        <v>3</v>
      </c>
      <c r="F477" s="2">
        <v>11</v>
      </c>
      <c r="G477" s="2">
        <v>3.7</v>
      </c>
      <c r="H477" s="2">
        <v>0</v>
      </c>
      <c r="I477">
        <v>0</v>
      </c>
      <c r="J477">
        <v>2</v>
      </c>
      <c r="K477" cm="1">
        <f t="array" ref="K477">IFERROR(_xlfn.XLOOKUP(D477&amp;A477, RBWR!A:A&amp;RBWR!C:C, RBWR!B:B), "N/A")</f>
        <v>71</v>
      </c>
      <c r="L477" t="str" cm="1">
        <f t="array" ref="L477">IFERROR(_xlfn.XLOOKUP(C477&amp;A477, RYOE!A:A&amp;RYOE!F:F, RYOE!C:C), "N/A")</f>
        <v>N/A</v>
      </c>
      <c r="M477" t="str" cm="1">
        <f t="array" ref="M477">IFERROR(_xlfn.XLOOKUP(C477&amp;A477, RYOE!A:A&amp;RYOE!F:F, RYOE!D:D), "N/A")</f>
        <v>N/A</v>
      </c>
      <c r="N477" t="str" cm="1">
        <f t="array" ref="N477">IFERROR(_xlfn.XLOOKUP(C477&amp;A477, RYOE!A:A&amp;RYOE!F:F, RYOE!E:E), "N/A")</f>
        <v>N/A</v>
      </c>
    </row>
    <row r="478" spans="1:14" ht="15" customHeight="1" x14ac:dyDescent="0.45">
      <c r="A478" s="7">
        <v>2023</v>
      </c>
      <c r="B478" s="5" t="s">
        <v>348</v>
      </c>
      <c r="C478" s="1" t="str">
        <f t="shared" si="14"/>
        <v>Chris Evans</v>
      </c>
      <c r="D478" s="1" t="str">
        <f t="shared" si="15"/>
        <v>CIN</v>
      </c>
      <c r="E478" s="1">
        <v>2</v>
      </c>
      <c r="F478" s="1">
        <v>12</v>
      </c>
      <c r="G478" s="1">
        <v>6</v>
      </c>
      <c r="H478" s="1">
        <v>0</v>
      </c>
      <c r="I478">
        <v>0</v>
      </c>
      <c r="J478">
        <v>3</v>
      </c>
      <c r="K478" cm="1">
        <f t="array" ref="K478">IFERROR(_xlfn.XLOOKUP(D478&amp;A478, RBWR!A:A&amp;RBWR!C:C, RBWR!B:B), "N/A")</f>
        <v>67</v>
      </c>
      <c r="L478" t="str" cm="1">
        <f t="array" ref="L478">IFERROR(_xlfn.XLOOKUP(C478&amp;A478, RYOE!A:A&amp;RYOE!F:F, RYOE!C:C), "N/A")</f>
        <v>N/A</v>
      </c>
      <c r="M478" t="str" cm="1">
        <f t="array" ref="M478">IFERROR(_xlfn.XLOOKUP(C478&amp;A478, RYOE!A:A&amp;RYOE!F:F, RYOE!D:D), "N/A")</f>
        <v>N/A</v>
      </c>
      <c r="N478" t="str" cm="1">
        <f t="array" ref="N478">IFERROR(_xlfn.XLOOKUP(C478&amp;A478, RYOE!A:A&amp;RYOE!F:F, RYOE!E:E), "N/A")</f>
        <v>N/A</v>
      </c>
    </row>
    <row r="479" spans="1:14" ht="15" customHeight="1" x14ac:dyDescent="0.45">
      <c r="A479" s="8">
        <v>2023</v>
      </c>
      <c r="B479" s="6" t="s">
        <v>349</v>
      </c>
      <c r="C479" s="2" t="str">
        <f t="shared" si="14"/>
        <v>Evan Hull</v>
      </c>
      <c r="D479" s="2" t="str">
        <f t="shared" si="15"/>
        <v>IND</v>
      </c>
      <c r="E479" s="2">
        <v>1</v>
      </c>
      <c r="F479" s="2">
        <v>1</v>
      </c>
      <c r="G479" s="2">
        <v>1</v>
      </c>
      <c r="H479" s="2">
        <v>0</v>
      </c>
      <c r="I479">
        <v>0</v>
      </c>
      <c r="J479">
        <v>1</v>
      </c>
      <c r="K479" cm="1">
        <f t="array" ref="K479">IFERROR(_xlfn.XLOOKUP(D479&amp;A479, RBWR!A:A&amp;RBWR!C:C, RBWR!B:B), "N/A")</f>
        <v>74</v>
      </c>
      <c r="L479" t="str" cm="1">
        <f t="array" ref="L479">IFERROR(_xlfn.XLOOKUP(C479&amp;A479, RYOE!A:A&amp;RYOE!F:F, RYOE!C:C), "N/A")</f>
        <v>N/A</v>
      </c>
      <c r="M479" t="str" cm="1">
        <f t="array" ref="M479">IFERROR(_xlfn.XLOOKUP(C479&amp;A479, RYOE!A:A&amp;RYOE!F:F, RYOE!D:D), "N/A")</f>
        <v>N/A</v>
      </c>
      <c r="N479" t="str" cm="1">
        <f t="array" ref="N479">IFERROR(_xlfn.XLOOKUP(C479&amp;A479, RYOE!A:A&amp;RYOE!F:F, RYOE!E:E), "N/A")</f>
        <v>N/A</v>
      </c>
    </row>
    <row r="480" spans="1:14" ht="15" customHeight="1" x14ac:dyDescent="0.45">
      <c r="A480" s="7">
        <v>2023</v>
      </c>
      <c r="B480" s="5" t="s">
        <v>274</v>
      </c>
      <c r="C480" s="1" t="str">
        <f t="shared" si="14"/>
        <v>Adam Prentice</v>
      </c>
      <c r="D480" s="1" t="str">
        <f t="shared" si="15"/>
        <v>NO</v>
      </c>
      <c r="E480" s="1">
        <v>2</v>
      </c>
      <c r="F480" s="1">
        <v>12</v>
      </c>
      <c r="G480" s="1">
        <v>6</v>
      </c>
      <c r="H480" s="1">
        <v>0</v>
      </c>
      <c r="I480">
        <v>1</v>
      </c>
      <c r="J480">
        <v>6</v>
      </c>
      <c r="K480" cm="1">
        <f t="array" ref="K480">IFERROR(_xlfn.XLOOKUP(D480&amp;A480, RBWR!A:A&amp;RBWR!C:C, RBWR!B:B), "N/A")</f>
        <v>72</v>
      </c>
      <c r="L480" t="str" cm="1">
        <f t="array" ref="L480">IFERROR(_xlfn.XLOOKUP(C480&amp;A480, RYOE!A:A&amp;RYOE!F:F, RYOE!C:C), "N/A")</f>
        <v>N/A</v>
      </c>
      <c r="M480" t="str" cm="1">
        <f t="array" ref="M480">IFERROR(_xlfn.XLOOKUP(C480&amp;A480, RYOE!A:A&amp;RYOE!F:F, RYOE!D:D), "N/A")</f>
        <v>N/A</v>
      </c>
      <c r="N480" t="str" cm="1">
        <f t="array" ref="N480">IFERROR(_xlfn.XLOOKUP(C480&amp;A480, RYOE!A:A&amp;RYOE!F:F, RYOE!E:E), "N/A")</f>
        <v>N/A</v>
      </c>
    </row>
    <row r="481" spans="1:14" ht="15" customHeight="1" x14ac:dyDescent="0.45">
      <c r="A481" s="8">
        <v>2023</v>
      </c>
      <c r="B481" s="6" t="s">
        <v>171</v>
      </c>
      <c r="C481" s="2" t="str">
        <f t="shared" si="14"/>
        <v>Reggie Gilliam</v>
      </c>
      <c r="D481" s="2" t="str">
        <f t="shared" si="15"/>
        <v>BUF</v>
      </c>
      <c r="E481" s="2">
        <v>0</v>
      </c>
      <c r="F481" s="2">
        <v>0</v>
      </c>
      <c r="G481" s="2">
        <v>0</v>
      </c>
      <c r="H481" s="2">
        <v>0</v>
      </c>
      <c r="I481">
        <v>0</v>
      </c>
      <c r="J481">
        <v>16</v>
      </c>
      <c r="K481" cm="1">
        <f t="array" ref="K481">IFERROR(_xlfn.XLOOKUP(D481&amp;A481, RBWR!A:A&amp;RBWR!C:C, RBWR!B:B), "N/A")</f>
        <v>71</v>
      </c>
      <c r="L481" t="str" cm="1">
        <f t="array" ref="L481">IFERROR(_xlfn.XLOOKUP(C481&amp;A481, RYOE!A:A&amp;RYOE!F:F, RYOE!C:C), "N/A")</f>
        <v>N/A</v>
      </c>
      <c r="M481" t="str" cm="1">
        <f t="array" ref="M481">IFERROR(_xlfn.XLOOKUP(C481&amp;A481, RYOE!A:A&amp;RYOE!F:F, RYOE!D:D), "N/A")</f>
        <v>N/A</v>
      </c>
      <c r="N481" t="str" cm="1">
        <f t="array" ref="N481">IFERROR(_xlfn.XLOOKUP(C481&amp;A481, RYOE!A:A&amp;RYOE!F:F, RYOE!E:E), "N/A")</f>
        <v>N/A</v>
      </c>
    </row>
    <row r="482" spans="1:14" ht="15" customHeight="1" x14ac:dyDescent="0.45">
      <c r="A482" s="7">
        <v>2023</v>
      </c>
      <c r="B482" s="5" t="s">
        <v>350</v>
      </c>
      <c r="C482" s="1" t="str">
        <f t="shared" si="14"/>
        <v>Dwayne Washington</v>
      </c>
      <c r="D482" s="1" t="str">
        <f t="shared" si="15"/>
        <v>DEN</v>
      </c>
      <c r="E482" s="1">
        <v>0</v>
      </c>
      <c r="F482" s="1">
        <v>0</v>
      </c>
      <c r="G482" s="1">
        <v>0</v>
      </c>
      <c r="H482" s="1">
        <v>0</v>
      </c>
      <c r="I482">
        <v>0</v>
      </c>
      <c r="J482">
        <v>3</v>
      </c>
      <c r="K482" cm="1">
        <f t="array" ref="K482">IFERROR(_xlfn.XLOOKUP(D482&amp;A482, RBWR!A:A&amp;RBWR!C:C, RBWR!B:B), "N/A")</f>
        <v>74</v>
      </c>
      <c r="L482" t="str" cm="1">
        <f t="array" ref="L482">IFERROR(_xlfn.XLOOKUP(C482&amp;A482, RYOE!A:A&amp;RYOE!F:F, RYOE!C:C), "N/A")</f>
        <v>N/A</v>
      </c>
      <c r="M482" t="str" cm="1">
        <f t="array" ref="M482">IFERROR(_xlfn.XLOOKUP(C482&amp;A482, RYOE!A:A&amp;RYOE!F:F, RYOE!D:D), "N/A")</f>
        <v>N/A</v>
      </c>
      <c r="N482" t="str" cm="1">
        <f t="array" ref="N482">IFERROR(_xlfn.XLOOKUP(C482&amp;A482, RYOE!A:A&amp;RYOE!F:F, RYOE!E:E), "N/A")</f>
        <v>N/A</v>
      </c>
    </row>
    <row r="483" spans="1:14" ht="15" customHeight="1" x14ac:dyDescent="0.45">
      <c r="A483" s="8">
        <v>2023</v>
      </c>
      <c r="B483" s="6" t="s">
        <v>351</v>
      </c>
      <c r="C483" s="2" t="str">
        <f t="shared" si="14"/>
        <v>Marlon Mack</v>
      </c>
      <c r="D483" s="2" t="str">
        <f t="shared" si="15"/>
        <v>ARI</v>
      </c>
      <c r="E483" s="2">
        <v>0</v>
      </c>
      <c r="F483" s="2">
        <v>0</v>
      </c>
      <c r="G483" s="2">
        <v>0</v>
      </c>
      <c r="H483" s="2">
        <v>0</v>
      </c>
      <c r="I483">
        <v>0</v>
      </c>
      <c r="J483">
        <v>2</v>
      </c>
      <c r="K483" cm="1">
        <f t="array" ref="K483">IFERROR(_xlfn.XLOOKUP(D483&amp;A483, RBWR!A:A&amp;RBWR!C:C, RBWR!B:B), "N/A")</f>
        <v>72</v>
      </c>
      <c r="L483" t="str" cm="1">
        <f t="array" ref="L483">IFERROR(_xlfn.XLOOKUP(C483&amp;A483, RYOE!A:A&amp;RYOE!F:F, RYOE!C:C), "N/A")</f>
        <v>N/A</v>
      </c>
      <c r="M483" t="str" cm="1">
        <f t="array" ref="M483">IFERROR(_xlfn.XLOOKUP(C483&amp;A483, RYOE!A:A&amp;RYOE!F:F, RYOE!D:D), "N/A")</f>
        <v>N/A</v>
      </c>
      <c r="N483" t="str" cm="1">
        <f t="array" ref="N483">IFERROR(_xlfn.XLOOKUP(C483&amp;A483, RYOE!A:A&amp;RYOE!F:F, RYOE!E:E), "N/A")</f>
        <v>N/A</v>
      </c>
    </row>
    <row r="484" spans="1:14" ht="15" customHeight="1" x14ac:dyDescent="0.45">
      <c r="A484" s="7">
        <v>2023</v>
      </c>
      <c r="B484" s="5" t="s">
        <v>352</v>
      </c>
      <c r="C484" s="1" t="str">
        <f t="shared" si="14"/>
        <v>Jeremy McNichols</v>
      </c>
      <c r="D484" s="1" t="str">
        <f t="shared" si="15"/>
        <v>SF</v>
      </c>
      <c r="E484" s="1">
        <v>0</v>
      </c>
      <c r="F484" s="1">
        <v>0</v>
      </c>
      <c r="G484" s="1">
        <v>0</v>
      </c>
      <c r="H484" s="1">
        <v>0</v>
      </c>
      <c r="I484">
        <v>0</v>
      </c>
      <c r="J484">
        <v>2</v>
      </c>
      <c r="K484" cm="1">
        <f t="array" ref="K484">IFERROR(_xlfn.XLOOKUP(D484&amp;A484, RBWR!A:A&amp;RBWR!C:C, RBWR!B:B), "N/A")</f>
        <v>69</v>
      </c>
      <c r="L484" t="str" cm="1">
        <f t="array" ref="L484">IFERROR(_xlfn.XLOOKUP(C484&amp;A484, RYOE!A:A&amp;RYOE!F:F, RYOE!C:C), "N/A")</f>
        <v>N/A</v>
      </c>
      <c r="M484" t="str" cm="1">
        <f t="array" ref="M484">IFERROR(_xlfn.XLOOKUP(C484&amp;A484, RYOE!A:A&amp;RYOE!F:F, RYOE!D:D), "N/A")</f>
        <v>N/A</v>
      </c>
      <c r="N484" t="str" cm="1">
        <f t="array" ref="N484">IFERROR(_xlfn.XLOOKUP(C484&amp;A484, RYOE!A:A&amp;RYOE!F:F, RYOE!E:E), "N/A")</f>
        <v>N/A</v>
      </c>
    </row>
    <row r="485" spans="1:14" ht="15" customHeight="1" x14ac:dyDescent="0.45">
      <c r="A485" s="8">
        <v>2023</v>
      </c>
      <c r="B485" s="6" t="s">
        <v>353</v>
      </c>
      <c r="C485" s="2" t="str">
        <f t="shared" si="14"/>
        <v>Corey Clement</v>
      </c>
      <c r="D485" s="2" t="str">
        <f t="shared" si="15"/>
        <v>ARI</v>
      </c>
      <c r="E485" s="2">
        <v>0</v>
      </c>
      <c r="F485" s="2">
        <v>0</v>
      </c>
      <c r="G485" s="2">
        <v>0</v>
      </c>
      <c r="H485" s="2">
        <v>0</v>
      </c>
      <c r="I485">
        <v>0</v>
      </c>
      <c r="J485">
        <v>2</v>
      </c>
      <c r="K485" cm="1">
        <f t="array" ref="K485">IFERROR(_xlfn.XLOOKUP(D485&amp;A485, RBWR!A:A&amp;RBWR!C:C, RBWR!B:B), "N/A")</f>
        <v>72</v>
      </c>
      <c r="L485" t="str" cm="1">
        <f t="array" ref="L485">IFERROR(_xlfn.XLOOKUP(C485&amp;A485, RYOE!A:A&amp;RYOE!F:F, RYOE!C:C), "N/A")</f>
        <v>N/A</v>
      </c>
      <c r="M485" t="str" cm="1">
        <f t="array" ref="M485">IFERROR(_xlfn.XLOOKUP(C485&amp;A485, RYOE!A:A&amp;RYOE!F:F, RYOE!D:D), "N/A")</f>
        <v>N/A</v>
      </c>
      <c r="N485" t="str" cm="1">
        <f t="array" ref="N485">IFERROR(_xlfn.XLOOKUP(C485&amp;A485, RYOE!A:A&amp;RYOE!F:F, RYOE!E:E), "N/A")</f>
        <v>N/A</v>
      </c>
    </row>
    <row r="486" spans="1:14" ht="15" customHeight="1" x14ac:dyDescent="0.45">
      <c r="A486" s="7">
        <v>2023</v>
      </c>
      <c r="B486" s="5" t="s">
        <v>354</v>
      </c>
      <c r="C486" s="1" t="str">
        <f t="shared" si="14"/>
        <v>Godwin Igwebuike</v>
      </c>
      <c r="D486" s="1" t="str">
        <f t="shared" si="15"/>
        <v>PIT</v>
      </c>
      <c r="E486" s="1">
        <v>0</v>
      </c>
      <c r="F486" s="1">
        <v>0</v>
      </c>
      <c r="G486" s="1">
        <v>0</v>
      </c>
      <c r="H486" s="1">
        <v>0</v>
      </c>
      <c r="I486">
        <v>0</v>
      </c>
      <c r="J486">
        <v>7</v>
      </c>
      <c r="K486" cm="1">
        <f t="array" ref="K486">IFERROR(_xlfn.XLOOKUP(D486&amp;A486, RBWR!A:A&amp;RBWR!C:C, RBWR!B:B), "N/A")</f>
        <v>72</v>
      </c>
      <c r="L486" t="str" cm="1">
        <f t="array" ref="L486">IFERROR(_xlfn.XLOOKUP(C486&amp;A486, RYOE!A:A&amp;RYOE!F:F, RYOE!C:C), "N/A")</f>
        <v>N/A</v>
      </c>
      <c r="M486" t="str" cm="1">
        <f t="array" ref="M486">IFERROR(_xlfn.XLOOKUP(C486&amp;A486, RYOE!A:A&amp;RYOE!F:F, RYOE!D:D), "N/A")</f>
        <v>N/A</v>
      </c>
      <c r="N486" t="str" cm="1">
        <f t="array" ref="N486">IFERROR(_xlfn.XLOOKUP(C486&amp;A486, RYOE!A:A&amp;RYOE!F:F, RYOE!E:E), "N/A")</f>
        <v>N/A</v>
      </c>
    </row>
    <row r="487" spans="1:14" ht="15" customHeight="1" x14ac:dyDescent="0.45">
      <c r="A487" s="8">
        <v>2023</v>
      </c>
      <c r="B487" s="6" t="s">
        <v>355</v>
      </c>
      <c r="C487" s="2" t="str">
        <f t="shared" si="14"/>
        <v>Jason Cabinda</v>
      </c>
      <c r="D487" s="2" t="str">
        <f t="shared" si="15"/>
        <v>DET</v>
      </c>
      <c r="E487" s="2">
        <v>1</v>
      </c>
      <c r="F487" s="2">
        <v>0</v>
      </c>
      <c r="G487" s="2">
        <v>0</v>
      </c>
      <c r="H487" s="2">
        <v>0</v>
      </c>
      <c r="I487">
        <v>0</v>
      </c>
      <c r="J487">
        <v>4</v>
      </c>
      <c r="K487" cm="1">
        <f t="array" ref="K487">IFERROR(_xlfn.XLOOKUP(D487&amp;A487, RBWR!A:A&amp;RBWR!C:C, RBWR!B:B), "N/A")</f>
        <v>73</v>
      </c>
      <c r="L487" t="str" cm="1">
        <f t="array" ref="L487">IFERROR(_xlfn.XLOOKUP(C487&amp;A487, RYOE!A:A&amp;RYOE!F:F, RYOE!C:C), "N/A")</f>
        <v>N/A</v>
      </c>
      <c r="M487" t="str" cm="1">
        <f t="array" ref="M487">IFERROR(_xlfn.XLOOKUP(C487&amp;A487, RYOE!A:A&amp;RYOE!F:F, RYOE!D:D), "N/A")</f>
        <v>N/A</v>
      </c>
      <c r="N487" t="str" cm="1">
        <f t="array" ref="N487">IFERROR(_xlfn.XLOOKUP(C487&amp;A487, RYOE!A:A&amp;RYOE!F:F, RYOE!E:E), "N/A")</f>
        <v>N/A</v>
      </c>
    </row>
    <row r="488" spans="1:14" ht="15" customHeight="1" x14ac:dyDescent="0.45">
      <c r="A488" s="7">
        <v>2023</v>
      </c>
      <c r="B488" s="5" t="s">
        <v>356</v>
      </c>
      <c r="C488" s="1" t="str">
        <f t="shared" si="14"/>
        <v>Patrick Laird</v>
      </c>
      <c r="D488" s="1" t="str">
        <f t="shared" si="15"/>
        <v>TB</v>
      </c>
      <c r="E488" s="1">
        <v>0</v>
      </c>
      <c r="F488" s="1">
        <v>0</v>
      </c>
      <c r="G488" s="1">
        <v>0</v>
      </c>
      <c r="H488" s="1">
        <v>0</v>
      </c>
      <c r="I488">
        <v>0</v>
      </c>
      <c r="J488">
        <v>2</v>
      </c>
      <c r="K488" cm="1">
        <f t="array" ref="K488">IFERROR(_xlfn.XLOOKUP(D488&amp;A488, RBWR!A:A&amp;RBWR!C:C, RBWR!B:B), "N/A")</f>
        <v>72</v>
      </c>
      <c r="L488" t="str" cm="1">
        <f t="array" ref="L488">IFERROR(_xlfn.XLOOKUP(C488&amp;A488, RYOE!A:A&amp;RYOE!F:F, RYOE!C:C), "N/A")</f>
        <v>N/A</v>
      </c>
      <c r="M488" t="str" cm="1">
        <f t="array" ref="M488">IFERROR(_xlfn.XLOOKUP(C488&amp;A488, RYOE!A:A&amp;RYOE!F:F, RYOE!D:D), "N/A")</f>
        <v>N/A</v>
      </c>
      <c r="N488" t="str" cm="1">
        <f t="array" ref="N488">IFERROR(_xlfn.XLOOKUP(C488&amp;A488, RYOE!A:A&amp;RYOE!F:F, RYOE!E:E), "N/A")</f>
        <v>N/A</v>
      </c>
    </row>
    <row r="489" spans="1:14" ht="15" customHeight="1" x14ac:dyDescent="0.45">
      <c r="A489" s="8">
        <v>2023</v>
      </c>
      <c r="B489" s="6" t="s">
        <v>203</v>
      </c>
      <c r="C489" s="2" t="str">
        <f t="shared" si="14"/>
        <v>Travis Homer</v>
      </c>
      <c r="D489" s="2" t="str">
        <f t="shared" si="15"/>
        <v>CHI</v>
      </c>
      <c r="E489" s="2">
        <v>0</v>
      </c>
      <c r="F489" s="2">
        <v>0</v>
      </c>
      <c r="G489" s="2">
        <v>0</v>
      </c>
      <c r="H489" s="2">
        <v>0</v>
      </c>
      <c r="I489">
        <v>0</v>
      </c>
      <c r="J489">
        <v>9</v>
      </c>
      <c r="K489" cm="1">
        <f t="array" ref="K489">IFERROR(_xlfn.XLOOKUP(D489&amp;A489, RBWR!A:A&amp;RBWR!C:C, RBWR!B:B), "N/A")</f>
        <v>75</v>
      </c>
      <c r="L489" t="str" cm="1">
        <f t="array" ref="L489">IFERROR(_xlfn.XLOOKUP(C489&amp;A489, RYOE!A:A&amp;RYOE!F:F, RYOE!C:C), "N/A")</f>
        <v>N/A</v>
      </c>
      <c r="M489" t="str" cm="1">
        <f t="array" ref="M489">IFERROR(_xlfn.XLOOKUP(C489&amp;A489, RYOE!A:A&amp;RYOE!F:F, RYOE!D:D), "N/A")</f>
        <v>N/A</v>
      </c>
      <c r="N489" t="str" cm="1">
        <f t="array" ref="N489">IFERROR(_xlfn.XLOOKUP(C489&amp;A489, RYOE!A:A&amp;RYOE!F:F, RYOE!E:E), "N/A")</f>
        <v>N/A</v>
      </c>
    </row>
    <row r="490" spans="1:14" ht="15" customHeight="1" x14ac:dyDescent="0.45">
      <c r="A490" s="7">
        <v>2023</v>
      </c>
      <c r="B490" s="5" t="s">
        <v>267</v>
      </c>
      <c r="C490" s="1" t="str">
        <f t="shared" si="14"/>
        <v>Andrew Beck</v>
      </c>
      <c r="D490" s="1" t="str">
        <f t="shared" si="15"/>
        <v>HOU</v>
      </c>
      <c r="E490" s="1">
        <v>5</v>
      </c>
      <c r="F490" s="1">
        <v>3</v>
      </c>
      <c r="G490" s="1">
        <v>0.6</v>
      </c>
      <c r="H490" s="1">
        <v>1</v>
      </c>
      <c r="I490">
        <v>1</v>
      </c>
      <c r="J490">
        <v>13</v>
      </c>
      <c r="K490" cm="1">
        <f t="array" ref="K490">IFERROR(_xlfn.XLOOKUP(D490&amp;A490, RBWR!A:A&amp;RBWR!C:C, RBWR!B:B), "N/A")</f>
        <v>68</v>
      </c>
      <c r="L490" t="str" cm="1">
        <f t="array" ref="L490">IFERROR(_xlfn.XLOOKUP(C490&amp;A490, RYOE!A:A&amp;RYOE!F:F, RYOE!C:C), "N/A")</f>
        <v>N/A</v>
      </c>
      <c r="M490" t="str" cm="1">
        <f t="array" ref="M490">IFERROR(_xlfn.XLOOKUP(C490&amp;A490, RYOE!A:A&amp;RYOE!F:F, RYOE!D:D), "N/A")</f>
        <v>N/A</v>
      </c>
      <c r="N490" t="str" cm="1">
        <f t="array" ref="N490">IFERROR(_xlfn.XLOOKUP(C490&amp;A490, RYOE!A:A&amp;RYOE!F:F, RYOE!E:E), "N/A")</f>
        <v>N/A</v>
      </c>
    </row>
    <row r="491" spans="1:14" ht="15" customHeight="1" x14ac:dyDescent="0.45">
      <c r="A491" s="8">
        <v>2023</v>
      </c>
      <c r="B491" s="6" t="s">
        <v>357</v>
      </c>
      <c r="C491" s="2" t="str">
        <f t="shared" si="14"/>
        <v>Austin Walter</v>
      </c>
      <c r="D491" s="2" t="str">
        <f t="shared" si="15"/>
        <v>LV</v>
      </c>
      <c r="E491" s="2">
        <v>0</v>
      </c>
      <c r="F491" s="2">
        <v>0</v>
      </c>
      <c r="G491" s="2">
        <v>0</v>
      </c>
      <c r="H491" s="2">
        <v>0</v>
      </c>
      <c r="I491">
        <v>0</v>
      </c>
      <c r="J491">
        <v>1</v>
      </c>
      <c r="K491" cm="1">
        <f t="array" ref="K491">IFERROR(_xlfn.XLOOKUP(D491&amp;A491, RBWR!A:A&amp;RBWR!C:C, RBWR!B:B), "N/A")</f>
        <v>67</v>
      </c>
      <c r="L491" t="str" cm="1">
        <f t="array" ref="L491">IFERROR(_xlfn.XLOOKUP(C491&amp;A491, RYOE!A:A&amp;RYOE!F:F, RYOE!C:C), "N/A")</f>
        <v>N/A</v>
      </c>
      <c r="M491" t="str" cm="1">
        <f t="array" ref="M491">IFERROR(_xlfn.XLOOKUP(C491&amp;A491, RYOE!A:A&amp;RYOE!F:F, RYOE!D:D), "N/A")</f>
        <v>N/A</v>
      </c>
      <c r="N491" t="str" cm="1">
        <f t="array" ref="N491">IFERROR(_xlfn.XLOOKUP(C491&amp;A491, RYOE!A:A&amp;RYOE!F:F, RYOE!E:E), "N/A")</f>
        <v>N/A</v>
      </c>
    </row>
    <row r="492" spans="1:14" ht="15" customHeight="1" x14ac:dyDescent="0.45">
      <c r="A492" s="7">
        <v>2023</v>
      </c>
      <c r="B492" s="5" t="s">
        <v>358</v>
      </c>
      <c r="C492" s="1" t="str">
        <f t="shared" si="14"/>
        <v>JaMycal Hasty</v>
      </c>
      <c r="D492" s="1" t="str">
        <f t="shared" si="15"/>
        <v>JAC</v>
      </c>
      <c r="E492" s="1">
        <v>0</v>
      </c>
      <c r="F492" s="1">
        <v>0</v>
      </c>
      <c r="G492" s="1">
        <v>0</v>
      </c>
      <c r="H492" s="1">
        <v>0</v>
      </c>
      <c r="I492">
        <v>0</v>
      </c>
      <c r="J492">
        <v>1</v>
      </c>
      <c r="K492" cm="1">
        <f t="array" ref="K492">IFERROR(_xlfn.XLOOKUP(D492&amp;A492, RBWR!A:A&amp;RBWR!C:C, RBWR!B:B), "N/A")</f>
        <v>70</v>
      </c>
      <c r="L492" t="str" cm="1">
        <f t="array" ref="L492">IFERROR(_xlfn.XLOOKUP(C492&amp;A492, RYOE!A:A&amp;RYOE!F:F, RYOE!C:C), "N/A")</f>
        <v>N/A</v>
      </c>
      <c r="M492" t="str" cm="1">
        <f t="array" ref="M492">IFERROR(_xlfn.XLOOKUP(C492&amp;A492, RYOE!A:A&amp;RYOE!F:F, RYOE!D:D), "N/A")</f>
        <v>N/A</v>
      </c>
      <c r="N492" t="str" cm="1">
        <f t="array" ref="N492">IFERROR(_xlfn.XLOOKUP(C492&amp;A492, RYOE!A:A&amp;RYOE!F:F, RYOE!E:E), "N/A")</f>
        <v>N/A</v>
      </c>
    </row>
    <row r="493" spans="1:14" ht="15" customHeight="1" x14ac:dyDescent="0.45">
      <c r="A493" s="8">
        <v>2023</v>
      </c>
      <c r="B493" s="6" t="s">
        <v>359</v>
      </c>
      <c r="C493" s="2" t="str">
        <f t="shared" si="14"/>
        <v>James Robinson</v>
      </c>
      <c r="D493" s="2" t="str">
        <f t="shared" si="15"/>
        <v>GB</v>
      </c>
      <c r="E493" s="2">
        <v>1</v>
      </c>
      <c r="F493" s="2">
        <v>2</v>
      </c>
      <c r="G493" s="2">
        <v>2</v>
      </c>
      <c r="H493" s="2">
        <v>0</v>
      </c>
      <c r="I493">
        <v>0</v>
      </c>
      <c r="J493">
        <v>1</v>
      </c>
      <c r="K493" cm="1">
        <f t="array" ref="K493">IFERROR(_xlfn.XLOOKUP(D493&amp;A493, RBWR!A:A&amp;RBWR!C:C, RBWR!B:B), "N/A")</f>
        <v>70</v>
      </c>
      <c r="L493" t="str" cm="1">
        <f t="array" ref="L493">IFERROR(_xlfn.XLOOKUP(C493&amp;A493, RYOE!A:A&amp;RYOE!F:F, RYOE!C:C), "N/A")</f>
        <v>N/A</v>
      </c>
      <c r="M493" t="str" cm="1">
        <f t="array" ref="M493">IFERROR(_xlfn.XLOOKUP(C493&amp;A493, RYOE!A:A&amp;RYOE!F:F, RYOE!D:D), "N/A")</f>
        <v>N/A</v>
      </c>
      <c r="N493" t="str" cm="1">
        <f t="array" ref="N493">IFERROR(_xlfn.XLOOKUP(C493&amp;A493, RYOE!A:A&amp;RYOE!F:F, RYOE!E:E), "N/A")</f>
        <v>N/A</v>
      </c>
    </row>
    <row r="494" spans="1:14" ht="15" customHeight="1" x14ac:dyDescent="0.45">
      <c r="A494" s="7">
        <v>2023</v>
      </c>
      <c r="B494" s="5" t="s">
        <v>360</v>
      </c>
      <c r="C494" s="1" t="str">
        <f t="shared" si="14"/>
        <v>Kirk Merritt</v>
      </c>
      <c r="D494" s="1" t="str">
        <f t="shared" si="15"/>
        <v>NO</v>
      </c>
      <c r="E494" s="1">
        <v>0</v>
      </c>
      <c r="F494" s="1">
        <v>0</v>
      </c>
      <c r="G494" s="1">
        <v>0</v>
      </c>
      <c r="H494" s="1">
        <v>0</v>
      </c>
      <c r="I494">
        <v>0</v>
      </c>
      <c r="J494">
        <v>1</v>
      </c>
      <c r="K494" cm="1">
        <f t="array" ref="K494">IFERROR(_xlfn.XLOOKUP(D494&amp;A494, RBWR!A:A&amp;RBWR!C:C, RBWR!B:B), "N/A")</f>
        <v>72</v>
      </c>
      <c r="L494" t="str" cm="1">
        <f t="array" ref="L494">IFERROR(_xlfn.XLOOKUP(C494&amp;A494, RYOE!A:A&amp;RYOE!F:F, RYOE!C:C), "N/A")</f>
        <v>N/A</v>
      </c>
      <c r="M494" t="str" cm="1">
        <f t="array" ref="M494">IFERROR(_xlfn.XLOOKUP(C494&amp;A494, RYOE!A:A&amp;RYOE!F:F, RYOE!D:D), "N/A")</f>
        <v>N/A</v>
      </c>
      <c r="N494" t="str" cm="1">
        <f t="array" ref="N494">IFERROR(_xlfn.XLOOKUP(C494&amp;A494, RYOE!A:A&amp;RYOE!F:F, RYOE!E:E), "N/A")</f>
        <v>N/A</v>
      </c>
    </row>
    <row r="495" spans="1:14" ht="15" customHeight="1" x14ac:dyDescent="0.45">
      <c r="A495" s="8">
        <v>2023</v>
      </c>
      <c r="B495" s="6" t="s">
        <v>361</v>
      </c>
      <c r="C495" s="2" t="str">
        <f t="shared" si="14"/>
        <v>Mohamed Ibrahim</v>
      </c>
      <c r="D495" s="2" t="str">
        <f t="shared" si="15"/>
        <v>DET</v>
      </c>
      <c r="E495" s="2">
        <v>0</v>
      </c>
      <c r="F495" s="2">
        <v>0</v>
      </c>
      <c r="G495" s="2">
        <v>0</v>
      </c>
      <c r="H495" s="2">
        <v>0</v>
      </c>
      <c r="I495">
        <v>0</v>
      </c>
      <c r="J495">
        <v>1</v>
      </c>
      <c r="K495" cm="1">
        <f t="array" ref="K495">IFERROR(_xlfn.XLOOKUP(D495&amp;A495, RBWR!A:A&amp;RBWR!C:C, RBWR!B:B), "N/A")</f>
        <v>73</v>
      </c>
      <c r="L495" t="str" cm="1">
        <f t="array" ref="L495">IFERROR(_xlfn.XLOOKUP(C495&amp;A495, RYOE!A:A&amp;RYOE!F:F, RYOE!C:C), "N/A")</f>
        <v>N/A</v>
      </c>
      <c r="M495" t="str" cm="1">
        <f t="array" ref="M495">IFERROR(_xlfn.XLOOKUP(C495&amp;A495, RYOE!A:A&amp;RYOE!F:F, RYOE!D:D), "N/A")</f>
        <v>N/A</v>
      </c>
      <c r="N495" t="str" cm="1">
        <f t="array" ref="N495">IFERROR(_xlfn.XLOOKUP(C495&amp;A495, RYOE!A:A&amp;RYOE!F:F, RYOE!E:E), "N/A")</f>
        <v>N/A</v>
      </c>
    </row>
    <row r="496" spans="1:14" ht="15" customHeight="1" x14ac:dyDescent="0.45">
      <c r="A496" s="7">
        <v>2023</v>
      </c>
      <c r="B496" s="5" t="s">
        <v>94</v>
      </c>
      <c r="C496" s="1" t="str">
        <f t="shared" si="14"/>
        <v>Malik Davis</v>
      </c>
      <c r="D496" s="1" t="str">
        <f t="shared" si="15"/>
        <v>DAL</v>
      </c>
      <c r="E496" s="1">
        <v>0</v>
      </c>
      <c r="F496" s="1">
        <v>0</v>
      </c>
      <c r="G496" s="1">
        <v>0</v>
      </c>
      <c r="H496" s="1">
        <v>0</v>
      </c>
      <c r="I496">
        <v>0</v>
      </c>
      <c r="J496">
        <v>2</v>
      </c>
      <c r="K496" cm="1">
        <f t="array" ref="K496">IFERROR(_xlfn.XLOOKUP(D496&amp;A496, RBWR!A:A&amp;RBWR!C:C, RBWR!B:B), "N/A")</f>
        <v>73</v>
      </c>
      <c r="L496" t="str" cm="1">
        <f t="array" ref="L496">IFERROR(_xlfn.XLOOKUP(C496&amp;A496, RYOE!A:A&amp;RYOE!F:F, RYOE!C:C), "N/A")</f>
        <v>N/A</v>
      </c>
      <c r="M496" t="str" cm="1">
        <f t="array" ref="M496">IFERROR(_xlfn.XLOOKUP(C496&amp;A496, RYOE!A:A&amp;RYOE!F:F, RYOE!D:D), "N/A")</f>
        <v>N/A</v>
      </c>
      <c r="N496" t="str" cm="1">
        <f t="array" ref="N496">IFERROR(_xlfn.XLOOKUP(C496&amp;A496, RYOE!A:A&amp;RYOE!F:F, RYOE!E:E), "N/A")</f>
        <v>N/A</v>
      </c>
    </row>
    <row r="497" spans="1:14" ht="15" customHeight="1" x14ac:dyDescent="0.45">
      <c r="A497" s="8">
        <v>2023</v>
      </c>
      <c r="B497" s="6" t="s">
        <v>362</v>
      </c>
      <c r="C497" s="2" t="str">
        <f t="shared" si="14"/>
        <v>Bryant Koback</v>
      </c>
      <c r="D497" s="2" t="str">
        <f t="shared" si="15"/>
        <v>PHI</v>
      </c>
      <c r="E497" s="2">
        <v>0</v>
      </c>
      <c r="F497" s="2">
        <v>0</v>
      </c>
      <c r="G497" s="2">
        <v>0</v>
      </c>
      <c r="H497" s="2">
        <v>0</v>
      </c>
      <c r="I497">
        <v>0</v>
      </c>
      <c r="J497">
        <v>1</v>
      </c>
      <c r="K497" cm="1">
        <f t="array" ref="K497">IFERROR(_xlfn.XLOOKUP(D497&amp;A497, RBWR!A:A&amp;RBWR!C:C, RBWR!B:B), "N/A")</f>
        <v>73</v>
      </c>
      <c r="L497" t="str" cm="1">
        <f t="array" ref="L497">IFERROR(_xlfn.XLOOKUP(C497&amp;A497, RYOE!A:A&amp;RYOE!F:F, RYOE!C:C), "N/A")</f>
        <v>N/A</v>
      </c>
      <c r="M497" t="str" cm="1">
        <f t="array" ref="M497">IFERROR(_xlfn.XLOOKUP(C497&amp;A497, RYOE!A:A&amp;RYOE!F:F, RYOE!D:D), "N/A")</f>
        <v>N/A</v>
      </c>
      <c r="N497" t="str" cm="1">
        <f t="array" ref="N497">IFERROR(_xlfn.XLOOKUP(C497&amp;A497, RYOE!A:A&amp;RYOE!F:F, RYOE!E:E), "N/A")</f>
        <v>N/A</v>
      </c>
    </row>
    <row r="498" spans="1:14" ht="15" customHeight="1" x14ac:dyDescent="0.45">
      <c r="A498" s="7">
        <v>2023</v>
      </c>
      <c r="B498" s="5" t="s">
        <v>363</v>
      </c>
      <c r="C498" s="1" t="str">
        <f t="shared" si="14"/>
        <v>Velus Jones Jr.</v>
      </c>
      <c r="D498" s="1" t="str">
        <f t="shared" si="15"/>
        <v>CHI</v>
      </c>
      <c r="E498" s="1">
        <v>8</v>
      </c>
      <c r="F498" s="1">
        <v>51</v>
      </c>
      <c r="G498" s="1">
        <v>6.4</v>
      </c>
      <c r="H498" s="1">
        <v>0</v>
      </c>
      <c r="I498">
        <v>0</v>
      </c>
      <c r="J498">
        <v>13</v>
      </c>
      <c r="K498" cm="1">
        <f t="array" ref="K498">IFERROR(_xlfn.XLOOKUP(D498&amp;A498, RBWR!A:A&amp;RBWR!C:C, RBWR!B:B), "N/A")</f>
        <v>75</v>
      </c>
      <c r="L498" t="str" cm="1">
        <f t="array" ref="L498">IFERROR(_xlfn.XLOOKUP(C498&amp;A498, RYOE!A:A&amp;RYOE!F:F, RYOE!C:C), "N/A")</f>
        <v>N/A</v>
      </c>
      <c r="M498" t="str" cm="1">
        <f t="array" ref="M498">IFERROR(_xlfn.XLOOKUP(C498&amp;A498, RYOE!A:A&amp;RYOE!F:F, RYOE!D:D), "N/A")</f>
        <v>N/A</v>
      </c>
      <c r="N498" t="str" cm="1">
        <f t="array" ref="N498">IFERROR(_xlfn.XLOOKUP(C498&amp;A498, RYOE!A:A&amp;RYOE!F:F, RYOE!E:E), "N/A")</f>
        <v>N/A</v>
      </c>
    </row>
    <row r="499" spans="1:14" ht="15" customHeight="1" x14ac:dyDescent="0.45">
      <c r="A499" s="8">
        <v>2023</v>
      </c>
      <c r="B499" s="6" t="s">
        <v>141</v>
      </c>
      <c r="C499" s="2" t="str">
        <f t="shared" si="14"/>
        <v>Connor Heyward</v>
      </c>
      <c r="D499" s="2" t="str">
        <f t="shared" si="15"/>
        <v>PIT</v>
      </c>
      <c r="E499" s="2">
        <v>1</v>
      </c>
      <c r="F499" s="2">
        <v>0</v>
      </c>
      <c r="G499" s="2">
        <v>0</v>
      </c>
      <c r="H499" s="2">
        <v>0</v>
      </c>
      <c r="I499">
        <v>0</v>
      </c>
      <c r="J499">
        <v>17</v>
      </c>
      <c r="K499" cm="1">
        <f t="array" ref="K499">IFERROR(_xlfn.XLOOKUP(D499&amp;A499, RBWR!A:A&amp;RBWR!C:C, RBWR!B:B), "N/A")</f>
        <v>72</v>
      </c>
      <c r="L499" t="str" cm="1">
        <f t="array" ref="L499">IFERROR(_xlfn.XLOOKUP(C499&amp;A499, RYOE!A:A&amp;RYOE!F:F, RYOE!C:C), "N/A")</f>
        <v>N/A</v>
      </c>
      <c r="M499" t="str" cm="1">
        <f t="array" ref="M499">IFERROR(_xlfn.XLOOKUP(C499&amp;A499, RYOE!A:A&amp;RYOE!F:F, RYOE!D:D), "N/A")</f>
        <v>N/A</v>
      </c>
      <c r="N499" t="str" cm="1">
        <f t="array" ref="N499">IFERROR(_xlfn.XLOOKUP(C499&amp;A499, RYOE!A:A&amp;RYOE!F:F, RYOE!E:E), "N/A")</f>
        <v>N/A</v>
      </c>
    </row>
    <row r="500" spans="1:14" ht="15" customHeight="1" x14ac:dyDescent="0.45">
      <c r="A500" s="7">
        <v>2023</v>
      </c>
      <c r="B500" s="5" t="s">
        <v>364</v>
      </c>
      <c r="C500" s="1" t="str">
        <f t="shared" si="14"/>
        <v>Brittain Brown</v>
      </c>
      <c r="D500" s="1" t="str">
        <f t="shared" si="15"/>
        <v>LV</v>
      </c>
      <c r="E500" s="1">
        <v>0</v>
      </c>
      <c r="F500" s="1">
        <v>0</v>
      </c>
      <c r="G500" s="1">
        <v>0</v>
      </c>
      <c r="H500" s="1">
        <v>0</v>
      </c>
      <c r="I500">
        <v>0</v>
      </c>
      <c r="J500">
        <v>1</v>
      </c>
      <c r="K500" cm="1">
        <f t="array" ref="K500">IFERROR(_xlfn.XLOOKUP(D500&amp;A500, RBWR!A:A&amp;RBWR!C:C, RBWR!B:B), "N/A")</f>
        <v>67</v>
      </c>
      <c r="L500" t="str" cm="1">
        <f t="array" ref="L500">IFERROR(_xlfn.XLOOKUP(C500&amp;A500, RYOE!A:A&amp;RYOE!F:F, RYOE!C:C), "N/A")</f>
        <v>N/A</v>
      </c>
      <c r="M500" t="str" cm="1">
        <f t="array" ref="M500">IFERROR(_xlfn.XLOOKUP(C500&amp;A500, RYOE!A:A&amp;RYOE!F:F, RYOE!D:D), "N/A")</f>
        <v>N/A</v>
      </c>
      <c r="N500" t="str" cm="1">
        <f t="array" ref="N500">IFERROR(_xlfn.XLOOKUP(C500&amp;A500, RYOE!A:A&amp;RYOE!F:F, RYOE!E:E), "N/A")</f>
        <v>N/A</v>
      </c>
    </row>
    <row r="501" spans="1:14" ht="15" customHeight="1" x14ac:dyDescent="0.45">
      <c r="A501" s="8">
        <v>2023</v>
      </c>
      <c r="B501" s="6" t="s">
        <v>143</v>
      </c>
      <c r="C501" s="2" t="str">
        <f t="shared" si="14"/>
        <v>Julius Chestnut</v>
      </c>
      <c r="D501" s="2" t="str">
        <f t="shared" si="15"/>
        <v>TEN</v>
      </c>
      <c r="E501" s="2">
        <v>0</v>
      </c>
      <c r="F501" s="2">
        <v>0</v>
      </c>
      <c r="G501" s="2">
        <v>0</v>
      </c>
      <c r="H501" s="2">
        <v>0</v>
      </c>
      <c r="I501">
        <v>0</v>
      </c>
      <c r="J501">
        <v>2</v>
      </c>
      <c r="K501" cm="1">
        <f t="array" ref="K501">IFERROR(_xlfn.XLOOKUP(D501&amp;A501, RBWR!A:A&amp;RBWR!C:C, RBWR!B:B), "N/A")</f>
        <v>71</v>
      </c>
      <c r="L501" t="str" cm="1">
        <f t="array" ref="L501">IFERROR(_xlfn.XLOOKUP(C501&amp;A501, RYOE!A:A&amp;RYOE!F:F, RYOE!C:C), "N/A")</f>
        <v>N/A</v>
      </c>
      <c r="M501" t="str" cm="1">
        <f t="array" ref="M501">IFERROR(_xlfn.XLOOKUP(C501&amp;A501, RYOE!A:A&amp;RYOE!F:F, RYOE!D:D), "N/A")</f>
        <v>N/A</v>
      </c>
      <c r="N501" t="str" cm="1">
        <f t="array" ref="N501">IFERROR(_xlfn.XLOOKUP(C501&amp;A501, RYOE!A:A&amp;RYOE!F:F, RYOE!E:E), "N/A")</f>
        <v>N/A</v>
      </c>
    </row>
    <row r="502" spans="1:14" ht="15" customHeight="1" x14ac:dyDescent="0.45">
      <c r="A502" s="7">
        <v>2023</v>
      </c>
      <c r="B502" s="5" t="s">
        <v>365</v>
      </c>
      <c r="C502" s="1" t="str">
        <f t="shared" si="14"/>
        <v>Derek Parish</v>
      </c>
      <c r="D502" s="1" t="str">
        <f t="shared" si="15"/>
        <v>JAC</v>
      </c>
      <c r="E502" s="1">
        <v>0</v>
      </c>
      <c r="F502" s="1">
        <v>0</v>
      </c>
      <c r="G502" s="1">
        <v>0</v>
      </c>
      <c r="H502" s="1">
        <v>0</v>
      </c>
      <c r="I502">
        <v>0</v>
      </c>
      <c r="J502">
        <v>1</v>
      </c>
      <c r="K502" cm="1">
        <f t="array" ref="K502">IFERROR(_xlfn.XLOOKUP(D502&amp;A502, RBWR!A:A&amp;RBWR!C:C, RBWR!B:B), "N/A")</f>
        <v>70</v>
      </c>
      <c r="L502" t="str" cm="1">
        <f t="array" ref="L502">IFERROR(_xlfn.XLOOKUP(C502&amp;A502, RYOE!A:A&amp;RYOE!F:F, RYOE!C:C), "N/A")</f>
        <v>N/A</v>
      </c>
      <c r="M502" t="str" cm="1">
        <f t="array" ref="M502">IFERROR(_xlfn.XLOOKUP(C502&amp;A502, RYOE!A:A&amp;RYOE!F:F, RYOE!D:D), "N/A")</f>
        <v>N/A</v>
      </c>
      <c r="N502" t="str" cm="1">
        <f t="array" ref="N502">IFERROR(_xlfn.XLOOKUP(C502&amp;A502, RYOE!A:A&amp;RYOE!F:F, RYOE!E:E), "N/A")</f>
        <v>N/A</v>
      </c>
    </row>
    <row r="503" spans="1:14" ht="15" customHeight="1" x14ac:dyDescent="0.45">
      <c r="A503" s="8">
        <v>2023</v>
      </c>
      <c r="B503" s="6" t="s">
        <v>366</v>
      </c>
      <c r="C503" s="2" t="str">
        <f t="shared" si="14"/>
        <v>SaRodorick Thompson Jr.</v>
      </c>
      <c r="D503" s="2" t="str">
        <f t="shared" si="15"/>
        <v>SEA</v>
      </c>
      <c r="E503" s="2">
        <v>0</v>
      </c>
      <c r="F503" s="2">
        <v>0</v>
      </c>
      <c r="G503" s="2">
        <v>0</v>
      </c>
      <c r="H503" s="2">
        <v>0</v>
      </c>
      <c r="I503">
        <v>0</v>
      </c>
      <c r="J503">
        <v>1</v>
      </c>
      <c r="K503" cm="1">
        <f t="array" ref="K503">IFERROR(_xlfn.XLOOKUP(D503&amp;A503, RBWR!A:A&amp;RBWR!C:C, RBWR!B:B), "N/A")</f>
        <v>68</v>
      </c>
      <c r="L503" t="str" cm="1">
        <f t="array" ref="L503">IFERROR(_xlfn.XLOOKUP(C503&amp;A503, RYOE!A:A&amp;RYOE!F:F, RYOE!C:C), "N/A")</f>
        <v>N/A</v>
      </c>
      <c r="M503" t="str" cm="1">
        <f t="array" ref="M503">IFERROR(_xlfn.XLOOKUP(C503&amp;A503, RYOE!A:A&amp;RYOE!F:F, RYOE!D:D), "N/A")</f>
        <v>N/A</v>
      </c>
      <c r="N503" t="str" cm="1">
        <f t="array" ref="N503">IFERROR(_xlfn.XLOOKUP(C503&amp;A503, RYOE!A:A&amp;RYOE!F:F, RYOE!E:E), "N/A")</f>
        <v>N/A</v>
      </c>
    </row>
    <row r="504" spans="1:14" ht="15" customHeight="1" x14ac:dyDescent="0.45">
      <c r="A504" s="7">
        <v>2023</v>
      </c>
      <c r="B504" s="5" t="s">
        <v>179</v>
      </c>
      <c r="C504" s="1" t="str">
        <f t="shared" si="14"/>
        <v>Scott Matlock</v>
      </c>
      <c r="D504" s="1" t="str">
        <f t="shared" si="15"/>
        <v>LAC</v>
      </c>
      <c r="E504" s="1">
        <v>0</v>
      </c>
      <c r="F504" s="1">
        <v>0</v>
      </c>
      <c r="G504" s="1">
        <v>0</v>
      </c>
      <c r="H504" s="1">
        <v>0</v>
      </c>
      <c r="I504">
        <v>0</v>
      </c>
      <c r="J504">
        <v>12</v>
      </c>
      <c r="K504" cm="1">
        <f t="array" ref="K504">IFERROR(_xlfn.XLOOKUP(D504&amp;A504, RBWR!A:A&amp;RBWR!C:C, RBWR!B:B), "N/A")</f>
        <v>72</v>
      </c>
      <c r="L504" t="str" cm="1">
        <f t="array" ref="L504">IFERROR(_xlfn.XLOOKUP(C504&amp;A504, RYOE!A:A&amp;RYOE!F:F, RYOE!C:C), "N/A")</f>
        <v>N/A</v>
      </c>
      <c r="M504" t="str" cm="1">
        <f t="array" ref="M504">IFERROR(_xlfn.XLOOKUP(C504&amp;A504, RYOE!A:A&amp;RYOE!F:F, RYOE!D:D), "N/A")</f>
        <v>N/A</v>
      </c>
      <c r="N504" t="str" cm="1">
        <f t="array" ref="N504">IFERROR(_xlfn.XLOOKUP(C504&amp;A504, RYOE!A:A&amp;RYOE!F:F, RYOE!E:E), "N/A")</f>
        <v>N/A</v>
      </c>
    </row>
    <row r="505" spans="1:14" ht="15" customHeight="1" x14ac:dyDescent="0.45">
      <c r="A505" s="8">
        <v>2023</v>
      </c>
      <c r="B505" s="6" t="s">
        <v>367</v>
      </c>
      <c r="C505" s="2" t="str">
        <f t="shared" si="14"/>
        <v>Henry Pearson</v>
      </c>
      <c r="D505" s="2" t="str">
        <f t="shared" si="15"/>
        <v>GB</v>
      </c>
      <c r="E505" s="2">
        <v>0</v>
      </c>
      <c r="F505" s="2">
        <v>0</v>
      </c>
      <c r="G505" s="2">
        <v>0</v>
      </c>
      <c r="H505" s="2">
        <v>0</v>
      </c>
      <c r="I505">
        <v>0</v>
      </c>
      <c r="J505">
        <v>1</v>
      </c>
      <c r="K505" cm="1">
        <f t="array" ref="K505">IFERROR(_xlfn.XLOOKUP(D505&amp;A505, RBWR!A:A&amp;RBWR!C:C, RBWR!B:B), "N/A")</f>
        <v>70</v>
      </c>
      <c r="L505" t="str" cm="1">
        <f t="array" ref="L505">IFERROR(_xlfn.XLOOKUP(C505&amp;A505, RYOE!A:A&amp;RYOE!F:F, RYOE!C:C), "N/A")</f>
        <v>N/A</v>
      </c>
      <c r="M505" t="str" cm="1">
        <f t="array" ref="M505">IFERROR(_xlfn.XLOOKUP(C505&amp;A505, RYOE!A:A&amp;RYOE!F:F, RYOE!D:D), "N/A")</f>
        <v>N/A</v>
      </c>
      <c r="N505" t="str" cm="1">
        <f t="array" ref="N505">IFERROR(_xlfn.XLOOKUP(C505&amp;A505, RYOE!A:A&amp;RYOE!F:F, RYOE!E:E), "N/A")</f>
        <v>N/A</v>
      </c>
    </row>
    <row r="506" spans="1:14" ht="15" customHeight="1" x14ac:dyDescent="0.45">
      <c r="A506" s="7">
        <v>2023</v>
      </c>
      <c r="B506" s="5" t="s">
        <v>279</v>
      </c>
      <c r="C506" s="1" t="str">
        <f t="shared" si="14"/>
        <v>Ben VanSumeren</v>
      </c>
      <c r="D506" s="1" t="str">
        <f t="shared" si="15"/>
        <v>PHI</v>
      </c>
      <c r="E506" s="1">
        <v>0</v>
      </c>
      <c r="F506" s="1">
        <v>0</v>
      </c>
      <c r="G506" s="1">
        <v>0</v>
      </c>
      <c r="H506" s="1">
        <v>0</v>
      </c>
      <c r="I506">
        <v>0</v>
      </c>
      <c r="J506">
        <v>5</v>
      </c>
      <c r="K506" cm="1">
        <f t="array" ref="K506">IFERROR(_xlfn.XLOOKUP(D506&amp;A506, RBWR!A:A&amp;RBWR!C:C, RBWR!B:B), "N/A")</f>
        <v>73</v>
      </c>
      <c r="L506" t="str" cm="1">
        <f t="array" ref="L506">IFERROR(_xlfn.XLOOKUP(C506&amp;A506, RYOE!A:A&amp;RYOE!F:F, RYOE!C:C), "N/A")</f>
        <v>N/A</v>
      </c>
      <c r="M506" t="str" cm="1">
        <f t="array" ref="M506">IFERROR(_xlfn.XLOOKUP(C506&amp;A506, RYOE!A:A&amp;RYOE!F:F, RYOE!D:D), "N/A")</f>
        <v>N/A</v>
      </c>
      <c r="N506" t="str" cm="1">
        <f t="array" ref="N506">IFERROR(_xlfn.XLOOKUP(C506&amp;A506, RYOE!A:A&amp;RYOE!F:F, RYOE!E:E), "N/A")</f>
        <v>N/A</v>
      </c>
    </row>
    <row r="507" spans="1:14" ht="15" customHeight="1" x14ac:dyDescent="0.45">
      <c r="A507" s="8">
        <v>2023</v>
      </c>
      <c r="B507" s="6" t="s">
        <v>200</v>
      </c>
      <c r="C507" s="2" t="str">
        <f t="shared" si="14"/>
        <v>Brady Russell</v>
      </c>
      <c r="D507" s="2" t="str">
        <f t="shared" si="15"/>
        <v>SEA</v>
      </c>
      <c r="E507" s="2">
        <v>0</v>
      </c>
      <c r="F507" s="2">
        <v>0</v>
      </c>
      <c r="G507" s="2">
        <v>0</v>
      </c>
      <c r="H507" s="2">
        <v>0</v>
      </c>
      <c r="I507">
        <v>0</v>
      </c>
      <c r="J507">
        <v>10</v>
      </c>
      <c r="K507" cm="1">
        <f t="array" ref="K507">IFERROR(_xlfn.XLOOKUP(D507&amp;A507, RBWR!A:A&amp;RBWR!C:C, RBWR!B:B), "N/A")</f>
        <v>68</v>
      </c>
      <c r="L507" t="str" cm="1">
        <f t="array" ref="L507">IFERROR(_xlfn.XLOOKUP(C507&amp;A507, RYOE!A:A&amp;RYOE!F:F, RYOE!C:C), "N/A")</f>
        <v>N/A</v>
      </c>
      <c r="M507" t="str" cm="1">
        <f t="array" ref="M507">IFERROR(_xlfn.XLOOKUP(C507&amp;A507, RYOE!A:A&amp;RYOE!F:F, RYOE!D:D), "N/A")</f>
        <v>N/A</v>
      </c>
      <c r="N507" t="str" cm="1">
        <f t="array" ref="N507">IFERROR(_xlfn.XLOOKUP(C507&amp;A507, RYOE!A:A&amp;RYOE!F:F, RYOE!E:E), "N/A")</f>
        <v>N/A</v>
      </c>
    </row>
    <row r="508" spans="1:14" ht="15" customHeight="1" x14ac:dyDescent="0.45">
      <c r="A508" s="7">
        <v>2023</v>
      </c>
      <c r="B508" s="5" t="s">
        <v>240</v>
      </c>
      <c r="C508" s="1" t="str">
        <f t="shared" si="14"/>
        <v>Jordan Mims</v>
      </c>
      <c r="D508" s="1" t="str">
        <f t="shared" si="15"/>
        <v>NO</v>
      </c>
      <c r="E508" s="1">
        <v>0</v>
      </c>
      <c r="F508" s="1">
        <v>0</v>
      </c>
      <c r="G508" s="1">
        <v>0</v>
      </c>
      <c r="H508" s="1">
        <v>0</v>
      </c>
      <c r="I508">
        <v>0</v>
      </c>
      <c r="J508">
        <v>3</v>
      </c>
      <c r="K508" cm="1">
        <f t="array" ref="K508">IFERROR(_xlfn.XLOOKUP(D508&amp;A508, RBWR!A:A&amp;RBWR!C:C, RBWR!B:B), "N/A")</f>
        <v>72</v>
      </c>
      <c r="L508" t="str" cm="1">
        <f t="array" ref="L508">IFERROR(_xlfn.XLOOKUP(C508&amp;A508, RYOE!A:A&amp;RYOE!F:F, RYOE!C:C), "N/A")</f>
        <v>N/A</v>
      </c>
      <c r="M508" t="str" cm="1">
        <f t="array" ref="M508">IFERROR(_xlfn.XLOOKUP(C508&amp;A508, RYOE!A:A&amp;RYOE!F:F, RYOE!D:D), "N/A")</f>
        <v>N/A</v>
      </c>
      <c r="N508" t="str" cm="1">
        <f t="array" ref="N508">IFERROR(_xlfn.XLOOKUP(C508&amp;A508, RYOE!A:A&amp;RYOE!F:F, RYOE!E:E), "N/A")</f>
        <v>N/A</v>
      </c>
    </row>
    <row r="509" spans="1:14" ht="15" customHeight="1" x14ac:dyDescent="0.45">
      <c r="A509" s="8">
        <v>2023</v>
      </c>
      <c r="B509" s="6" t="s">
        <v>368</v>
      </c>
      <c r="C509" s="2" t="str">
        <f t="shared" si="14"/>
        <v>Jonathan Williams</v>
      </c>
      <c r="D509" s="2" t="str">
        <f t="shared" si="15"/>
        <v>WAS</v>
      </c>
      <c r="E509" s="2">
        <v>1</v>
      </c>
      <c r="F509" s="2">
        <v>-2</v>
      </c>
      <c r="G509" s="2">
        <v>-2</v>
      </c>
      <c r="H509" s="2">
        <v>0</v>
      </c>
      <c r="I509">
        <v>0</v>
      </c>
      <c r="J509">
        <v>1</v>
      </c>
      <c r="K509" cm="1">
        <f t="array" ref="K509">IFERROR(_xlfn.XLOOKUP(D509&amp;A509, RBWR!A:A&amp;RBWR!C:C, RBWR!B:B), "N/A")</f>
        <v>75</v>
      </c>
      <c r="L509" t="str" cm="1">
        <f t="array" ref="L509">IFERROR(_xlfn.XLOOKUP(C509&amp;A509, RYOE!A:A&amp;RYOE!F:F, RYOE!C:C), "N/A")</f>
        <v>N/A</v>
      </c>
      <c r="M509" t="str" cm="1">
        <f t="array" ref="M509">IFERROR(_xlfn.XLOOKUP(C509&amp;A509, RYOE!A:A&amp;RYOE!F:F, RYOE!D:D), "N/A")</f>
        <v>N/A</v>
      </c>
      <c r="N509" t="str" cm="1">
        <f t="array" ref="N509">IFERROR(_xlfn.XLOOKUP(C509&amp;A509, RYOE!A:A&amp;RYOE!F:F, RYOE!E:E), "N/A")</f>
        <v>N/A</v>
      </c>
    </row>
    <row r="510" spans="1:14" ht="15" customHeight="1" x14ac:dyDescent="0.45">
      <c r="A510" s="7">
        <v>2023</v>
      </c>
      <c r="B510" s="5" t="s">
        <v>369</v>
      </c>
      <c r="C510" s="1" t="str">
        <f t="shared" si="14"/>
        <v>Deon Jackson</v>
      </c>
      <c r="D510" s="1" t="str">
        <f t="shared" si="15"/>
        <v>NYG</v>
      </c>
      <c r="E510" s="1">
        <v>14</v>
      </c>
      <c r="F510" s="1">
        <v>16</v>
      </c>
      <c r="G510" s="1">
        <v>1.1000000000000001</v>
      </c>
      <c r="H510" s="1">
        <v>0</v>
      </c>
      <c r="I510">
        <v>2</v>
      </c>
      <c r="J510">
        <v>2</v>
      </c>
      <c r="K510" cm="1">
        <f t="array" ref="K510">IFERROR(_xlfn.XLOOKUP(D510&amp;A510, RBWR!A:A&amp;RBWR!C:C, RBWR!B:B), "N/A")</f>
        <v>71</v>
      </c>
      <c r="L510" t="str" cm="1">
        <f t="array" ref="L510">IFERROR(_xlfn.XLOOKUP(C510&amp;A510, RYOE!A:A&amp;RYOE!F:F, RYOE!C:C), "N/A")</f>
        <v>N/A</v>
      </c>
      <c r="M510" t="str" cm="1">
        <f t="array" ref="M510">IFERROR(_xlfn.XLOOKUP(C510&amp;A510, RYOE!A:A&amp;RYOE!F:F, RYOE!D:D), "N/A")</f>
        <v>N/A</v>
      </c>
      <c r="N510" t="str" cm="1">
        <f t="array" ref="N510">IFERROR(_xlfn.XLOOKUP(C510&amp;A510, RYOE!A:A&amp;RYOE!F:F, RYOE!E:E), "N/A")</f>
        <v>N/A</v>
      </c>
    </row>
    <row r="511" spans="1:14" ht="15" customHeight="1" x14ac:dyDescent="0.45">
      <c r="A511" s="8">
        <v>2022</v>
      </c>
      <c r="B511" s="6" t="s">
        <v>287</v>
      </c>
      <c r="C511" s="2" t="str">
        <f t="shared" si="14"/>
        <v>Josh Jacobs</v>
      </c>
      <c r="D511" s="2" t="str">
        <f t="shared" si="15"/>
        <v>LV</v>
      </c>
      <c r="E511" s="2">
        <v>340</v>
      </c>
      <c r="F511" s="2">
        <v>1653</v>
      </c>
      <c r="G511" s="2">
        <v>4.9000000000000004</v>
      </c>
      <c r="H511" s="2">
        <v>12</v>
      </c>
      <c r="I511">
        <v>1</v>
      </c>
      <c r="J511">
        <v>17</v>
      </c>
      <c r="K511" cm="1">
        <f t="array" ref="K511">IFERROR(_xlfn.XLOOKUP(D511&amp;A511, RBWR!A:A&amp;RBWR!C:C, RBWR!B:B), "N/A")</f>
        <v>72</v>
      </c>
      <c r="L511" cm="1">
        <f t="array" ref="L511">IFERROR(_xlfn.XLOOKUP(C511&amp;A511, RYOE!A:A&amp;RYOE!F:F, RYOE!C:C), "N/A")</f>
        <v>158</v>
      </c>
      <c r="M511" cm="1">
        <f t="array" ref="M511">IFERROR(_xlfn.XLOOKUP(C511&amp;A511, RYOE!A:A&amp;RYOE!F:F, RYOE!D:D), "N/A")</f>
        <v>0.47</v>
      </c>
      <c r="N511" cm="1">
        <f t="array" ref="N511">IFERROR(_xlfn.XLOOKUP(C511&amp;A511, RYOE!A:A&amp;RYOE!F:F, RYOE!E:E), "N/A")</f>
        <v>39.799999999999997</v>
      </c>
    </row>
    <row r="512" spans="1:14" ht="15" customHeight="1" x14ac:dyDescent="0.45">
      <c r="A512" s="7">
        <v>2022</v>
      </c>
      <c r="B512" s="5" t="s">
        <v>40</v>
      </c>
      <c r="C512" s="1" t="str">
        <f t="shared" si="14"/>
        <v>Christian McCaffrey</v>
      </c>
      <c r="D512" s="1" t="str">
        <f t="shared" si="15"/>
        <v>SF</v>
      </c>
      <c r="E512" s="1">
        <v>244</v>
      </c>
      <c r="F512" s="1">
        <v>1139</v>
      </c>
      <c r="G512" s="1">
        <v>4.7</v>
      </c>
      <c r="H512" s="1">
        <v>8</v>
      </c>
      <c r="I512">
        <v>0</v>
      </c>
      <c r="J512">
        <v>17</v>
      </c>
      <c r="K512" cm="1">
        <f t="array" ref="K512">IFERROR(_xlfn.XLOOKUP(D512&amp;A512, RBWR!A:A&amp;RBWR!C:C, RBWR!B:B), "N/A")</f>
        <v>71</v>
      </c>
      <c r="L512" cm="1">
        <f t="array" ref="L512">IFERROR(_xlfn.XLOOKUP(C512&amp;A512, RYOE!A:A&amp;RYOE!F:F, RYOE!C:C), "N/A")</f>
        <v>47</v>
      </c>
      <c r="M512" cm="1">
        <f t="array" ref="M512">IFERROR(_xlfn.XLOOKUP(C512&amp;A512, RYOE!A:A&amp;RYOE!F:F, RYOE!D:D), "N/A")</f>
        <v>0.2</v>
      </c>
      <c r="N512" cm="1">
        <f t="array" ref="N512">IFERROR(_xlfn.XLOOKUP(C512&amp;A512, RYOE!A:A&amp;RYOE!F:F, RYOE!E:E), "N/A")</f>
        <v>36.700000000000003</v>
      </c>
    </row>
    <row r="513" spans="1:14" ht="15" customHeight="1" x14ac:dyDescent="0.45">
      <c r="A513" s="8">
        <v>2022</v>
      </c>
      <c r="B513" s="6" t="s">
        <v>281</v>
      </c>
      <c r="C513" s="2" t="str">
        <f t="shared" si="14"/>
        <v>Derrick Henry</v>
      </c>
      <c r="D513" s="2" t="str">
        <f t="shared" si="15"/>
        <v>TEN</v>
      </c>
      <c r="E513" s="2">
        <v>349</v>
      </c>
      <c r="F513" s="2">
        <v>1538</v>
      </c>
      <c r="G513" s="2">
        <v>4.4000000000000004</v>
      </c>
      <c r="H513" s="2">
        <v>13</v>
      </c>
      <c r="I513">
        <v>3</v>
      </c>
      <c r="J513">
        <v>16</v>
      </c>
      <c r="K513" cm="1">
        <f t="array" ref="K513">IFERROR(_xlfn.XLOOKUP(D513&amp;A513, RBWR!A:A&amp;RBWR!C:C, RBWR!B:B), "N/A")</f>
        <v>71</v>
      </c>
      <c r="L513" cm="1">
        <f t="array" ref="L513">IFERROR(_xlfn.XLOOKUP(C513&amp;A513, RYOE!A:A&amp;RYOE!F:F, RYOE!C:C), "N/A")</f>
        <v>92</v>
      </c>
      <c r="M513" cm="1">
        <f t="array" ref="M513">IFERROR(_xlfn.XLOOKUP(C513&amp;A513, RYOE!A:A&amp;RYOE!F:F, RYOE!D:D), "N/A")</f>
        <v>0.27</v>
      </c>
      <c r="N513" cm="1">
        <f t="array" ref="N513">IFERROR(_xlfn.XLOOKUP(C513&amp;A513, RYOE!A:A&amp;RYOE!F:F, RYOE!E:E), "N/A")</f>
        <v>40.5</v>
      </c>
    </row>
    <row r="514" spans="1:14" ht="15" customHeight="1" x14ac:dyDescent="0.45">
      <c r="A514" s="7">
        <v>2022</v>
      </c>
      <c r="B514" s="5" t="s">
        <v>290</v>
      </c>
      <c r="C514" s="1" t="str">
        <f t="shared" ref="C514:C577" si="16">TRIM(LEFT(B514, LEN(B514) - LEN(TRIM(RIGHT(SUBSTITUTE(TRIM(B514)," ",REPT(" ",100)),100)))))</f>
        <v>Austin Ekeler</v>
      </c>
      <c r="D514" s="1" t="str">
        <f t="shared" ref="D514:D577" si="17">MID(B514, FIND("(", B514) + 1, FIND(")", B514) - FIND("(", B514) - 1)</f>
        <v>LAC</v>
      </c>
      <c r="E514" s="1">
        <v>204</v>
      </c>
      <c r="F514" s="1">
        <v>915</v>
      </c>
      <c r="G514" s="1">
        <v>4.5</v>
      </c>
      <c r="H514" s="1">
        <v>13</v>
      </c>
      <c r="I514">
        <v>3</v>
      </c>
      <c r="J514">
        <v>17</v>
      </c>
      <c r="K514" cm="1">
        <f t="array" ref="K514">IFERROR(_xlfn.XLOOKUP(D514&amp;A514, RBWR!A:A&amp;RBWR!C:C, RBWR!B:B), "N/A")</f>
        <v>70</v>
      </c>
      <c r="L514" cm="1">
        <f t="array" ref="L514">IFERROR(_xlfn.XLOOKUP(C514&amp;A514, RYOE!A:A&amp;RYOE!F:F, RYOE!C:C), "N/A")</f>
        <v>83</v>
      </c>
      <c r="M514" cm="1">
        <f t="array" ref="M514">IFERROR(_xlfn.XLOOKUP(C514&amp;A514, RYOE!A:A&amp;RYOE!F:F, RYOE!D:D), "N/A")</f>
        <v>0.42</v>
      </c>
      <c r="N514" cm="1">
        <f t="array" ref="N514">IFERROR(_xlfn.XLOOKUP(C514&amp;A514, RYOE!A:A&amp;RYOE!F:F, RYOE!E:E), "N/A")</f>
        <v>37.200000000000003</v>
      </c>
    </row>
    <row r="515" spans="1:14" ht="15" customHeight="1" x14ac:dyDescent="0.45">
      <c r="A515" s="8">
        <v>2022</v>
      </c>
      <c r="B515" s="6" t="s">
        <v>219</v>
      </c>
      <c r="C515" s="2" t="str">
        <f t="shared" si="16"/>
        <v>Nick Chubb</v>
      </c>
      <c r="D515" s="2" t="str">
        <f t="shared" si="17"/>
        <v>CLE</v>
      </c>
      <c r="E515" s="2">
        <v>302</v>
      </c>
      <c r="F515" s="2">
        <v>1525</v>
      </c>
      <c r="G515" s="2">
        <v>5</v>
      </c>
      <c r="H515" s="2">
        <v>12</v>
      </c>
      <c r="I515">
        <v>1</v>
      </c>
      <c r="J515">
        <v>17</v>
      </c>
      <c r="K515" cm="1">
        <f t="array" ref="K515">IFERROR(_xlfn.XLOOKUP(D515&amp;A515, RBWR!A:A&amp;RBWR!C:C, RBWR!B:B), "N/A")</f>
        <v>72</v>
      </c>
      <c r="L515" cm="1">
        <f t="array" ref="L515">IFERROR(_xlfn.XLOOKUP(C515&amp;A515, RYOE!A:A&amp;RYOE!F:F, RYOE!C:C), "N/A")</f>
        <v>284</v>
      </c>
      <c r="M515" cm="1">
        <f t="array" ref="M515">IFERROR(_xlfn.XLOOKUP(C515&amp;A515, RYOE!A:A&amp;RYOE!F:F, RYOE!D:D), "N/A")</f>
        <v>0.94</v>
      </c>
      <c r="N515" cm="1">
        <f t="array" ref="N515">IFERROR(_xlfn.XLOOKUP(C515&amp;A515, RYOE!A:A&amp;RYOE!F:F, RYOE!E:E), "N/A")</f>
        <v>41.9</v>
      </c>
    </row>
    <row r="516" spans="1:14" ht="15" customHeight="1" x14ac:dyDescent="0.45">
      <c r="A516" s="7">
        <v>2022</v>
      </c>
      <c r="B516" s="5" t="s">
        <v>283</v>
      </c>
      <c r="C516" s="1" t="str">
        <f t="shared" si="16"/>
        <v>Saquon Barkley</v>
      </c>
      <c r="D516" s="1" t="str">
        <f t="shared" si="17"/>
        <v>NYG</v>
      </c>
      <c r="E516" s="1">
        <v>295</v>
      </c>
      <c r="F516" s="1">
        <v>1312</v>
      </c>
      <c r="G516" s="1">
        <v>4.4000000000000004</v>
      </c>
      <c r="H516" s="1">
        <v>10</v>
      </c>
      <c r="I516">
        <v>0</v>
      </c>
      <c r="J516">
        <v>16</v>
      </c>
      <c r="K516" cm="1">
        <f t="array" ref="K516">IFERROR(_xlfn.XLOOKUP(D516&amp;A516, RBWR!A:A&amp;RBWR!C:C, RBWR!B:B), "N/A")</f>
        <v>70</v>
      </c>
      <c r="L516" cm="1">
        <f t="array" ref="L516">IFERROR(_xlfn.XLOOKUP(C516&amp;A516, RYOE!A:A&amp;RYOE!F:F, RYOE!C:C), "N/A")</f>
        <v>115</v>
      </c>
      <c r="M516" cm="1">
        <f t="array" ref="M516">IFERROR(_xlfn.XLOOKUP(C516&amp;A516, RYOE!A:A&amp;RYOE!F:F, RYOE!D:D), "N/A")</f>
        <v>0.4</v>
      </c>
      <c r="N516" cm="1">
        <f t="array" ref="N516">IFERROR(_xlfn.XLOOKUP(C516&amp;A516, RYOE!A:A&amp;RYOE!F:F, RYOE!E:E), "N/A")</f>
        <v>33.799999999999997</v>
      </c>
    </row>
    <row r="517" spans="1:14" ht="15" customHeight="1" x14ac:dyDescent="0.45">
      <c r="A517" s="8">
        <v>2022</v>
      </c>
      <c r="B517" s="6" t="s">
        <v>370</v>
      </c>
      <c r="C517" s="2" t="str">
        <f t="shared" si="16"/>
        <v>Jamaal Williams</v>
      </c>
      <c r="D517" s="2" t="str">
        <f t="shared" si="17"/>
        <v>DET</v>
      </c>
      <c r="E517" s="2">
        <v>262</v>
      </c>
      <c r="F517" s="2">
        <v>1066</v>
      </c>
      <c r="G517" s="2">
        <v>4.0999999999999996</v>
      </c>
      <c r="H517" s="2">
        <v>17</v>
      </c>
      <c r="I517">
        <v>2</v>
      </c>
      <c r="J517">
        <v>17</v>
      </c>
      <c r="K517" cm="1">
        <f t="array" ref="K517">IFERROR(_xlfn.XLOOKUP(D517&amp;A517, RBWR!A:A&amp;RBWR!C:C, RBWR!B:B), "N/A")</f>
        <v>72</v>
      </c>
      <c r="L517" cm="1">
        <f t="array" ref="L517">IFERROR(_xlfn.XLOOKUP(C517&amp;A517, RYOE!A:A&amp;RYOE!F:F, RYOE!C:C), "N/A")</f>
        <v>-11</v>
      </c>
      <c r="M517" cm="1">
        <f t="array" ref="M517">IFERROR(_xlfn.XLOOKUP(C517&amp;A517, RYOE!A:A&amp;RYOE!F:F, RYOE!D:D), "N/A")</f>
        <v>-0.04</v>
      </c>
      <c r="N517" cm="1">
        <f t="array" ref="N517">IFERROR(_xlfn.XLOOKUP(C517&amp;A517, RYOE!A:A&amp;RYOE!F:F, RYOE!E:E), "N/A")</f>
        <v>34.799999999999997</v>
      </c>
    </row>
    <row r="518" spans="1:14" ht="15" customHeight="1" x14ac:dyDescent="0.45">
      <c r="A518" s="7">
        <v>2022</v>
      </c>
      <c r="B518" s="5" t="s">
        <v>285</v>
      </c>
      <c r="C518" s="1" t="str">
        <f t="shared" si="16"/>
        <v>Tony Pollard</v>
      </c>
      <c r="D518" s="1" t="str">
        <f t="shared" si="17"/>
        <v>DAL</v>
      </c>
      <c r="E518" s="1">
        <v>193</v>
      </c>
      <c r="F518" s="1">
        <v>1007</v>
      </c>
      <c r="G518" s="1">
        <v>5.2</v>
      </c>
      <c r="H518" s="1">
        <v>9</v>
      </c>
      <c r="I518">
        <v>0</v>
      </c>
      <c r="J518">
        <v>16</v>
      </c>
      <c r="K518" cm="1">
        <f t="array" ref="K518">IFERROR(_xlfn.XLOOKUP(D518&amp;A518, RBWR!A:A&amp;RBWR!C:C, RBWR!B:B), "N/A")</f>
        <v>73</v>
      </c>
      <c r="L518" cm="1">
        <f t="array" ref="L518">IFERROR(_xlfn.XLOOKUP(C518&amp;A518, RYOE!A:A&amp;RYOE!F:F, RYOE!C:C), "N/A")</f>
        <v>226</v>
      </c>
      <c r="M518" cm="1">
        <f t="array" ref="M518">IFERROR(_xlfn.XLOOKUP(C518&amp;A518, RYOE!A:A&amp;RYOE!F:F, RYOE!D:D), "N/A")</f>
        <v>1.17</v>
      </c>
      <c r="N518" cm="1">
        <f t="array" ref="N518">IFERROR(_xlfn.XLOOKUP(C518&amp;A518, RYOE!A:A&amp;RYOE!F:F, RYOE!E:E), "N/A")</f>
        <v>40.9</v>
      </c>
    </row>
    <row r="519" spans="1:14" ht="15" customHeight="1" x14ac:dyDescent="0.45">
      <c r="A519" s="8">
        <v>2022</v>
      </c>
      <c r="B519" s="6" t="s">
        <v>371</v>
      </c>
      <c r="C519" s="2" t="str">
        <f t="shared" si="16"/>
        <v>Dalvin Cook</v>
      </c>
      <c r="D519" s="2" t="str">
        <f t="shared" si="17"/>
        <v>MIN</v>
      </c>
      <c r="E519" s="2">
        <v>264</v>
      </c>
      <c r="F519" s="2">
        <v>1173</v>
      </c>
      <c r="G519" s="2">
        <v>4.4000000000000004</v>
      </c>
      <c r="H519" s="2">
        <v>8</v>
      </c>
      <c r="I519">
        <v>4</v>
      </c>
      <c r="J519">
        <v>17</v>
      </c>
      <c r="K519" cm="1">
        <f t="array" ref="K519">IFERROR(_xlfn.XLOOKUP(D519&amp;A519, RBWR!A:A&amp;RBWR!C:C, RBWR!B:B), "N/A")</f>
        <v>71</v>
      </c>
      <c r="L519" cm="1">
        <f t="array" ref="L519">IFERROR(_xlfn.XLOOKUP(C519&amp;A519, RYOE!A:A&amp;RYOE!F:F, RYOE!C:C), "N/A")</f>
        <v>-21</v>
      </c>
      <c r="M519" cm="1">
        <f t="array" ref="M519">IFERROR(_xlfn.XLOOKUP(C519&amp;A519, RYOE!A:A&amp;RYOE!F:F, RYOE!D:D), "N/A")</f>
        <v>-0.08</v>
      </c>
      <c r="N519" cm="1">
        <f t="array" ref="N519">IFERROR(_xlfn.XLOOKUP(C519&amp;A519, RYOE!A:A&amp;RYOE!F:F, RYOE!E:E), "N/A")</f>
        <v>32.200000000000003</v>
      </c>
    </row>
    <row r="520" spans="1:14" ht="15" customHeight="1" x14ac:dyDescent="0.45">
      <c r="A520" s="7">
        <v>2022</v>
      </c>
      <c r="B520" s="5" t="s">
        <v>372</v>
      </c>
      <c r="C520" s="1" t="str">
        <f t="shared" si="16"/>
        <v>Miles Sanders</v>
      </c>
      <c r="D520" s="1" t="str">
        <f t="shared" si="17"/>
        <v>PHI</v>
      </c>
      <c r="E520" s="1">
        <v>259</v>
      </c>
      <c r="F520" s="1">
        <v>1269</v>
      </c>
      <c r="G520" s="1">
        <v>4.9000000000000004</v>
      </c>
      <c r="H520" s="1">
        <v>11</v>
      </c>
      <c r="I520">
        <v>2</v>
      </c>
      <c r="J520">
        <v>17</v>
      </c>
      <c r="K520" cm="1">
        <f t="array" ref="K520">IFERROR(_xlfn.XLOOKUP(D520&amp;A520, RBWR!A:A&amp;RBWR!C:C, RBWR!B:B), "N/A")</f>
        <v>75</v>
      </c>
      <c r="L520" cm="1">
        <f t="array" ref="L520">IFERROR(_xlfn.XLOOKUP(C520&amp;A520, RYOE!A:A&amp;RYOE!F:F, RYOE!C:C), "N/A")</f>
        <v>94</v>
      </c>
      <c r="M520" cm="1">
        <f t="array" ref="M520">IFERROR(_xlfn.XLOOKUP(C520&amp;A520, RYOE!A:A&amp;RYOE!F:F, RYOE!D:D), "N/A")</f>
        <v>0.37</v>
      </c>
      <c r="N520" cm="1">
        <f t="array" ref="N520">IFERROR(_xlfn.XLOOKUP(C520&amp;A520, RYOE!A:A&amp;RYOE!F:F, RYOE!E:E), "N/A")</f>
        <v>42.8</v>
      </c>
    </row>
    <row r="521" spans="1:14" ht="15" customHeight="1" x14ac:dyDescent="0.45">
      <c r="A521" s="8">
        <v>2022</v>
      </c>
      <c r="B521" s="6" t="s">
        <v>292</v>
      </c>
      <c r="C521" s="2" t="str">
        <f t="shared" si="16"/>
        <v>Aaron Jones Sr.</v>
      </c>
      <c r="D521" s="2" t="str">
        <f t="shared" si="17"/>
        <v>GB</v>
      </c>
      <c r="E521" s="2">
        <v>213</v>
      </c>
      <c r="F521" s="2">
        <v>1121</v>
      </c>
      <c r="G521" s="2">
        <v>5.3</v>
      </c>
      <c r="H521" s="2">
        <v>2</v>
      </c>
      <c r="I521">
        <v>3</v>
      </c>
      <c r="J521">
        <v>17</v>
      </c>
      <c r="K521" cm="1">
        <f t="array" ref="K521">IFERROR(_xlfn.XLOOKUP(D521&amp;A521, RBWR!A:A&amp;RBWR!C:C, RBWR!B:B), "N/A")</f>
        <v>72</v>
      </c>
      <c r="L521" cm="1">
        <f t="array" ref="L521">IFERROR(_xlfn.XLOOKUP(C521&amp;A521, RYOE!A:A&amp;RYOE!F:F, RYOE!C:C), "N/A")</f>
        <v>88</v>
      </c>
      <c r="M521" cm="1">
        <f t="array" ref="M521">IFERROR(_xlfn.XLOOKUP(C521&amp;A521, RYOE!A:A&amp;RYOE!F:F, RYOE!D:D), "N/A")</f>
        <v>0.43</v>
      </c>
      <c r="N521" cm="1">
        <f t="array" ref="N521">IFERROR(_xlfn.XLOOKUP(C521&amp;A521, RYOE!A:A&amp;RYOE!F:F, RYOE!E:E), "N/A")</f>
        <v>42.4</v>
      </c>
    </row>
    <row r="522" spans="1:14" ht="15" customHeight="1" x14ac:dyDescent="0.45">
      <c r="A522" s="7">
        <v>2022</v>
      </c>
      <c r="B522" s="5" t="s">
        <v>207</v>
      </c>
      <c r="C522" s="1" t="str">
        <f t="shared" si="16"/>
        <v>Najee Harris</v>
      </c>
      <c r="D522" s="1" t="str">
        <f t="shared" si="17"/>
        <v>PIT</v>
      </c>
      <c r="E522" s="1">
        <v>272</v>
      </c>
      <c r="F522" s="1">
        <v>1034</v>
      </c>
      <c r="G522" s="1">
        <v>3.8</v>
      </c>
      <c r="H522" s="1">
        <v>7</v>
      </c>
      <c r="I522">
        <v>2</v>
      </c>
      <c r="J522">
        <v>17</v>
      </c>
      <c r="K522" cm="1">
        <f t="array" ref="K522">IFERROR(_xlfn.XLOOKUP(D522&amp;A522, RBWR!A:A&amp;RBWR!C:C, RBWR!B:B), "N/A")</f>
        <v>72</v>
      </c>
      <c r="L522" cm="1">
        <f t="array" ref="L522">IFERROR(_xlfn.XLOOKUP(C522&amp;A522, RYOE!A:A&amp;RYOE!F:F, RYOE!C:C), "N/A")</f>
        <v>-116</v>
      </c>
      <c r="M522" cm="1">
        <f t="array" ref="M522">IFERROR(_xlfn.XLOOKUP(C522&amp;A522, RYOE!A:A&amp;RYOE!F:F, RYOE!D:D), "N/A")</f>
        <v>-0.43</v>
      </c>
      <c r="N522" cm="1">
        <f t="array" ref="N522">IFERROR(_xlfn.XLOOKUP(C522&amp;A522, RYOE!A:A&amp;RYOE!F:F, RYOE!E:E), "N/A")</f>
        <v>38</v>
      </c>
    </row>
    <row r="523" spans="1:14" ht="15" customHeight="1" x14ac:dyDescent="0.45">
      <c r="A523" s="8">
        <v>2022</v>
      </c>
      <c r="B523" s="6" t="s">
        <v>282</v>
      </c>
      <c r="C523" s="2" t="str">
        <f t="shared" si="16"/>
        <v>Joe Mixon</v>
      </c>
      <c r="D523" s="2" t="str">
        <f t="shared" si="17"/>
        <v>CIN</v>
      </c>
      <c r="E523" s="2">
        <v>212</v>
      </c>
      <c r="F523" s="2">
        <v>826</v>
      </c>
      <c r="G523" s="2">
        <v>3.9</v>
      </c>
      <c r="H523" s="2">
        <v>7</v>
      </c>
      <c r="I523">
        <v>0</v>
      </c>
      <c r="J523">
        <v>15</v>
      </c>
      <c r="K523" cm="1">
        <f t="array" ref="K523">IFERROR(_xlfn.XLOOKUP(D523&amp;A523, RBWR!A:A&amp;RBWR!C:C, RBWR!B:B), "N/A")</f>
        <v>72</v>
      </c>
      <c r="L523" cm="1">
        <f t="array" ref="L523">IFERROR(_xlfn.XLOOKUP(C523&amp;A523, RYOE!A:A&amp;RYOE!F:F, RYOE!C:C), "N/A")</f>
        <v>43</v>
      </c>
      <c r="M523" cm="1">
        <f t="array" ref="M523">IFERROR(_xlfn.XLOOKUP(C523&amp;A523, RYOE!A:A&amp;RYOE!F:F, RYOE!D:D), "N/A")</f>
        <v>0.21</v>
      </c>
      <c r="N523" cm="1">
        <f t="array" ref="N523">IFERROR(_xlfn.XLOOKUP(C523&amp;A523, RYOE!A:A&amp;RYOE!F:F, RYOE!E:E), "N/A")</f>
        <v>41.7</v>
      </c>
    </row>
    <row r="524" spans="1:14" ht="15" customHeight="1" x14ac:dyDescent="0.45">
      <c r="A524" s="7">
        <v>2022</v>
      </c>
      <c r="B524" s="5" t="s">
        <v>66</v>
      </c>
      <c r="C524" s="1" t="str">
        <f t="shared" si="16"/>
        <v>Rhamondre Stevenson</v>
      </c>
      <c r="D524" s="1" t="str">
        <f t="shared" si="17"/>
        <v>NE</v>
      </c>
      <c r="E524" s="1">
        <v>210</v>
      </c>
      <c r="F524" s="1">
        <v>1040</v>
      </c>
      <c r="G524" s="1">
        <v>5</v>
      </c>
      <c r="H524" s="1">
        <v>5</v>
      </c>
      <c r="I524">
        <v>1</v>
      </c>
      <c r="J524">
        <v>17</v>
      </c>
      <c r="K524" cm="1">
        <f t="array" ref="K524">IFERROR(_xlfn.XLOOKUP(D524&amp;A524, RBWR!A:A&amp;RBWR!C:C, RBWR!B:B), "N/A")</f>
        <v>68</v>
      </c>
      <c r="L524" cm="1">
        <f t="array" ref="L524">IFERROR(_xlfn.XLOOKUP(C524&amp;A524, RYOE!A:A&amp;RYOE!F:F, RYOE!C:C), "N/A")</f>
        <v>118</v>
      </c>
      <c r="M524" cm="1">
        <f t="array" ref="M524">IFERROR(_xlfn.XLOOKUP(C524&amp;A524, RYOE!A:A&amp;RYOE!F:F, RYOE!D:D), "N/A")</f>
        <v>0.57999999999999996</v>
      </c>
      <c r="N524" cm="1">
        <f t="array" ref="N524">IFERROR(_xlfn.XLOOKUP(C524&amp;A524, RYOE!A:A&amp;RYOE!F:F, RYOE!E:E), "N/A")</f>
        <v>37.299999999999997</v>
      </c>
    </row>
    <row r="525" spans="1:14" ht="15" customHeight="1" x14ac:dyDescent="0.45">
      <c r="A525" s="8">
        <v>2022</v>
      </c>
      <c r="B525" s="6" t="s">
        <v>48</v>
      </c>
      <c r="C525" s="2" t="str">
        <f t="shared" si="16"/>
        <v>Kenneth Walker III</v>
      </c>
      <c r="D525" s="2" t="str">
        <f t="shared" si="17"/>
        <v>SEA</v>
      </c>
      <c r="E525" s="2">
        <v>228</v>
      </c>
      <c r="F525" s="2">
        <v>1050</v>
      </c>
      <c r="G525" s="2">
        <v>4.5999999999999996</v>
      </c>
      <c r="H525" s="2">
        <v>9</v>
      </c>
      <c r="I525">
        <v>0</v>
      </c>
      <c r="J525">
        <v>15</v>
      </c>
      <c r="K525" cm="1">
        <f t="array" ref="K525">IFERROR(_xlfn.XLOOKUP(D525&amp;A525, RBWR!A:A&amp;RBWR!C:C, RBWR!B:B), "N/A")</f>
        <v>71</v>
      </c>
      <c r="L525" cm="1">
        <f t="array" ref="L525">IFERROR(_xlfn.XLOOKUP(C525&amp;A525, RYOE!A:A&amp;RYOE!F:F, RYOE!C:C), "N/A")</f>
        <v>96</v>
      </c>
      <c r="M525" cm="1">
        <f t="array" ref="M525">IFERROR(_xlfn.XLOOKUP(C525&amp;A525, RYOE!A:A&amp;RYOE!F:F, RYOE!D:D), "N/A")</f>
        <v>0.43</v>
      </c>
      <c r="N525" cm="1">
        <f t="array" ref="N525">IFERROR(_xlfn.XLOOKUP(C525&amp;A525, RYOE!A:A&amp;RYOE!F:F, RYOE!E:E), "N/A")</f>
        <v>34.700000000000003</v>
      </c>
    </row>
    <row r="526" spans="1:14" ht="15" customHeight="1" x14ac:dyDescent="0.45">
      <c r="A526" s="7">
        <v>2022</v>
      </c>
      <c r="B526" s="5" t="s">
        <v>43</v>
      </c>
      <c r="C526" s="1" t="str">
        <f t="shared" si="16"/>
        <v>Travis Etienne Jr.</v>
      </c>
      <c r="D526" s="1" t="str">
        <f t="shared" si="17"/>
        <v>JAC</v>
      </c>
      <c r="E526" s="1">
        <v>220</v>
      </c>
      <c r="F526" s="1">
        <v>1125</v>
      </c>
      <c r="G526" s="1">
        <v>5.0999999999999996</v>
      </c>
      <c r="H526" s="1">
        <v>5</v>
      </c>
      <c r="I526">
        <v>2</v>
      </c>
      <c r="J526">
        <v>17</v>
      </c>
      <c r="K526" cm="1">
        <f t="array" ref="K526">IFERROR(_xlfn.XLOOKUP(D526&amp;A526, RBWR!A:A&amp;RBWR!C:C, RBWR!B:B), "N/A")</f>
        <v>70</v>
      </c>
      <c r="L526" cm="1">
        <f t="array" ref="L526">IFERROR(_xlfn.XLOOKUP(C526&amp;A526, RYOE!A:A&amp;RYOE!F:F, RYOE!C:C), "N/A")</f>
        <v>231</v>
      </c>
      <c r="M526" cm="1">
        <f t="array" ref="M526">IFERROR(_xlfn.XLOOKUP(C526&amp;A526, RYOE!A:A&amp;RYOE!F:F, RYOE!D:D), "N/A")</f>
        <v>1.06</v>
      </c>
      <c r="N526" cm="1">
        <f t="array" ref="N526">IFERROR(_xlfn.XLOOKUP(C526&amp;A526, RYOE!A:A&amp;RYOE!F:F, RYOE!E:E), "N/A")</f>
        <v>47</v>
      </c>
    </row>
    <row r="527" spans="1:14" ht="15" customHeight="1" x14ac:dyDescent="0.45">
      <c r="A527" s="8">
        <v>2022</v>
      </c>
      <c r="B527" s="6" t="s">
        <v>224</v>
      </c>
      <c r="C527" s="2" t="str">
        <f t="shared" si="16"/>
        <v>Ezekiel Elliott</v>
      </c>
      <c r="D527" s="2" t="str">
        <f t="shared" si="17"/>
        <v>DAL</v>
      </c>
      <c r="E527" s="2">
        <v>231</v>
      </c>
      <c r="F527" s="2">
        <v>876</v>
      </c>
      <c r="G527" s="2">
        <v>3.8</v>
      </c>
      <c r="H527" s="2">
        <v>12</v>
      </c>
      <c r="I527">
        <v>0</v>
      </c>
      <c r="J527">
        <v>15</v>
      </c>
      <c r="K527" cm="1">
        <f t="array" ref="K527">IFERROR(_xlfn.XLOOKUP(D527&amp;A527, RBWR!A:A&amp;RBWR!C:C, RBWR!B:B), "N/A")</f>
        <v>73</v>
      </c>
      <c r="L527" cm="1">
        <f t="array" ref="L527">IFERROR(_xlfn.XLOOKUP(C527&amp;A527, RYOE!A:A&amp;RYOE!F:F, RYOE!C:C), "N/A")</f>
        <v>-77</v>
      </c>
      <c r="M527" cm="1">
        <f t="array" ref="M527">IFERROR(_xlfn.XLOOKUP(C527&amp;A527, RYOE!A:A&amp;RYOE!F:F, RYOE!D:D), "N/A")</f>
        <v>-0.34</v>
      </c>
      <c r="N527" cm="1">
        <f t="array" ref="N527">IFERROR(_xlfn.XLOOKUP(C527&amp;A527, RYOE!A:A&amp;RYOE!F:F, RYOE!E:E), "N/A")</f>
        <v>38.6</v>
      </c>
    </row>
    <row r="528" spans="1:14" ht="15" customHeight="1" x14ac:dyDescent="0.45">
      <c r="A528" s="7">
        <v>2022</v>
      </c>
      <c r="B528" s="5" t="s">
        <v>78</v>
      </c>
      <c r="C528" s="1" t="str">
        <f t="shared" si="16"/>
        <v>Alvin Kamara</v>
      </c>
      <c r="D528" s="1" t="str">
        <f t="shared" si="17"/>
        <v>NO</v>
      </c>
      <c r="E528" s="1">
        <v>223</v>
      </c>
      <c r="F528" s="1">
        <v>897</v>
      </c>
      <c r="G528" s="1">
        <v>4</v>
      </c>
      <c r="H528" s="1">
        <v>2</v>
      </c>
      <c r="I528">
        <v>4</v>
      </c>
      <c r="J528">
        <v>15</v>
      </c>
      <c r="K528" cm="1">
        <f t="array" ref="K528">IFERROR(_xlfn.XLOOKUP(D528&amp;A528, RBWR!A:A&amp;RBWR!C:C, RBWR!B:B), "N/A")</f>
        <v>71</v>
      </c>
      <c r="L528" cm="1">
        <f t="array" ref="L528">IFERROR(_xlfn.XLOOKUP(C528&amp;A528, RYOE!A:A&amp;RYOE!F:F, RYOE!C:C), "N/A")</f>
        <v>-38</v>
      </c>
      <c r="M528" cm="1">
        <f t="array" ref="M528">IFERROR(_xlfn.XLOOKUP(C528&amp;A528, RYOE!A:A&amp;RYOE!F:F, RYOE!D:D), "N/A")</f>
        <v>-0.17</v>
      </c>
      <c r="N528" cm="1">
        <f t="array" ref="N528">IFERROR(_xlfn.XLOOKUP(C528&amp;A528, RYOE!A:A&amp;RYOE!F:F, RYOE!E:E), "N/A")</f>
        <v>39</v>
      </c>
    </row>
    <row r="529" spans="1:14" ht="15" customHeight="1" x14ac:dyDescent="0.45">
      <c r="A529" s="8">
        <v>2022</v>
      </c>
      <c r="B529" s="6" t="s">
        <v>115</v>
      </c>
      <c r="C529" s="2" t="str">
        <f t="shared" si="16"/>
        <v>James Conner</v>
      </c>
      <c r="D529" s="2" t="str">
        <f t="shared" si="17"/>
        <v>ARI</v>
      </c>
      <c r="E529" s="2">
        <v>183</v>
      </c>
      <c r="F529" s="2">
        <v>782</v>
      </c>
      <c r="G529" s="2">
        <v>4.3</v>
      </c>
      <c r="H529" s="2">
        <v>7</v>
      </c>
      <c r="I529">
        <v>1</v>
      </c>
      <c r="J529">
        <v>13</v>
      </c>
      <c r="K529" cm="1">
        <f t="array" ref="K529">IFERROR(_xlfn.XLOOKUP(D529&amp;A529, RBWR!A:A&amp;RBWR!C:C, RBWR!B:B), "N/A")</f>
        <v>73</v>
      </c>
      <c r="L529" cm="1">
        <f t="array" ref="L529">IFERROR(_xlfn.XLOOKUP(C529&amp;A529, RYOE!A:A&amp;RYOE!F:F, RYOE!C:C), "N/A")</f>
        <v>-1</v>
      </c>
      <c r="M529" cm="1">
        <f t="array" ref="M529">IFERROR(_xlfn.XLOOKUP(C529&amp;A529, RYOE!A:A&amp;RYOE!F:F, RYOE!D:D), "N/A")</f>
        <v>0</v>
      </c>
      <c r="N529" cm="1">
        <f t="array" ref="N529">IFERROR(_xlfn.XLOOKUP(C529&amp;A529, RYOE!A:A&amp;RYOE!F:F, RYOE!E:E), "N/A")</f>
        <v>41.2</v>
      </c>
    </row>
    <row r="530" spans="1:14" ht="15" customHeight="1" x14ac:dyDescent="0.45">
      <c r="A530" s="7">
        <v>2022</v>
      </c>
      <c r="B530" s="5" t="s">
        <v>373</v>
      </c>
      <c r="C530" s="1" t="str">
        <f t="shared" si="16"/>
        <v>Leonard Fournette</v>
      </c>
      <c r="D530" s="1" t="str">
        <f t="shared" si="17"/>
        <v>TB</v>
      </c>
      <c r="E530" s="1">
        <v>189</v>
      </c>
      <c r="F530" s="1">
        <v>668</v>
      </c>
      <c r="G530" s="1">
        <v>3.5</v>
      </c>
      <c r="H530" s="1">
        <v>3</v>
      </c>
      <c r="I530">
        <v>0</v>
      </c>
      <c r="J530">
        <v>16</v>
      </c>
      <c r="K530" cm="1">
        <f t="array" ref="K530">IFERROR(_xlfn.XLOOKUP(D530&amp;A530, RBWR!A:A&amp;RBWR!C:C, RBWR!B:B), "N/A")</f>
        <v>69</v>
      </c>
      <c r="L530" cm="1">
        <f t="array" ref="L530">IFERROR(_xlfn.XLOOKUP(C530&amp;A530, RYOE!A:A&amp;RYOE!F:F, RYOE!C:C), "N/A")</f>
        <v>-135</v>
      </c>
      <c r="M530" cm="1">
        <f t="array" ref="M530">IFERROR(_xlfn.XLOOKUP(C530&amp;A530, RYOE!A:A&amp;RYOE!F:F, RYOE!D:D), "N/A")</f>
        <v>-0.72</v>
      </c>
      <c r="N530" cm="1">
        <f t="array" ref="N530">IFERROR(_xlfn.XLOOKUP(C530&amp;A530, RYOE!A:A&amp;RYOE!F:F, RYOE!E:E), "N/A")</f>
        <v>35.299999999999997</v>
      </c>
    </row>
    <row r="531" spans="1:14" ht="15" customHeight="1" x14ac:dyDescent="0.45">
      <c r="A531" s="8">
        <v>2022</v>
      </c>
      <c r="B531" s="6" t="s">
        <v>374</v>
      </c>
      <c r="C531" s="2" t="str">
        <f t="shared" si="16"/>
        <v>David Montgomery</v>
      </c>
      <c r="D531" s="2" t="str">
        <f t="shared" si="17"/>
        <v>CHI</v>
      </c>
      <c r="E531" s="2">
        <v>201</v>
      </c>
      <c r="F531" s="2">
        <v>801</v>
      </c>
      <c r="G531" s="2">
        <v>4</v>
      </c>
      <c r="H531" s="2">
        <v>5</v>
      </c>
      <c r="I531">
        <v>2</v>
      </c>
      <c r="J531">
        <v>16</v>
      </c>
      <c r="K531" cm="1">
        <f t="array" ref="K531">IFERROR(_xlfn.XLOOKUP(D531&amp;A531, RBWR!A:A&amp;RBWR!C:C, RBWR!B:B), "N/A")</f>
        <v>74</v>
      </c>
      <c r="L531" cm="1">
        <f t="array" ref="L531">IFERROR(_xlfn.XLOOKUP(C531&amp;A531, RYOE!A:A&amp;RYOE!F:F, RYOE!C:C), "N/A")</f>
        <v>-53</v>
      </c>
      <c r="M531" cm="1">
        <f t="array" ref="M531">IFERROR(_xlfn.XLOOKUP(C531&amp;A531, RYOE!A:A&amp;RYOE!F:F, RYOE!D:D), "N/A")</f>
        <v>-0.26</v>
      </c>
      <c r="N531" cm="1">
        <f t="array" ref="N531">IFERROR(_xlfn.XLOOKUP(C531&amp;A531, RYOE!A:A&amp;RYOE!F:F, RYOE!E:E), "N/A")</f>
        <v>37.700000000000003</v>
      </c>
    </row>
    <row r="532" spans="1:14" ht="15" customHeight="1" x14ac:dyDescent="0.45">
      <c r="A532" s="7">
        <v>2022</v>
      </c>
      <c r="B532" s="5" t="s">
        <v>73</v>
      </c>
      <c r="C532" s="1" t="str">
        <f t="shared" si="16"/>
        <v>Tyler Allgeier</v>
      </c>
      <c r="D532" s="1" t="str">
        <f t="shared" si="17"/>
        <v>ATL</v>
      </c>
      <c r="E532" s="1">
        <v>210</v>
      </c>
      <c r="F532" s="1">
        <v>1035</v>
      </c>
      <c r="G532" s="1">
        <v>4.9000000000000004</v>
      </c>
      <c r="H532" s="1">
        <v>3</v>
      </c>
      <c r="I532">
        <v>0</v>
      </c>
      <c r="J532">
        <v>16</v>
      </c>
      <c r="K532" cm="1">
        <f t="array" ref="K532">IFERROR(_xlfn.XLOOKUP(D532&amp;A532, RBWR!A:A&amp;RBWR!C:C, RBWR!B:B), "N/A")</f>
        <v>71</v>
      </c>
      <c r="L532" cm="1">
        <f t="array" ref="L532">IFERROR(_xlfn.XLOOKUP(C532&amp;A532, RYOE!A:A&amp;RYOE!F:F, RYOE!C:C), "N/A")</f>
        <v>134</v>
      </c>
      <c r="M532" cm="1">
        <f t="array" ref="M532">IFERROR(_xlfn.XLOOKUP(C532&amp;A532, RYOE!A:A&amp;RYOE!F:F, RYOE!D:D), "N/A")</f>
        <v>0.65</v>
      </c>
      <c r="N532" cm="1">
        <f t="array" ref="N532">IFERROR(_xlfn.XLOOKUP(C532&amp;A532, RYOE!A:A&amp;RYOE!F:F, RYOE!E:E), "N/A")</f>
        <v>44.7</v>
      </c>
    </row>
    <row r="533" spans="1:14" ht="15" customHeight="1" x14ac:dyDescent="0.45">
      <c r="A533" s="8">
        <v>2022</v>
      </c>
      <c r="B533" s="6" t="s">
        <v>375</v>
      </c>
      <c r="C533" s="2" t="str">
        <f t="shared" si="16"/>
        <v>D'Andre Swift</v>
      </c>
      <c r="D533" s="2" t="str">
        <f t="shared" si="17"/>
        <v>DET</v>
      </c>
      <c r="E533" s="2">
        <v>99</v>
      </c>
      <c r="F533" s="2">
        <v>542</v>
      </c>
      <c r="G533" s="2">
        <v>5.5</v>
      </c>
      <c r="H533" s="2">
        <v>5</v>
      </c>
      <c r="I533">
        <v>0</v>
      </c>
      <c r="J533">
        <v>14</v>
      </c>
      <c r="K533" cm="1">
        <f t="array" ref="K533">IFERROR(_xlfn.XLOOKUP(D533&amp;A533, RBWR!A:A&amp;RBWR!C:C, RBWR!B:B), "N/A")</f>
        <v>72</v>
      </c>
      <c r="L533" cm="1">
        <f t="array" ref="L533">IFERROR(_xlfn.XLOOKUP(C533&amp;A533, RYOE!A:A&amp;RYOE!F:F, RYOE!C:C), "N/A")</f>
        <v>37</v>
      </c>
      <c r="M533" cm="1">
        <f t="array" ref="M533">IFERROR(_xlfn.XLOOKUP(C533&amp;A533, RYOE!A:A&amp;RYOE!F:F, RYOE!D:D), "N/A")</f>
        <v>0.38</v>
      </c>
      <c r="N533" cm="1">
        <f t="array" ref="N533">IFERROR(_xlfn.XLOOKUP(C533&amp;A533, RYOE!A:A&amp;RYOE!F:F, RYOE!E:E), "N/A")</f>
        <v>37.5</v>
      </c>
    </row>
    <row r="534" spans="1:14" ht="15" customHeight="1" x14ac:dyDescent="0.45">
      <c r="A534" s="7">
        <v>2022</v>
      </c>
      <c r="B534" s="5" t="s">
        <v>301</v>
      </c>
      <c r="C534" s="1" t="str">
        <f t="shared" si="16"/>
        <v>Jerick McKinnon</v>
      </c>
      <c r="D534" s="1" t="str">
        <f t="shared" si="17"/>
        <v>KC</v>
      </c>
      <c r="E534" s="1">
        <v>72</v>
      </c>
      <c r="F534" s="1">
        <v>291</v>
      </c>
      <c r="G534" s="1">
        <v>4</v>
      </c>
      <c r="H534" s="1">
        <v>1</v>
      </c>
      <c r="I534">
        <v>1</v>
      </c>
      <c r="J534">
        <v>17</v>
      </c>
      <c r="K534" cm="1">
        <f t="array" ref="K534">IFERROR(_xlfn.XLOOKUP(D534&amp;A534, RBWR!A:A&amp;RBWR!C:C, RBWR!B:B), "N/A")</f>
        <v>74</v>
      </c>
      <c r="L534" t="str" cm="1">
        <f t="array" ref="L534">IFERROR(_xlfn.XLOOKUP(C534&amp;A534, RYOE!A:A&amp;RYOE!F:F, RYOE!C:C), "N/A")</f>
        <v>N/A</v>
      </c>
      <c r="M534" t="str" cm="1">
        <f t="array" ref="M534">IFERROR(_xlfn.XLOOKUP(C534&amp;A534, RYOE!A:A&amp;RYOE!F:F, RYOE!D:D), "N/A")</f>
        <v>N/A</v>
      </c>
      <c r="N534" t="str" cm="1">
        <f t="array" ref="N534">IFERROR(_xlfn.XLOOKUP(C534&amp;A534, RYOE!A:A&amp;RYOE!F:F, RYOE!E:E), "N/A")</f>
        <v>N/A</v>
      </c>
    </row>
    <row r="535" spans="1:14" ht="15" customHeight="1" x14ac:dyDescent="0.45">
      <c r="A535" s="8">
        <v>2022</v>
      </c>
      <c r="B535" s="6" t="s">
        <v>376</v>
      </c>
      <c r="C535" s="2" t="str">
        <f t="shared" si="16"/>
        <v>Devin Singletary</v>
      </c>
      <c r="D535" s="2" t="str">
        <f t="shared" si="17"/>
        <v>BUF</v>
      </c>
      <c r="E535" s="2">
        <v>178</v>
      </c>
      <c r="F535" s="2">
        <v>822</v>
      </c>
      <c r="G535" s="2">
        <v>4.5999999999999996</v>
      </c>
      <c r="H535" s="2">
        <v>5</v>
      </c>
      <c r="I535">
        <v>3</v>
      </c>
      <c r="J535">
        <v>17</v>
      </c>
      <c r="K535" cm="1">
        <f t="array" ref="K535">IFERROR(_xlfn.XLOOKUP(D535&amp;A535, RBWR!A:A&amp;RBWR!C:C, RBWR!B:B), "N/A")</f>
        <v>71</v>
      </c>
      <c r="L535" cm="1">
        <f t="array" ref="L535">IFERROR(_xlfn.XLOOKUP(C535&amp;A535, RYOE!A:A&amp;RYOE!F:F, RYOE!C:C), "N/A")</f>
        <v>28</v>
      </c>
      <c r="M535" cm="1">
        <f t="array" ref="M535">IFERROR(_xlfn.XLOOKUP(C535&amp;A535, RYOE!A:A&amp;RYOE!F:F, RYOE!D:D), "N/A")</f>
        <v>0.16</v>
      </c>
      <c r="N535" cm="1">
        <f t="array" ref="N535">IFERROR(_xlfn.XLOOKUP(C535&amp;A535, RYOE!A:A&amp;RYOE!F:F, RYOE!E:E), "N/A")</f>
        <v>38</v>
      </c>
    </row>
    <row r="536" spans="1:14" ht="15" customHeight="1" x14ac:dyDescent="0.45">
      <c r="A536" s="7">
        <v>2022</v>
      </c>
      <c r="B536" s="5" t="s">
        <v>295</v>
      </c>
      <c r="C536" s="1" t="str">
        <f t="shared" si="16"/>
        <v>AJ Dillon</v>
      </c>
      <c r="D536" s="1" t="str">
        <f t="shared" si="17"/>
        <v>GB</v>
      </c>
      <c r="E536" s="1">
        <v>186</v>
      </c>
      <c r="F536" s="1">
        <v>770</v>
      </c>
      <c r="G536" s="1">
        <v>4.0999999999999996</v>
      </c>
      <c r="H536" s="1">
        <v>7</v>
      </c>
      <c r="I536">
        <v>0</v>
      </c>
      <c r="J536">
        <v>17</v>
      </c>
      <c r="K536" cm="1">
        <f t="array" ref="K536">IFERROR(_xlfn.XLOOKUP(D536&amp;A536, RBWR!A:A&amp;RBWR!C:C, RBWR!B:B), "N/A")</f>
        <v>72</v>
      </c>
      <c r="L536" cm="1">
        <f t="array" ref="L536">IFERROR(_xlfn.XLOOKUP(C536&amp;A536, RYOE!A:A&amp;RYOE!F:F, RYOE!C:C), "N/A")</f>
        <v>-35</v>
      </c>
      <c r="M536" cm="1">
        <f t="array" ref="M536">IFERROR(_xlfn.XLOOKUP(C536&amp;A536, RYOE!A:A&amp;RYOE!F:F, RYOE!D:D), "N/A")</f>
        <v>-0.19</v>
      </c>
      <c r="N536" cm="1">
        <f t="array" ref="N536">IFERROR(_xlfn.XLOOKUP(C536&amp;A536, RYOE!A:A&amp;RYOE!F:F, RYOE!E:E), "N/A")</f>
        <v>40.200000000000003</v>
      </c>
    </row>
    <row r="537" spans="1:14" ht="15" customHeight="1" x14ac:dyDescent="0.45">
      <c r="A537" s="8">
        <v>2022</v>
      </c>
      <c r="B537" s="6" t="s">
        <v>222</v>
      </c>
      <c r="C537" s="2" t="str">
        <f t="shared" si="16"/>
        <v>Raheem Mostert</v>
      </c>
      <c r="D537" s="2" t="str">
        <f t="shared" si="17"/>
        <v>MIA</v>
      </c>
      <c r="E537" s="2">
        <v>181</v>
      </c>
      <c r="F537" s="2">
        <v>891</v>
      </c>
      <c r="G537" s="2">
        <v>4.9000000000000004</v>
      </c>
      <c r="H537" s="2">
        <v>3</v>
      </c>
      <c r="I537">
        <v>1</v>
      </c>
      <c r="J537">
        <v>16</v>
      </c>
      <c r="K537" cm="1">
        <f t="array" ref="K537">IFERROR(_xlfn.XLOOKUP(D537&amp;A537, RBWR!A:A&amp;RBWR!C:C, RBWR!B:B), "N/A")</f>
        <v>71</v>
      </c>
      <c r="L537" cm="1">
        <f t="array" ref="L537">IFERROR(_xlfn.XLOOKUP(C537&amp;A537, RYOE!A:A&amp;RYOE!F:F, RYOE!C:C), "N/A")</f>
        <v>-18</v>
      </c>
      <c r="M537" cm="1">
        <f t="array" ref="M537">IFERROR(_xlfn.XLOOKUP(C537&amp;A537, RYOE!A:A&amp;RYOE!F:F, RYOE!D:D), "N/A")</f>
        <v>-0.1</v>
      </c>
      <c r="N537" cm="1">
        <f t="array" ref="N537">IFERROR(_xlfn.XLOOKUP(C537&amp;A537, RYOE!A:A&amp;RYOE!F:F, RYOE!E:E), "N/A")</f>
        <v>34.4</v>
      </c>
    </row>
    <row r="538" spans="1:14" ht="15" customHeight="1" x14ac:dyDescent="0.45">
      <c r="A538" s="7">
        <v>2022</v>
      </c>
      <c r="B538" s="5" t="s">
        <v>189</v>
      </c>
      <c r="C538" s="1" t="str">
        <f t="shared" si="16"/>
        <v>Jeff Wilson Jr.</v>
      </c>
      <c r="D538" s="1" t="str">
        <f t="shared" si="17"/>
        <v>MIA</v>
      </c>
      <c r="E538" s="1">
        <v>176</v>
      </c>
      <c r="F538" s="1">
        <v>860</v>
      </c>
      <c r="G538" s="1">
        <v>4.9000000000000004</v>
      </c>
      <c r="H538" s="1">
        <v>5</v>
      </c>
      <c r="I538">
        <v>2</v>
      </c>
      <c r="J538">
        <v>16</v>
      </c>
      <c r="K538" cm="1">
        <f t="array" ref="K538">IFERROR(_xlfn.XLOOKUP(D538&amp;A538, RBWR!A:A&amp;RBWR!C:C, RBWR!B:B), "N/A")</f>
        <v>71</v>
      </c>
      <c r="L538" cm="1">
        <f t="array" ref="L538">IFERROR(_xlfn.XLOOKUP(C538&amp;A538, RYOE!A:A&amp;RYOE!F:F, RYOE!C:C), "N/A")</f>
        <v>69</v>
      </c>
      <c r="M538" cm="1">
        <f t="array" ref="M538">IFERROR(_xlfn.XLOOKUP(C538&amp;A538, RYOE!A:A&amp;RYOE!F:F, RYOE!D:D), "N/A")</f>
        <v>0.4</v>
      </c>
      <c r="N538" cm="1">
        <f t="array" ref="N538">IFERROR(_xlfn.XLOOKUP(C538&amp;A538, RYOE!A:A&amp;RYOE!F:F, RYOE!E:E), "N/A")</f>
        <v>34.9</v>
      </c>
    </row>
    <row r="539" spans="1:14" ht="15" customHeight="1" x14ac:dyDescent="0.45">
      <c r="A539" s="8">
        <v>2022</v>
      </c>
      <c r="B539" s="6" t="s">
        <v>226</v>
      </c>
      <c r="C539" s="2" t="str">
        <f t="shared" si="16"/>
        <v>Dameon Pierce</v>
      </c>
      <c r="D539" s="2" t="str">
        <f t="shared" si="17"/>
        <v>HOU</v>
      </c>
      <c r="E539" s="2">
        <v>220</v>
      </c>
      <c r="F539" s="2">
        <v>939</v>
      </c>
      <c r="G539" s="2">
        <v>4.3</v>
      </c>
      <c r="H539" s="2">
        <v>4</v>
      </c>
      <c r="I539">
        <v>2</v>
      </c>
      <c r="J539">
        <v>13</v>
      </c>
      <c r="K539" cm="1">
        <f t="array" ref="K539">IFERROR(_xlfn.XLOOKUP(D539&amp;A539, RBWR!A:A&amp;RBWR!C:C, RBWR!B:B), "N/A")</f>
        <v>70</v>
      </c>
      <c r="L539" cm="1">
        <f t="array" ref="L539">IFERROR(_xlfn.XLOOKUP(C539&amp;A539, RYOE!A:A&amp;RYOE!F:F, RYOE!C:C), "N/A")</f>
        <v>45</v>
      </c>
      <c r="M539" cm="1">
        <f t="array" ref="M539">IFERROR(_xlfn.XLOOKUP(C539&amp;A539, RYOE!A:A&amp;RYOE!F:F, RYOE!D:D), "N/A")</f>
        <v>0.2</v>
      </c>
      <c r="N539" cm="1">
        <f t="array" ref="N539">IFERROR(_xlfn.XLOOKUP(C539&amp;A539, RYOE!A:A&amp;RYOE!F:F, RYOE!E:E), "N/A")</f>
        <v>37.299999999999997</v>
      </c>
    </row>
    <row r="540" spans="1:14" ht="15" customHeight="1" x14ac:dyDescent="0.45">
      <c r="A540" s="7">
        <v>2022</v>
      </c>
      <c r="B540" s="5" t="s">
        <v>307</v>
      </c>
      <c r="C540" s="1" t="str">
        <f t="shared" si="16"/>
        <v>Cordarrelle Patterson</v>
      </c>
      <c r="D540" s="1" t="str">
        <f t="shared" si="17"/>
        <v>ATL</v>
      </c>
      <c r="E540" s="1">
        <v>144</v>
      </c>
      <c r="F540" s="1">
        <v>695</v>
      </c>
      <c r="G540" s="1">
        <v>4.8</v>
      </c>
      <c r="H540" s="1">
        <v>8</v>
      </c>
      <c r="I540">
        <v>1</v>
      </c>
      <c r="J540">
        <v>13</v>
      </c>
      <c r="K540" cm="1">
        <f t="array" ref="K540">IFERROR(_xlfn.XLOOKUP(D540&amp;A540, RBWR!A:A&amp;RBWR!C:C, RBWR!B:B), "N/A")</f>
        <v>71</v>
      </c>
      <c r="L540" cm="1">
        <f t="array" ref="L540">IFERROR(_xlfn.XLOOKUP(C540&amp;A540, RYOE!A:A&amp;RYOE!F:F, RYOE!C:C), "N/A")</f>
        <v>87</v>
      </c>
      <c r="M540" cm="1">
        <f t="array" ref="M540">IFERROR(_xlfn.XLOOKUP(C540&amp;A540, RYOE!A:A&amp;RYOE!F:F, RYOE!D:D), "N/A")</f>
        <v>0.62</v>
      </c>
      <c r="N540" cm="1">
        <f t="array" ref="N540">IFERROR(_xlfn.XLOOKUP(C540&amp;A540, RYOE!A:A&amp;RYOE!F:F, RYOE!E:E), "N/A")</f>
        <v>45.3</v>
      </c>
    </row>
    <row r="541" spans="1:14" ht="15" customHeight="1" x14ac:dyDescent="0.45">
      <c r="A541" s="8">
        <v>2022</v>
      </c>
      <c r="B541" s="6" t="s">
        <v>377</v>
      </c>
      <c r="C541" s="2" t="str">
        <f t="shared" si="16"/>
        <v>Cam Akers</v>
      </c>
      <c r="D541" s="2" t="str">
        <f t="shared" si="17"/>
        <v>LAR</v>
      </c>
      <c r="E541" s="2">
        <v>188</v>
      </c>
      <c r="F541" s="2">
        <v>786</v>
      </c>
      <c r="G541" s="2">
        <v>4.2</v>
      </c>
      <c r="H541" s="2">
        <v>7</v>
      </c>
      <c r="I541">
        <v>2</v>
      </c>
      <c r="J541">
        <v>15</v>
      </c>
      <c r="K541" cm="1">
        <f t="array" ref="K541">IFERROR(_xlfn.XLOOKUP(D541&amp;A541, RBWR!A:A&amp;RBWR!C:C, RBWR!B:B), "N/A")</f>
        <v>72</v>
      </c>
      <c r="L541" cm="1">
        <f t="array" ref="L541">IFERROR(_xlfn.XLOOKUP(C541&amp;A541, RYOE!A:A&amp;RYOE!F:F, RYOE!C:C), "N/A")</f>
        <v>-14</v>
      </c>
      <c r="M541" cm="1">
        <f t="array" ref="M541">IFERROR(_xlfn.XLOOKUP(C541&amp;A541, RYOE!A:A&amp;RYOE!F:F, RYOE!D:D), "N/A")</f>
        <v>-0.08</v>
      </c>
      <c r="N541" cm="1">
        <f t="array" ref="N541">IFERROR(_xlfn.XLOOKUP(C541&amp;A541, RYOE!A:A&amp;RYOE!F:F, RYOE!E:E), "N/A")</f>
        <v>35.799999999999997</v>
      </c>
    </row>
    <row r="542" spans="1:14" ht="15" customHeight="1" x14ac:dyDescent="0.45">
      <c r="A542" s="7">
        <v>2022</v>
      </c>
      <c r="B542" s="5" t="s">
        <v>378</v>
      </c>
      <c r="C542" s="1" t="str">
        <f t="shared" si="16"/>
        <v>Latavius Murray</v>
      </c>
      <c r="D542" s="1" t="str">
        <f t="shared" si="17"/>
        <v>DEN</v>
      </c>
      <c r="E542" s="1">
        <v>171</v>
      </c>
      <c r="F542" s="1">
        <v>760</v>
      </c>
      <c r="G542" s="1">
        <v>4.4000000000000004</v>
      </c>
      <c r="H542" s="1">
        <v>6</v>
      </c>
      <c r="I542">
        <v>0</v>
      </c>
      <c r="J542">
        <v>14</v>
      </c>
      <c r="K542" cm="1">
        <f t="array" ref="K542">IFERROR(_xlfn.XLOOKUP(D542&amp;A542, RBWR!A:A&amp;RBWR!C:C, RBWR!B:B), "N/A")</f>
        <v>74</v>
      </c>
      <c r="L542" cm="1">
        <f t="array" ref="L542">IFERROR(_xlfn.XLOOKUP(C542&amp;A542, RYOE!A:A&amp;RYOE!F:F, RYOE!C:C), "N/A")</f>
        <v>-11</v>
      </c>
      <c r="M542" cm="1">
        <f t="array" ref="M542">IFERROR(_xlfn.XLOOKUP(C542&amp;A542, RYOE!A:A&amp;RYOE!F:F, RYOE!D:D), "N/A")</f>
        <v>-7.0000000000000007E-2</v>
      </c>
      <c r="N542" cm="1">
        <f t="array" ref="N542">IFERROR(_xlfn.XLOOKUP(C542&amp;A542, RYOE!A:A&amp;RYOE!F:F, RYOE!E:E), "N/A")</f>
        <v>35.1</v>
      </c>
    </row>
    <row r="543" spans="1:14" ht="15" customHeight="1" x14ac:dyDescent="0.45">
      <c r="A543" s="8">
        <v>2022</v>
      </c>
      <c r="B543" s="6" t="s">
        <v>379</v>
      </c>
      <c r="C543" s="2" t="str">
        <f t="shared" si="16"/>
        <v>D'Onta Foreman</v>
      </c>
      <c r="D543" s="2" t="str">
        <f t="shared" si="17"/>
        <v>CAR</v>
      </c>
      <c r="E543" s="2">
        <v>203</v>
      </c>
      <c r="F543" s="2">
        <v>914</v>
      </c>
      <c r="G543" s="2">
        <v>4.5</v>
      </c>
      <c r="H543" s="2">
        <v>5</v>
      </c>
      <c r="I543">
        <v>0</v>
      </c>
      <c r="J543">
        <v>16</v>
      </c>
      <c r="K543" cm="1">
        <f t="array" ref="K543">IFERROR(_xlfn.XLOOKUP(D543&amp;A543, RBWR!A:A&amp;RBWR!C:C, RBWR!B:B), "N/A")</f>
        <v>72</v>
      </c>
      <c r="L543" cm="1">
        <f t="array" ref="L543">IFERROR(_xlfn.XLOOKUP(C543&amp;A543, RYOE!A:A&amp;RYOE!F:F, RYOE!C:C), "N/A")</f>
        <v>122</v>
      </c>
      <c r="M543" cm="1">
        <f t="array" ref="M543">IFERROR(_xlfn.XLOOKUP(C543&amp;A543, RYOE!A:A&amp;RYOE!F:F, RYOE!D:D), "N/A")</f>
        <v>0.61</v>
      </c>
      <c r="N543" cm="1">
        <f t="array" ref="N543">IFERROR(_xlfn.XLOOKUP(C543&amp;A543, RYOE!A:A&amp;RYOE!F:F, RYOE!E:E), "N/A")</f>
        <v>47.5</v>
      </c>
    </row>
    <row r="544" spans="1:14" ht="15" customHeight="1" x14ac:dyDescent="0.45">
      <c r="A544" s="7">
        <v>2022</v>
      </c>
      <c r="B544" s="5" t="s">
        <v>79</v>
      </c>
      <c r="C544" s="1" t="str">
        <f t="shared" si="16"/>
        <v>Isiah Pacheco</v>
      </c>
      <c r="D544" s="1" t="str">
        <f t="shared" si="17"/>
        <v>KC</v>
      </c>
      <c r="E544" s="1">
        <v>170</v>
      </c>
      <c r="F544" s="1">
        <v>830</v>
      </c>
      <c r="G544" s="1">
        <v>4.9000000000000004</v>
      </c>
      <c r="H544" s="1">
        <v>5</v>
      </c>
      <c r="I544">
        <v>2</v>
      </c>
      <c r="J544">
        <v>17</v>
      </c>
      <c r="K544" cm="1">
        <f t="array" ref="K544">IFERROR(_xlfn.XLOOKUP(D544&amp;A544, RBWR!A:A&amp;RBWR!C:C, RBWR!B:B), "N/A")</f>
        <v>74</v>
      </c>
      <c r="L544" cm="1">
        <f t="array" ref="L544">IFERROR(_xlfn.XLOOKUP(C544&amp;A544, RYOE!A:A&amp;RYOE!F:F, RYOE!C:C), "N/A")</f>
        <v>72</v>
      </c>
      <c r="M544" cm="1">
        <f t="array" ref="M544">IFERROR(_xlfn.XLOOKUP(C544&amp;A544, RYOE!A:A&amp;RYOE!F:F, RYOE!D:D), "N/A")</f>
        <v>0.43</v>
      </c>
      <c r="N544" cm="1">
        <f t="array" ref="N544">IFERROR(_xlfn.XLOOKUP(C544&amp;A544, RYOE!A:A&amp;RYOE!F:F, RYOE!E:E), "N/A")</f>
        <v>41.1</v>
      </c>
    </row>
    <row r="545" spans="1:14" ht="15" customHeight="1" x14ac:dyDescent="0.45">
      <c r="A545" s="8">
        <v>2022</v>
      </c>
      <c r="B545" s="6" t="s">
        <v>298</v>
      </c>
      <c r="C545" s="2" t="str">
        <f t="shared" si="16"/>
        <v>Antonio Gibson</v>
      </c>
      <c r="D545" s="2" t="str">
        <f t="shared" si="17"/>
        <v>WAS</v>
      </c>
      <c r="E545" s="2">
        <v>149</v>
      </c>
      <c r="F545" s="2">
        <v>546</v>
      </c>
      <c r="G545" s="2">
        <v>3.7</v>
      </c>
      <c r="H545" s="2">
        <v>3</v>
      </c>
      <c r="I545">
        <v>0</v>
      </c>
      <c r="J545">
        <v>15</v>
      </c>
      <c r="K545" cm="1">
        <f t="array" ref="K545">IFERROR(_xlfn.XLOOKUP(D545&amp;A545, RBWR!A:A&amp;RBWR!C:C, RBWR!B:B), "N/A")</f>
        <v>71</v>
      </c>
      <c r="L545" cm="1">
        <f t="array" ref="L545">IFERROR(_xlfn.XLOOKUP(C545&amp;A545, RYOE!A:A&amp;RYOE!F:F, RYOE!C:C), "N/A")</f>
        <v>-28</v>
      </c>
      <c r="M545" cm="1">
        <f t="array" ref="M545">IFERROR(_xlfn.XLOOKUP(C545&amp;A545, RYOE!A:A&amp;RYOE!F:F, RYOE!D:D), "N/A")</f>
        <v>-0.19</v>
      </c>
      <c r="N545" cm="1">
        <f t="array" ref="N545">IFERROR(_xlfn.XLOOKUP(C545&amp;A545, RYOE!A:A&amp;RYOE!F:F, RYOE!E:E), "N/A")</f>
        <v>39.5</v>
      </c>
    </row>
    <row r="546" spans="1:14" ht="15" customHeight="1" x14ac:dyDescent="0.45">
      <c r="A546" s="7">
        <v>2022</v>
      </c>
      <c r="B546" s="5" t="s">
        <v>35</v>
      </c>
      <c r="C546" s="1" t="str">
        <f t="shared" si="16"/>
        <v>Jonathan Taylor</v>
      </c>
      <c r="D546" s="1" t="str">
        <f t="shared" si="17"/>
        <v>IND</v>
      </c>
      <c r="E546" s="1">
        <v>192</v>
      </c>
      <c r="F546" s="1">
        <v>861</v>
      </c>
      <c r="G546" s="1">
        <v>4.5</v>
      </c>
      <c r="H546" s="1">
        <v>4</v>
      </c>
      <c r="I546">
        <v>3</v>
      </c>
      <c r="J546">
        <v>12</v>
      </c>
      <c r="K546" cm="1">
        <f t="array" ref="K546">IFERROR(_xlfn.XLOOKUP(D546&amp;A546, RBWR!A:A&amp;RBWR!C:C, RBWR!B:B), "N/A")</f>
        <v>71</v>
      </c>
      <c r="L546" cm="1">
        <f t="array" ref="L546">IFERROR(_xlfn.XLOOKUP(C546&amp;A546, RYOE!A:A&amp;RYOE!F:F, RYOE!C:C), "N/A")</f>
        <v>126</v>
      </c>
      <c r="M546" cm="1">
        <f t="array" ref="M546">IFERROR(_xlfn.XLOOKUP(C546&amp;A546, RYOE!A:A&amp;RYOE!F:F, RYOE!D:D), "N/A")</f>
        <v>0.66</v>
      </c>
      <c r="N546" cm="1">
        <f t="array" ref="N546">IFERROR(_xlfn.XLOOKUP(C546&amp;A546, RYOE!A:A&amp;RYOE!F:F, RYOE!E:E), "N/A")</f>
        <v>42.6</v>
      </c>
    </row>
    <row r="547" spans="1:14" ht="15" customHeight="1" x14ac:dyDescent="0.45">
      <c r="A547" s="8">
        <v>2022</v>
      </c>
      <c r="B547" s="6" t="s">
        <v>296</v>
      </c>
      <c r="C547" s="2" t="str">
        <f t="shared" si="16"/>
        <v>Khalil Herbert</v>
      </c>
      <c r="D547" s="2" t="str">
        <f t="shared" si="17"/>
        <v>CHI</v>
      </c>
      <c r="E547" s="2">
        <v>129</v>
      </c>
      <c r="F547" s="2">
        <v>731</v>
      </c>
      <c r="G547" s="2">
        <v>5.7</v>
      </c>
      <c r="H547" s="2">
        <v>4</v>
      </c>
      <c r="I547">
        <v>0</v>
      </c>
      <c r="J547">
        <v>13</v>
      </c>
      <c r="K547" cm="1">
        <f t="array" ref="K547">IFERROR(_xlfn.XLOOKUP(D547&amp;A547, RBWR!A:A&amp;RBWR!C:C, RBWR!B:B), "N/A")</f>
        <v>74</v>
      </c>
      <c r="L547" cm="1">
        <f t="array" ref="L547">IFERROR(_xlfn.XLOOKUP(C547&amp;A547, RYOE!A:A&amp;RYOE!F:F, RYOE!C:C), "N/A")</f>
        <v>165</v>
      </c>
      <c r="M547" cm="1">
        <f t="array" ref="M547">IFERROR(_xlfn.XLOOKUP(C547&amp;A547, RYOE!A:A&amp;RYOE!F:F, RYOE!D:D), "N/A")</f>
        <v>1.29</v>
      </c>
      <c r="N547" cm="1">
        <f t="array" ref="N547">IFERROR(_xlfn.XLOOKUP(C547&amp;A547, RYOE!A:A&amp;RYOE!F:F, RYOE!E:E), "N/A")</f>
        <v>46.9</v>
      </c>
    </row>
    <row r="548" spans="1:14" ht="15" customHeight="1" x14ac:dyDescent="0.45">
      <c r="A548" s="7">
        <v>2022</v>
      </c>
      <c r="B548" s="5" t="s">
        <v>83</v>
      </c>
      <c r="C548" s="1" t="str">
        <f t="shared" si="16"/>
        <v>Samaje Perine</v>
      </c>
      <c r="D548" s="1" t="str">
        <f t="shared" si="17"/>
        <v>CIN</v>
      </c>
      <c r="E548" s="1">
        <v>95</v>
      </c>
      <c r="F548" s="1">
        <v>394</v>
      </c>
      <c r="G548" s="1">
        <v>4.0999999999999996</v>
      </c>
      <c r="H548" s="1">
        <v>2</v>
      </c>
      <c r="I548">
        <v>0</v>
      </c>
      <c r="J548">
        <v>16</v>
      </c>
      <c r="K548" cm="1">
        <f t="array" ref="K548">IFERROR(_xlfn.XLOOKUP(D548&amp;A548, RBWR!A:A&amp;RBWR!C:C, RBWR!B:B), "N/A")</f>
        <v>72</v>
      </c>
      <c r="L548" cm="1">
        <f t="array" ref="L548">IFERROR(_xlfn.XLOOKUP(C548&amp;A548, RYOE!A:A&amp;RYOE!F:F, RYOE!C:C), "N/A")</f>
        <v>-21</v>
      </c>
      <c r="M548" cm="1">
        <f t="array" ref="M548">IFERROR(_xlfn.XLOOKUP(C548&amp;A548, RYOE!A:A&amp;RYOE!F:F, RYOE!D:D), "N/A")</f>
        <v>-0.22</v>
      </c>
      <c r="N548" cm="1">
        <f t="array" ref="N548">IFERROR(_xlfn.XLOOKUP(C548&amp;A548, RYOE!A:A&amp;RYOE!F:F, RYOE!E:E), "N/A")</f>
        <v>43.6</v>
      </c>
    </row>
    <row r="549" spans="1:14" ht="15" customHeight="1" x14ac:dyDescent="0.45">
      <c r="A549" s="8">
        <v>2022</v>
      </c>
      <c r="B549" s="6" t="s">
        <v>210</v>
      </c>
      <c r="C549" s="2" t="str">
        <f t="shared" si="16"/>
        <v>Brian Robinson Jr.</v>
      </c>
      <c r="D549" s="2" t="str">
        <f t="shared" si="17"/>
        <v>WAS</v>
      </c>
      <c r="E549" s="2">
        <v>205</v>
      </c>
      <c r="F549" s="2">
        <v>797</v>
      </c>
      <c r="G549" s="2">
        <v>3.9</v>
      </c>
      <c r="H549" s="2">
        <v>2</v>
      </c>
      <c r="I549">
        <v>0</v>
      </c>
      <c r="J549">
        <v>12</v>
      </c>
      <c r="K549" cm="1">
        <f t="array" ref="K549">IFERROR(_xlfn.XLOOKUP(D549&amp;A549, RBWR!A:A&amp;RBWR!C:C, RBWR!B:B), "N/A")</f>
        <v>71</v>
      </c>
      <c r="L549" cm="1">
        <f t="array" ref="L549">IFERROR(_xlfn.XLOOKUP(C549&amp;A549, RYOE!A:A&amp;RYOE!F:F, RYOE!C:C), "N/A")</f>
        <v>13</v>
      </c>
      <c r="M549" cm="1">
        <f t="array" ref="M549">IFERROR(_xlfn.XLOOKUP(C549&amp;A549, RYOE!A:A&amp;RYOE!F:F, RYOE!D:D), "N/A")</f>
        <v>0.06</v>
      </c>
      <c r="N549" cm="1">
        <f t="array" ref="N549">IFERROR(_xlfn.XLOOKUP(C549&amp;A549, RYOE!A:A&amp;RYOE!F:F, RYOE!E:E), "N/A")</f>
        <v>41.5</v>
      </c>
    </row>
    <row r="550" spans="1:14" ht="15" customHeight="1" x14ac:dyDescent="0.45">
      <c r="A550" s="7">
        <v>2022</v>
      </c>
      <c r="B550" s="5" t="s">
        <v>47</v>
      </c>
      <c r="C550" s="1" t="str">
        <f t="shared" si="16"/>
        <v>Breece Hall</v>
      </c>
      <c r="D550" s="1" t="str">
        <f t="shared" si="17"/>
        <v>NYJ</v>
      </c>
      <c r="E550" s="1">
        <v>80</v>
      </c>
      <c r="F550" s="1">
        <v>463</v>
      </c>
      <c r="G550" s="1">
        <v>5.8</v>
      </c>
      <c r="H550" s="1">
        <v>4</v>
      </c>
      <c r="I550">
        <v>1</v>
      </c>
      <c r="J550">
        <v>7</v>
      </c>
      <c r="K550" cm="1">
        <f t="array" ref="K550">IFERROR(_xlfn.XLOOKUP(D550&amp;A550, RBWR!A:A&amp;RBWR!C:C, RBWR!B:B), "N/A")</f>
        <v>69</v>
      </c>
      <c r="L550" t="str" cm="1">
        <f t="array" ref="L550">IFERROR(_xlfn.XLOOKUP(C550&amp;A550, RYOE!A:A&amp;RYOE!F:F, RYOE!C:C), "N/A")</f>
        <v>N/A</v>
      </c>
      <c r="M550" t="str" cm="1">
        <f t="array" ref="M550">IFERROR(_xlfn.XLOOKUP(C550&amp;A550, RYOE!A:A&amp;RYOE!F:F, RYOE!D:D), "N/A")</f>
        <v>N/A</v>
      </c>
      <c r="N550" t="str" cm="1">
        <f t="array" ref="N550">IFERROR(_xlfn.XLOOKUP(C550&amp;A550, RYOE!A:A&amp;RYOE!F:F, RYOE!E:E), "N/A")</f>
        <v>N/A</v>
      </c>
    </row>
    <row r="551" spans="1:14" ht="15" customHeight="1" x14ac:dyDescent="0.45">
      <c r="A551" s="8">
        <v>2022</v>
      </c>
      <c r="B551" s="6" t="s">
        <v>293</v>
      </c>
      <c r="C551" s="2" t="str">
        <f t="shared" si="16"/>
        <v>Kareem Hunt</v>
      </c>
      <c r="D551" s="2" t="str">
        <f t="shared" si="17"/>
        <v>CLE</v>
      </c>
      <c r="E551" s="2">
        <v>123</v>
      </c>
      <c r="F551" s="2">
        <v>468</v>
      </c>
      <c r="G551" s="2">
        <v>3.8</v>
      </c>
      <c r="H551" s="2">
        <v>3</v>
      </c>
      <c r="I551">
        <v>0</v>
      </c>
      <c r="J551">
        <v>17</v>
      </c>
      <c r="K551" cm="1">
        <f t="array" ref="K551">IFERROR(_xlfn.XLOOKUP(D551&amp;A551, RBWR!A:A&amp;RBWR!C:C, RBWR!B:B), "N/A")</f>
        <v>72</v>
      </c>
      <c r="L551" cm="1">
        <f t="array" ref="L551">IFERROR(_xlfn.XLOOKUP(C551&amp;A551, RYOE!A:A&amp;RYOE!F:F, RYOE!C:C), "N/A")</f>
        <v>-10</v>
      </c>
      <c r="M551" cm="1">
        <f t="array" ref="M551">IFERROR(_xlfn.XLOOKUP(C551&amp;A551, RYOE!A:A&amp;RYOE!F:F, RYOE!D:D), "N/A")</f>
        <v>-0.08</v>
      </c>
      <c r="N551" cm="1">
        <f t="array" ref="N551">IFERROR(_xlfn.XLOOKUP(C551&amp;A551, RYOE!A:A&amp;RYOE!F:F, RYOE!E:E), "N/A")</f>
        <v>41</v>
      </c>
    </row>
    <row r="552" spans="1:14" ht="15" customHeight="1" x14ac:dyDescent="0.45">
      <c r="A552" s="7">
        <v>2022</v>
      </c>
      <c r="B552" s="5" t="s">
        <v>68</v>
      </c>
      <c r="C552" s="1" t="str">
        <f t="shared" si="16"/>
        <v>Rachaad White</v>
      </c>
      <c r="D552" s="1" t="str">
        <f t="shared" si="17"/>
        <v>TB</v>
      </c>
      <c r="E552" s="1">
        <v>129</v>
      </c>
      <c r="F552" s="1">
        <v>481</v>
      </c>
      <c r="G552" s="1">
        <v>3.7</v>
      </c>
      <c r="H552" s="1">
        <v>1</v>
      </c>
      <c r="I552">
        <v>3</v>
      </c>
      <c r="J552">
        <v>17</v>
      </c>
      <c r="K552" cm="1">
        <f t="array" ref="K552">IFERROR(_xlfn.XLOOKUP(D552&amp;A552, RBWR!A:A&amp;RBWR!C:C, RBWR!B:B), "N/A")</f>
        <v>69</v>
      </c>
      <c r="L552" cm="1">
        <f t="array" ref="L552">IFERROR(_xlfn.XLOOKUP(C552&amp;A552, RYOE!A:A&amp;RYOE!F:F, RYOE!C:C), "N/A")</f>
        <v>-30</v>
      </c>
      <c r="M552" cm="1">
        <f t="array" ref="M552">IFERROR(_xlfn.XLOOKUP(C552&amp;A552, RYOE!A:A&amp;RYOE!F:F, RYOE!D:D), "N/A")</f>
        <v>-0.23</v>
      </c>
      <c r="N552" cm="1">
        <f t="array" ref="N552">IFERROR(_xlfn.XLOOKUP(C552&amp;A552, RYOE!A:A&amp;RYOE!F:F, RYOE!E:E), "N/A")</f>
        <v>34.1</v>
      </c>
    </row>
    <row r="553" spans="1:14" ht="15" customHeight="1" x14ac:dyDescent="0.45">
      <c r="A553" s="8">
        <v>2022</v>
      </c>
      <c r="B553" s="6" t="s">
        <v>380</v>
      </c>
      <c r="C553" s="2" t="str">
        <f t="shared" si="16"/>
        <v>Kenyan Drake</v>
      </c>
      <c r="D553" s="2" t="str">
        <f t="shared" si="17"/>
        <v>BAL</v>
      </c>
      <c r="E553" s="2">
        <v>109</v>
      </c>
      <c r="F553" s="2">
        <v>482</v>
      </c>
      <c r="G553" s="2">
        <v>4.4000000000000004</v>
      </c>
      <c r="H553" s="2">
        <v>4</v>
      </c>
      <c r="I553">
        <v>0</v>
      </c>
      <c r="J553">
        <v>12</v>
      </c>
      <c r="K553" cm="1">
        <f t="array" ref="K553">IFERROR(_xlfn.XLOOKUP(D553&amp;A553, RBWR!A:A&amp;RBWR!C:C, RBWR!B:B), "N/A")</f>
        <v>77</v>
      </c>
      <c r="L553" cm="1">
        <f t="array" ref="L553">IFERROR(_xlfn.XLOOKUP(C553&amp;A553, RYOE!A:A&amp;RYOE!F:F, RYOE!C:C), "N/A")</f>
        <v>12</v>
      </c>
      <c r="M553" cm="1">
        <f t="array" ref="M553">IFERROR(_xlfn.XLOOKUP(C553&amp;A553, RYOE!A:A&amp;RYOE!F:F, RYOE!D:D), "N/A")</f>
        <v>0.11</v>
      </c>
      <c r="N553" cm="1">
        <f t="array" ref="N553">IFERROR(_xlfn.XLOOKUP(C553&amp;A553, RYOE!A:A&amp;RYOE!F:F, RYOE!E:E), "N/A")</f>
        <v>29.6</v>
      </c>
    </row>
    <row r="554" spans="1:14" ht="15" customHeight="1" x14ac:dyDescent="0.45">
      <c r="A554" s="7">
        <v>2022</v>
      </c>
      <c r="B554" s="5" t="s">
        <v>33</v>
      </c>
      <c r="C554" s="1" t="str">
        <f t="shared" si="16"/>
        <v>James Cook III</v>
      </c>
      <c r="D554" s="1" t="str">
        <f t="shared" si="17"/>
        <v>BUF</v>
      </c>
      <c r="E554" s="1">
        <v>91</v>
      </c>
      <c r="F554" s="1">
        <v>525</v>
      </c>
      <c r="G554" s="1">
        <v>5.8</v>
      </c>
      <c r="H554" s="1">
        <v>2</v>
      </c>
      <c r="I554">
        <v>1</v>
      </c>
      <c r="J554">
        <v>17</v>
      </c>
      <c r="K554" cm="1">
        <f t="array" ref="K554">IFERROR(_xlfn.XLOOKUP(D554&amp;A554, RBWR!A:A&amp;RBWR!C:C, RBWR!B:B), "N/A")</f>
        <v>71</v>
      </c>
      <c r="L554" t="str" cm="1">
        <f t="array" ref="L554">IFERROR(_xlfn.XLOOKUP(C554&amp;A554, RYOE!A:A&amp;RYOE!F:F, RYOE!C:C), "N/A")</f>
        <v>N/A</v>
      </c>
      <c r="M554" t="str" cm="1">
        <f t="array" ref="M554">IFERROR(_xlfn.XLOOKUP(C554&amp;A554, RYOE!A:A&amp;RYOE!F:F, RYOE!D:D), "N/A")</f>
        <v>N/A</v>
      </c>
      <c r="N554" t="str" cm="1">
        <f t="array" ref="N554">IFERROR(_xlfn.XLOOKUP(C554&amp;A554, RYOE!A:A&amp;RYOE!F:F, RYOE!E:E), "N/A")</f>
        <v>N/A</v>
      </c>
    </row>
    <row r="555" spans="1:14" ht="15" customHeight="1" x14ac:dyDescent="0.45">
      <c r="A555" s="8">
        <v>2022</v>
      </c>
      <c r="B555" s="6" t="s">
        <v>381</v>
      </c>
      <c r="C555" s="2" t="str">
        <f t="shared" si="16"/>
        <v>Michael Carter</v>
      </c>
      <c r="D555" s="2" t="str">
        <f t="shared" si="17"/>
        <v>NYJ</v>
      </c>
      <c r="E555" s="2">
        <v>114</v>
      </c>
      <c r="F555" s="2">
        <v>402</v>
      </c>
      <c r="G555" s="2">
        <v>3.5</v>
      </c>
      <c r="H555" s="2">
        <v>3</v>
      </c>
      <c r="I555">
        <v>1</v>
      </c>
      <c r="J555">
        <v>16</v>
      </c>
      <c r="K555" cm="1">
        <f t="array" ref="K555">IFERROR(_xlfn.XLOOKUP(D555&amp;A555, RBWR!A:A&amp;RBWR!C:C, RBWR!B:B), "N/A")</f>
        <v>69</v>
      </c>
      <c r="L555" cm="1">
        <f t="array" ref="L555">IFERROR(_xlfn.XLOOKUP(C555&amp;A555, RYOE!A:A&amp;RYOE!F:F, RYOE!C:C), "N/A")</f>
        <v>-64</v>
      </c>
      <c r="M555" cm="1">
        <f t="array" ref="M555">IFERROR(_xlfn.XLOOKUP(C555&amp;A555, RYOE!A:A&amp;RYOE!F:F, RYOE!D:D), "N/A")</f>
        <v>-0.59</v>
      </c>
      <c r="N555" cm="1">
        <f t="array" ref="N555">IFERROR(_xlfn.XLOOKUP(C555&amp;A555, RYOE!A:A&amp;RYOE!F:F, RYOE!E:E), "N/A")</f>
        <v>30</v>
      </c>
    </row>
    <row r="556" spans="1:14" ht="15" customHeight="1" x14ac:dyDescent="0.45">
      <c r="A556" s="7">
        <v>2022</v>
      </c>
      <c r="B556" s="5" t="s">
        <v>159</v>
      </c>
      <c r="C556" s="1" t="str">
        <f t="shared" si="16"/>
        <v>Clyde Edwards-Helaire</v>
      </c>
      <c r="D556" s="1" t="str">
        <f t="shared" si="17"/>
        <v>KC</v>
      </c>
      <c r="E556" s="1">
        <v>71</v>
      </c>
      <c r="F556" s="1">
        <v>302</v>
      </c>
      <c r="G556" s="1">
        <v>4.3</v>
      </c>
      <c r="H556" s="1">
        <v>3</v>
      </c>
      <c r="I556">
        <v>0</v>
      </c>
      <c r="J556">
        <v>10</v>
      </c>
      <c r="K556" cm="1">
        <f t="array" ref="K556">IFERROR(_xlfn.XLOOKUP(D556&amp;A556, RBWR!A:A&amp;RBWR!C:C, RBWR!B:B), "N/A")</f>
        <v>74</v>
      </c>
      <c r="L556" t="str" cm="1">
        <f t="array" ref="L556">IFERROR(_xlfn.XLOOKUP(C556&amp;A556, RYOE!A:A&amp;RYOE!F:F, RYOE!C:C), "N/A")</f>
        <v>N/A</v>
      </c>
      <c r="M556" t="str" cm="1">
        <f t="array" ref="M556">IFERROR(_xlfn.XLOOKUP(C556&amp;A556, RYOE!A:A&amp;RYOE!F:F, RYOE!D:D), "N/A")</f>
        <v>N/A</v>
      </c>
      <c r="N556" t="str" cm="1">
        <f t="array" ref="N556">IFERROR(_xlfn.XLOOKUP(C556&amp;A556, RYOE!A:A&amp;RYOE!F:F, RYOE!E:E), "N/A")</f>
        <v>N/A</v>
      </c>
    </row>
    <row r="557" spans="1:14" ht="15" customHeight="1" x14ac:dyDescent="0.45">
      <c r="A557" s="8">
        <v>2022</v>
      </c>
      <c r="B557" s="6" t="s">
        <v>382</v>
      </c>
      <c r="C557" s="2" t="str">
        <f t="shared" si="16"/>
        <v>James Robinson</v>
      </c>
      <c r="D557" s="2" t="str">
        <f t="shared" si="17"/>
        <v>NYJ</v>
      </c>
      <c r="E557" s="2">
        <v>110</v>
      </c>
      <c r="F557" s="2">
        <v>425</v>
      </c>
      <c r="G557" s="2">
        <v>3.9</v>
      </c>
      <c r="H557" s="2">
        <v>3</v>
      </c>
      <c r="I557">
        <v>0</v>
      </c>
      <c r="J557">
        <v>11</v>
      </c>
      <c r="K557" cm="1">
        <f t="array" ref="K557">IFERROR(_xlfn.XLOOKUP(D557&amp;A557, RBWR!A:A&amp;RBWR!C:C, RBWR!B:B), "N/A")</f>
        <v>69</v>
      </c>
      <c r="L557" cm="1">
        <f t="array" ref="L557">IFERROR(_xlfn.XLOOKUP(C557&amp;A557, RYOE!A:A&amp;RYOE!F:F, RYOE!C:C), "N/A")</f>
        <v>-45</v>
      </c>
      <c r="M557" cm="1">
        <f t="array" ref="M557">IFERROR(_xlfn.XLOOKUP(C557&amp;A557, RYOE!A:A&amp;RYOE!F:F, RYOE!D:D), "N/A")</f>
        <v>-0.41</v>
      </c>
      <c r="N557" cm="1">
        <f t="array" ref="N557">IFERROR(_xlfn.XLOOKUP(C557&amp;A557, RYOE!A:A&amp;RYOE!F:F, RYOE!E:E), "N/A")</f>
        <v>25</v>
      </c>
    </row>
    <row r="558" spans="1:14" ht="15" customHeight="1" x14ac:dyDescent="0.45">
      <c r="A558" s="7">
        <v>2022</v>
      </c>
      <c r="B558" s="5" t="s">
        <v>322</v>
      </c>
      <c r="C558" s="1" t="str">
        <f t="shared" si="16"/>
        <v>J.K. Dobbins</v>
      </c>
      <c r="D558" s="1" t="str">
        <f t="shared" si="17"/>
        <v>BAL</v>
      </c>
      <c r="E558" s="1">
        <v>92</v>
      </c>
      <c r="F558" s="1">
        <v>520</v>
      </c>
      <c r="G558" s="1">
        <v>5.7</v>
      </c>
      <c r="H558" s="1">
        <v>2</v>
      </c>
      <c r="I558">
        <v>0</v>
      </c>
      <c r="J558">
        <v>8</v>
      </c>
      <c r="K558" cm="1">
        <f t="array" ref="K558">IFERROR(_xlfn.XLOOKUP(D558&amp;A558, RBWR!A:A&amp;RBWR!C:C, RBWR!B:B), "N/A")</f>
        <v>77</v>
      </c>
      <c r="L558" cm="1">
        <f t="array" ref="L558">IFERROR(_xlfn.XLOOKUP(C558&amp;A558, RYOE!A:A&amp;RYOE!F:F, RYOE!C:C), "N/A")</f>
        <v>95</v>
      </c>
      <c r="M558" cm="1">
        <f t="array" ref="M558">IFERROR(_xlfn.XLOOKUP(C558&amp;A558, RYOE!A:A&amp;RYOE!F:F, RYOE!D:D), "N/A")</f>
        <v>1.05</v>
      </c>
      <c r="N558" cm="1">
        <f t="array" ref="N558">IFERROR(_xlfn.XLOOKUP(C558&amp;A558, RYOE!A:A&amp;RYOE!F:F, RYOE!E:E), "N/A")</f>
        <v>43.3</v>
      </c>
    </row>
    <row r="559" spans="1:14" ht="15" customHeight="1" x14ac:dyDescent="0.45">
      <c r="A559" s="8">
        <v>2022</v>
      </c>
      <c r="B559" s="6" t="s">
        <v>383</v>
      </c>
      <c r="C559" s="2" t="str">
        <f t="shared" si="16"/>
        <v>Damien Harris</v>
      </c>
      <c r="D559" s="2" t="str">
        <f t="shared" si="17"/>
        <v>NE</v>
      </c>
      <c r="E559" s="2">
        <v>106</v>
      </c>
      <c r="F559" s="2">
        <v>462</v>
      </c>
      <c r="G559" s="2">
        <v>4.4000000000000004</v>
      </c>
      <c r="H559" s="2">
        <v>3</v>
      </c>
      <c r="I559">
        <v>0</v>
      </c>
      <c r="J559">
        <v>11</v>
      </c>
      <c r="K559" cm="1">
        <f t="array" ref="K559">IFERROR(_xlfn.XLOOKUP(D559&amp;A559, RBWR!A:A&amp;RBWR!C:C, RBWR!B:B), "N/A")</f>
        <v>68</v>
      </c>
      <c r="L559" cm="1">
        <f t="array" ref="L559">IFERROR(_xlfn.XLOOKUP(C559&amp;A559, RYOE!A:A&amp;RYOE!F:F, RYOE!C:C), "N/A")</f>
        <v>33</v>
      </c>
      <c r="M559" cm="1">
        <f t="array" ref="M559">IFERROR(_xlfn.XLOOKUP(C559&amp;A559, RYOE!A:A&amp;RYOE!F:F, RYOE!D:D), "N/A")</f>
        <v>0.32</v>
      </c>
      <c r="N559" cm="1">
        <f t="array" ref="N559">IFERROR(_xlfn.XLOOKUP(C559&amp;A559, RYOE!A:A&amp;RYOE!F:F, RYOE!E:E), "N/A")</f>
        <v>47.2</v>
      </c>
    </row>
    <row r="560" spans="1:14" ht="15" customHeight="1" x14ac:dyDescent="0.45">
      <c r="A560" s="7">
        <v>2022</v>
      </c>
      <c r="B560" s="5" t="s">
        <v>74</v>
      </c>
      <c r="C560" s="1" t="str">
        <f t="shared" si="16"/>
        <v>Chuba Hubbard</v>
      </c>
      <c r="D560" s="1" t="str">
        <f t="shared" si="17"/>
        <v>CAR</v>
      </c>
      <c r="E560" s="1">
        <v>95</v>
      </c>
      <c r="F560" s="1">
        <v>466</v>
      </c>
      <c r="G560" s="1">
        <v>4.9000000000000004</v>
      </c>
      <c r="H560" s="1">
        <v>2</v>
      </c>
      <c r="I560">
        <v>1</v>
      </c>
      <c r="J560">
        <v>14</v>
      </c>
      <c r="K560" cm="1">
        <f t="array" ref="K560">IFERROR(_xlfn.XLOOKUP(D560&amp;A560, RBWR!A:A&amp;RBWR!C:C, RBWR!B:B), "N/A")</f>
        <v>72</v>
      </c>
      <c r="L560" cm="1">
        <f t="array" ref="L560">IFERROR(_xlfn.XLOOKUP(C560&amp;A560, RYOE!A:A&amp;RYOE!F:F, RYOE!C:C), "N/A")</f>
        <v>35</v>
      </c>
      <c r="M560" cm="1">
        <f t="array" ref="M560">IFERROR(_xlfn.XLOOKUP(C560&amp;A560, RYOE!A:A&amp;RYOE!F:F, RYOE!D:D), "N/A")</f>
        <v>0.37</v>
      </c>
      <c r="N560" cm="1">
        <f t="array" ref="N560">IFERROR(_xlfn.XLOOKUP(C560&amp;A560, RYOE!A:A&amp;RYOE!F:F, RYOE!E:E), "N/A")</f>
        <v>37.9</v>
      </c>
    </row>
    <row r="561" spans="1:14" ht="15" customHeight="1" x14ac:dyDescent="0.45">
      <c r="A561" s="8">
        <v>2022</v>
      </c>
      <c r="B561" s="6" t="s">
        <v>294</v>
      </c>
      <c r="C561" s="2" t="str">
        <f t="shared" si="16"/>
        <v>Alexander Mattison</v>
      </c>
      <c r="D561" s="2" t="str">
        <f t="shared" si="17"/>
        <v>MIN</v>
      </c>
      <c r="E561" s="2">
        <v>74</v>
      </c>
      <c r="F561" s="2">
        <v>283</v>
      </c>
      <c r="G561" s="2">
        <v>3.8</v>
      </c>
      <c r="H561" s="2">
        <v>5</v>
      </c>
      <c r="I561">
        <v>0</v>
      </c>
      <c r="J561">
        <v>17</v>
      </c>
      <c r="K561" cm="1">
        <f t="array" ref="K561">IFERROR(_xlfn.XLOOKUP(D561&amp;A561, RBWR!A:A&amp;RBWR!C:C, RBWR!B:B), "N/A")</f>
        <v>71</v>
      </c>
      <c r="L561" t="str" cm="1">
        <f t="array" ref="L561">IFERROR(_xlfn.XLOOKUP(C561&amp;A561, RYOE!A:A&amp;RYOE!F:F, RYOE!C:C), "N/A")</f>
        <v>N/A</v>
      </c>
      <c r="M561" t="str" cm="1">
        <f t="array" ref="M561">IFERROR(_xlfn.XLOOKUP(C561&amp;A561, RYOE!A:A&amp;RYOE!F:F, RYOE!D:D), "N/A")</f>
        <v>N/A</v>
      </c>
      <c r="N561" t="str" cm="1">
        <f t="array" ref="N561">IFERROR(_xlfn.XLOOKUP(C561&amp;A561, RYOE!A:A&amp;RYOE!F:F, RYOE!E:E), "N/A")</f>
        <v>N/A</v>
      </c>
    </row>
    <row r="562" spans="1:14" ht="15" customHeight="1" x14ac:dyDescent="0.45">
      <c r="A562" s="7">
        <v>2022</v>
      </c>
      <c r="B562" s="5" t="s">
        <v>51</v>
      </c>
      <c r="C562" s="1" t="str">
        <f t="shared" si="16"/>
        <v>Jaylen Warren</v>
      </c>
      <c r="D562" s="1" t="str">
        <f t="shared" si="17"/>
        <v>PIT</v>
      </c>
      <c r="E562" s="1">
        <v>77</v>
      </c>
      <c r="F562" s="1">
        <v>379</v>
      </c>
      <c r="G562" s="1">
        <v>4.9000000000000004</v>
      </c>
      <c r="H562" s="1">
        <v>1</v>
      </c>
      <c r="I562">
        <v>0</v>
      </c>
      <c r="J562">
        <v>16</v>
      </c>
      <c r="K562" cm="1">
        <f t="array" ref="K562">IFERROR(_xlfn.XLOOKUP(D562&amp;A562, RBWR!A:A&amp;RBWR!C:C, RBWR!B:B), "N/A")</f>
        <v>72</v>
      </c>
      <c r="L562" t="str" cm="1">
        <f t="array" ref="L562">IFERROR(_xlfn.XLOOKUP(C562&amp;A562, RYOE!A:A&amp;RYOE!F:F, RYOE!C:C), "N/A")</f>
        <v>N/A</v>
      </c>
      <c r="M562" t="str" cm="1">
        <f t="array" ref="M562">IFERROR(_xlfn.XLOOKUP(C562&amp;A562, RYOE!A:A&amp;RYOE!F:F, RYOE!D:D), "N/A")</f>
        <v>N/A</v>
      </c>
      <c r="N562" t="str" cm="1">
        <f t="array" ref="N562">IFERROR(_xlfn.XLOOKUP(C562&amp;A562, RYOE!A:A&amp;RYOE!F:F, RYOE!E:E), "N/A")</f>
        <v>N/A</v>
      </c>
    </row>
    <row r="563" spans="1:14" ht="15" customHeight="1" x14ac:dyDescent="0.45">
      <c r="A563" s="8">
        <v>2022</v>
      </c>
      <c r="B563" s="6" t="s">
        <v>223</v>
      </c>
      <c r="C563" s="2" t="str">
        <f t="shared" si="16"/>
        <v>Kenny Gainwell</v>
      </c>
      <c r="D563" s="2" t="str">
        <f t="shared" si="17"/>
        <v>PHI</v>
      </c>
      <c r="E563" s="2">
        <v>53</v>
      </c>
      <c r="F563" s="2">
        <v>240</v>
      </c>
      <c r="G563" s="2">
        <v>4.5</v>
      </c>
      <c r="H563" s="2">
        <v>4</v>
      </c>
      <c r="I563">
        <v>0</v>
      </c>
      <c r="J563">
        <v>17</v>
      </c>
      <c r="K563" cm="1">
        <f t="array" ref="K563">IFERROR(_xlfn.XLOOKUP(D563&amp;A563, RBWR!A:A&amp;RBWR!C:C, RBWR!B:B), "N/A")</f>
        <v>75</v>
      </c>
      <c r="L563" t="str" cm="1">
        <f t="array" ref="L563">IFERROR(_xlfn.XLOOKUP(C563&amp;A563, RYOE!A:A&amp;RYOE!F:F, RYOE!C:C), "N/A")</f>
        <v>N/A</v>
      </c>
      <c r="M563" t="str" cm="1">
        <f t="array" ref="M563">IFERROR(_xlfn.XLOOKUP(C563&amp;A563, RYOE!A:A&amp;RYOE!F:F, RYOE!D:D), "N/A")</f>
        <v>N/A</v>
      </c>
      <c r="N563" t="str" cm="1">
        <f t="array" ref="N563">IFERROR(_xlfn.XLOOKUP(C563&amp;A563, RYOE!A:A&amp;RYOE!F:F, RYOE!E:E), "N/A")</f>
        <v>N/A</v>
      </c>
    </row>
    <row r="564" spans="1:14" ht="15" customHeight="1" x14ac:dyDescent="0.45">
      <c r="A564" s="7">
        <v>2022</v>
      </c>
      <c r="B564" s="5" t="s">
        <v>384</v>
      </c>
      <c r="C564" s="1" t="str">
        <f t="shared" si="16"/>
        <v>Eno Benjamin</v>
      </c>
      <c r="D564" s="1" t="str">
        <f t="shared" si="17"/>
        <v>NO</v>
      </c>
      <c r="E564" s="1">
        <v>77</v>
      </c>
      <c r="F564" s="1">
        <v>313</v>
      </c>
      <c r="G564" s="1">
        <v>4.0999999999999996</v>
      </c>
      <c r="H564" s="1">
        <v>2</v>
      </c>
      <c r="I564">
        <v>0</v>
      </c>
      <c r="J564">
        <v>13</v>
      </c>
      <c r="K564" cm="1">
        <f t="array" ref="K564">IFERROR(_xlfn.XLOOKUP(D564&amp;A564, RBWR!A:A&amp;RBWR!C:C, RBWR!B:B), "N/A")</f>
        <v>71</v>
      </c>
      <c r="L564" t="str" cm="1">
        <f t="array" ref="L564">IFERROR(_xlfn.XLOOKUP(C564&amp;A564, RYOE!A:A&amp;RYOE!F:F, RYOE!C:C), "N/A")</f>
        <v>N/A</v>
      </c>
      <c r="M564" t="str" cm="1">
        <f t="array" ref="M564">IFERROR(_xlfn.XLOOKUP(C564&amp;A564, RYOE!A:A&amp;RYOE!F:F, RYOE!D:D), "N/A")</f>
        <v>N/A</v>
      </c>
      <c r="N564" t="str" cm="1">
        <f t="array" ref="N564">IFERROR(_xlfn.XLOOKUP(C564&amp;A564, RYOE!A:A&amp;RYOE!F:F, RYOE!E:E), "N/A")</f>
        <v>N/A</v>
      </c>
    </row>
    <row r="565" spans="1:14" ht="15" customHeight="1" x14ac:dyDescent="0.45">
      <c r="A565" s="8">
        <v>2022</v>
      </c>
      <c r="B565" s="6" t="s">
        <v>385</v>
      </c>
      <c r="C565" s="2" t="str">
        <f t="shared" si="16"/>
        <v>Melvin Gordon III</v>
      </c>
      <c r="D565" s="2" t="str">
        <f t="shared" si="17"/>
        <v>DEN</v>
      </c>
      <c r="E565" s="2">
        <v>90</v>
      </c>
      <c r="F565" s="2">
        <v>318</v>
      </c>
      <c r="G565" s="2">
        <v>3.5</v>
      </c>
      <c r="H565" s="2">
        <v>2</v>
      </c>
      <c r="I565">
        <v>2</v>
      </c>
      <c r="J565">
        <v>10</v>
      </c>
      <c r="K565" cm="1">
        <f t="array" ref="K565">IFERROR(_xlfn.XLOOKUP(D565&amp;A565, RBWR!A:A&amp;RBWR!C:C, RBWR!B:B), "N/A")</f>
        <v>74</v>
      </c>
      <c r="L565" cm="1">
        <f t="array" ref="L565">IFERROR(_xlfn.XLOOKUP(C565&amp;A565, RYOE!A:A&amp;RYOE!F:F, RYOE!C:C), "N/A")</f>
        <v>-67</v>
      </c>
      <c r="M565" cm="1">
        <f t="array" ref="M565">IFERROR(_xlfn.XLOOKUP(C565&amp;A565, RYOE!A:A&amp;RYOE!F:F, RYOE!D:D), "N/A")</f>
        <v>-0.76</v>
      </c>
      <c r="N565" cm="1">
        <f t="array" ref="N565">IFERROR(_xlfn.XLOOKUP(C565&amp;A565, RYOE!A:A&amp;RYOE!F:F, RYOE!E:E), "N/A")</f>
        <v>35.200000000000003</v>
      </c>
    </row>
    <row r="566" spans="1:14" ht="15" customHeight="1" x14ac:dyDescent="0.45">
      <c r="A566" s="7">
        <v>2022</v>
      </c>
      <c r="B566" s="5" t="s">
        <v>284</v>
      </c>
      <c r="C566" s="1" t="str">
        <f t="shared" si="16"/>
        <v>Gus Edwards</v>
      </c>
      <c r="D566" s="1" t="str">
        <f t="shared" si="17"/>
        <v>BAL</v>
      </c>
      <c r="E566" s="1">
        <v>87</v>
      </c>
      <c r="F566" s="1">
        <v>433</v>
      </c>
      <c r="G566" s="1">
        <v>5</v>
      </c>
      <c r="H566" s="1">
        <v>3</v>
      </c>
      <c r="I566">
        <v>1</v>
      </c>
      <c r="J566">
        <v>9</v>
      </c>
      <c r="K566" cm="1">
        <f t="array" ref="K566">IFERROR(_xlfn.XLOOKUP(D566&amp;A566, RBWR!A:A&amp;RBWR!C:C, RBWR!B:B), "N/A")</f>
        <v>77</v>
      </c>
      <c r="L566" t="str" cm="1">
        <f t="array" ref="L566">IFERROR(_xlfn.XLOOKUP(C566&amp;A566, RYOE!A:A&amp;RYOE!F:F, RYOE!C:C), "N/A")</f>
        <v>N/A</v>
      </c>
      <c r="M566" t="str" cm="1">
        <f t="array" ref="M566">IFERROR(_xlfn.XLOOKUP(C566&amp;A566, RYOE!A:A&amp;RYOE!F:F, RYOE!D:D), "N/A")</f>
        <v>N/A</v>
      </c>
      <c r="N566" t="str" cm="1">
        <f t="array" ref="N566">IFERROR(_xlfn.XLOOKUP(C566&amp;A566, RYOE!A:A&amp;RYOE!F:F, RYOE!E:E), "N/A")</f>
        <v>N/A</v>
      </c>
    </row>
    <row r="567" spans="1:14" ht="15" customHeight="1" x14ac:dyDescent="0.45">
      <c r="A567" s="8">
        <v>2022</v>
      </c>
      <c r="B567" s="6" t="s">
        <v>386</v>
      </c>
      <c r="C567" s="2" t="str">
        <f t="shared" si="16"/>
        <v>Chase Edmonds</v>
      </c>
      <c r="D567" s="2" t="str">
        <f t="shared" si="17"/>
        <v>DEN</v>
      </c>
      <c r="E567" s="2">
        <v>68</v>
      </c>
      <c r="F567" s="2">
        <v>245</v>
      </c>
      <c r="G567" s="2">
        <v>3.6</v>
      </c>
      <c r="H567" s="2">
        <v>2</v>
      </c>
      <c r="I567">
        <v>0</v>
      </c>
      <c r="J567">
        <v>13</v>
      </c>
      <c r="K567" cm="1">
        <f t="array" ref="K567">IFERROR(_xlfn.XLOOKUP(D567&amp;A567, RBWR!A:A&amp;RBWR!C:C, RBWR!B:B), "N/A")</f>
        <v>74</v>
      </c>
      <c r="L567" t="str" cm="1">
        <f t="array" ref="L567">IFERROR(_xlfn.XLOOKUP(C567&amp;A567, RYOE!A:A&amp;RYOE!F:F, RYOE!C:C), "N/A")</f>
        <v>N/A</v>
      </c>
      <c r="M567" t="str" cm="1">
        <f t="array" ref="M567">IFERROR(_xlfn.XLOOKUP(C567&amp;A567, RYOE!A:A&amp;RYOE!F:F, RYOE!D:D), "N/A")</f>
        <v>N/A</v>
      </c>
      <c r="N567" t="str" cm="1">
        <f t="array" ref="N567">IFERROR(_xlfn.XLOOKUP(C567&amp;A567, RYOE!A:A&amp;RYOE!F:F, RYOE!E:E), "N/A")</f>
        <v>N/A</v>
      </c>
    </row>
    <row r="568" spans="1:14" ht="15" customHeight="1" x14ac:dyDescent="0.45">
      <c r="A568" s="7">
        <v>2022</v>
      </c>
      <c r="B568" s="5" t="s">
        <v>305</v>
      </c>
      <c r="C568" s="1" t="str">
        <f t="shared" si="16"/>
        <v>Darrell Henderson Jr.</v>
      </c>
      <c r="D568" s="1" t="str">
        <f t="shared" si="17"/>
        <v>LAR</v>
      </c>
      <c r="E568" s="1">
        <v>70</v>
      </c>
      <c r="F568" s="1">
        <v>283</v>
      </c>
      <c r="G568" s="1">
        <v>4</v>
      </c>
      <c r="H568" s="1">
        <v>3</v>
      </c>
      <c r="I568">
        <v>0</v>
      </c>
      <c r="J568">
        <v>10</v>
      </c>
      <c r="K568" cm="1">
        <f t="array" ref="K568">IFERROR(_xlfn.XLOOKUP(D568&amp;A568, RBWR!A:A&amp;RBWR!C:C, RBWR!B:B), "N/A")</f>
        <v>72</v>
      </c>
      <c r="L568" t="str" cm="1">
        <f t="array" ref="L568">IFERROR(_xlfn.XLOOKUP(C568&amp;A568, RYOE!A:A&amp;RYOE!F:F, RYOE!C:C), "N/A")</f>
        <v>N/A</v>
      </c>
      <c r="M568" t="str" cm="1">
        <f t="array" ref="M568">IFERROR(_xlfn.XLOOKUP(C568&amp;A568, RYOE!A:A&amp;RYOE!F:F, RYOE!D:D), "N/A")</f>
        <v>N/A</v>
      </c>
      <c r="N568" t="str" cm="1">
        <f t="array" ref="N568">IFERROR(_xlfn.XLOOKUP(C568&amp;A568, RYOE!A:A&amp;RYOE!F:F, RYOE!E:E), "N/A")</f>
        <v>N/A</v>
      </c>
    </row>
    <row r="569" spans="1:14" ht="15" customHeight="1" x14ac:dyDescent="0.45">
      <c r="A569" s="8">
        <v>2022</v>
      </c>
      <c r="B569" s="6" t="s">
        <v>387</v>
      </c>
      <c r="C569" s="2" t="str">
        <f t="shared" si="16"/>
        <v>Dontrell Hilliard</v>
      </c>
      <c r="D569" s="2" t="str">
        <f t="shared" si="17"/>
        <v>TEN</v>
      </c>
      <c r="E569" s="2">
        <v>22</v>
      </c>
      <c r="F569" s="2">
        <v>145</v>
      </c>
      <c r="G569" s="2">
        <v>6.6</v>
      </c>
      <c r="H569" s="2">
        <v>0</v>
      </c>
      <c r="I569">
        <v>0</v>
      </c>
      <c r="J569">
        <v>12</v>
      </c>
      <c r="K569" cm="1">
        <f t="array" ref="K569">IFERROR(_xlfn.XLOOKUP(D569&amp;A569, RBWR!A:A&amp;RBWR!C:C, RBWR!B:B), "N/A")</f>
        <v>71</v>
      </c>
      <c r="L569" t="str" cm="1">
        <f t="array" ref="L569">IFERROR(_xlfn.XLOOKUP(C569&amp;A569, RYOE!A:A&amp;RYOE!F:F, RYOE!C:C), "N/A")</f>
        <v>N/A</v>
      </c>
      <c r="M569" t="str" cm="1">
        <f t="array" ref="M569">IFERROR(_xlfn.XLOOKUP(C569&amp;A569, RYOE!A:A&amp;RYOE!F:F, RYOE!D:D), "N/A")</f>
        <v>N/A</v>
      </c>
      <c r="N569" t="str" cm="1">
        <f t="array" ref="N569">IFERROR(_xlfn.XLOOKUP(C569&amp;A569, RYOE!A:A&amp;RYOE!F:F, RYOE!E:E), "N/A")</f>
        <v>N/A</v>
      </c>
    </row>
    <row r="570" spans="1:14" ht="15" customHeight="1" x14ac:dyDescent="0.45">
      <c r="A570" s="7">
        <v>2022</v>
      </c>
      <c r="B570" s="5" t="s">
        <v>388</v>
      </c>
      <c r="C570" s="1" t="str">
        <f t="shared" si="16"/>
        <v>Deon Jackson</v>
      </c>
      <c r="D570" s="1" t="str">
        <f t="shared" si="17"/>
        <v>IND</v>
      </c>
      <c r="E570" s="1">
        <v>68</v>
      </c>
      <c r="F570" s="1">
        <v>236</v>
      </c>
      <c r="G570" s="1">
        <v>3.5</v>
      </c>
      <c r="H570" s="1">
        <v>1</v>
      </c>
      <c r="I570">
        <v>1</v>
      </c>
      <c r="J570">
        <v>12</v>
      </c>
      <c r="K570" cm="1">
        <f t="array" ref="K570">IFERROR(_xlfn.XLOOKUP(D570&amp;A570, RBWR!A:A&amp;RBWR!C:C, RBWR!B:B), "N/A")</f>
        <v>71</v>
      </c>
      <c r="L570" t="str" cm="1">
        <f t="array" ref="L570">IFERROR(_xlfn.XLOOKUP(C570&amp;A570, RYOE!A:A&amp;RYOE!F:F, RYOE!C:C), "N/A")</f>
        <v>N/A</v>
      </c>
      <c r="M570" t="str" cm="1">
        <f t="array" ref="M570">IFERROR(_xlfn.XLOOKUP(C570&amp;A570, RYOE!A:A&amp;RYOE!F:F, RYOE!D:D), "N/A")</f>
        <v>N/A</v>
      </c>
      <c r="N570" t="str" cm="1">
        <f t="array" ref="N570">IFERROR(_xlfn.XLOOKUP(C570&amp;A570, RYOE!A:A&amp;RYOE!F:F, RYOE!E:E), "N/A")</f>
        <v>N/A</v>
      </c>
    </row>
    <row r="571" spans="1:14" ht="15" customHeight="1" x14ac:dyDescent="0.45">
      <c r="A571" s="8">
        <v>2022</v>
      </c>
      <c r="B571" s="6" t="s">
        <v>288</v>
      </c>
      <c r="C571" s="2" t="str">
        <f t="shared" si="16"/>
        <v>Zack Moss</v>
      </c>
      <c r="D571" s="2" t="str">
        <f t="shared" si="17"/>
        <v>IND</v>
      </c>
      <c r="E571" s="2">
        <v>93</v>
      </c>
      <c r="F571" s="2">
        <v>456</v>
      </c>
      <c r="G571" s="2">
        <v>4.9000000000000004</v>
      </c>
      <c r="H571" s="2">
        <v>1</v>
      </c>
      <c r="I571">
        <v>1</v>
      </c>
      <c r="J571">
        <v>13</v>
      </c>
      <c r="K571" cm="1">
        <f t="array" ref="K571">IFERROR(_xlfn.XLOOKUP(D571&amp;A571, RBWR!A:A&amp;RBWR!C:C, RBWR!B:B), "N/A")</f>
        <v>71</v>
      </c>
      <c r="L571" cm="1">
        <f t="array" ref="L571">IFERROR(_xlfn.XLOOKUP(C571&amp;A571, RYOE!A:A&amp;RYOE!F:F, RYOE!C:C), "N/A")</f>
        <v>26</v>
      </c>
      <c r="M571" cm="1">
        <f t="array" ref="M571">IFERROR(_xlfn.XLOOKUP(C571&amp;A571, RYOE!A:A&amp;RYOE!F:F, RYOE!D:D), "N/A")</f>
        <v>0.28000000000000003</v>
      </c>
      <c r="N571" cm="1">
        <f t="array" ref="N571">IFERROR(_xlfn.XLOOKUP(C571&amp;A571, RYOE!A:A&amp;RYOE!F:F, RYOE!E:E), "N/A")</f>
        <v>40.9</v>
      </c>
    </row>
    <row r="572" spans="1:14" ht="15" customHeight="1" x14ac:dyDescent="0.45">
      <c r="A572" s="7">
        <v>2022</v>
      </c>
      <c r="B572" s="5" t="s">
        <v>389</v>
      </c>
      <c r="C572" s="1" t="str">
        <f t="shared" si="16"/>
        <v>Nyheim Miller-Hines</v>
      </c>
      <c r="D572" s="1" t="str">
        <f t="shared" si="17"/>
        <v>BUF</v>
      </c>
      <c r="E572" s="1">
        <v>24</v>
      </c>
      <c r="F572" s="1">
        <v>33</v>
      </c>
      <c r="G572" s="1">
        <v>1.4</v>
      </c>
      <c r="H572" s="1">
        <v>1</v>
      </c>
      <c r="I572">
        <v>0</v>
      </c>
      <c r="J572">
        <v>16</v>
      </c>
      <c r="K572" cm="1">
        <f t="array" ref="K572">IFERROR(_xlfn.XLOOKUP(D572&amp;A572, RBWR!A:A&amp;RBWR!C:C, RBWR!B:B), "N/A")</f>
        <v>71</v>
      </c>
      <c r="L572" t="str" cm="1">
        <f t="array" ref="L572">IFERROR(_xlfn.XLOOKUP(C572&amp;A572, RYOE!A:A&amp;RYOE!F:F, RYOE!C:C), "N/A")</f>
        <v>N/A</v>
      </c>
      <c r="M572" t="str" cm="1">
        <f t="array" ref="M572">IFERROR(_xlfn.XLOOKUP(C572&amp;A572, RYOE!A:A&amp;RYOE!F:F, RYOE!D:D), "N/A")</f>
        <v>N/A</v>
      </c>
      <c r="N572" t="str" cm="1">
        <f t="array" ref="N572">IFERROR(_xlfn.XLOOKUP(C572&amp;A572, RYOE!A:A&amp;RYOE!F:F, RYOE!E:E), "N/A")</f>
        <v>N/A</v>
      </c>
    </row>
    <row r="573" spans="1:14" ht="15" customHeight="1" x14ac:dyDescent="0.45">
      <c r="A573" s="8">
        <v>2022</v>
      </c>
      <c r="B573" s="6" t="s">
        <v>302</v>
      </c>
      <c r="C573" s="2" t="str">
        <f t="shared" si="16"/>
        <v>Joshua Kelley</v>
      </c>
      <c r="D573" s="2" t="str">
        <f t="shared" si="17"/>
        <v>LAC</v>
      </c>
      <c r="E573" s="2">
        <v>69</v>
      </c>
      <c r="F573" s="2">
        <v>287</v>
      </c>
      <c r="G573" s="2">
        <v>4.2</v>
      </c>
      <c r="H573" s="2">
        <v>2</v>
      </c>
      <c r="I573">
        <v>0</v>
      </c>
      <c r="J573">
        <v>12</v>
      </c>
      <c r="K573" cm="1">
        <f t="array" ref="K573">IFERROR(_xlfn.XLOOKUP(D573&amp;A573, RBWR!A:A&amp;RBWR!C:C, RBWR!B:B), "N/A")</f>
        <v>70</v>
      </c>
      <c r="L573" t="str" cm="1">
        <f t="array" ref="L573">IFERROR(_xlfn.XLOOKUP(C573&amp;A573, RYOE!A:A&amp;RYOE!F:F, RYOE!C:C), "N/A")</f>
        <v>N/A</v>
      </c>
      <c r="M573" t="str" cm="1">
        <f t="array" ref="M573">IFERROR(_xlfn.XLOOKUP(C573&amp;A573, RYOE!A:A&amp;RYOE!F:F, RYOE!D:D), "N/A")</f>
        <v>N/A</v>
      </c>
      <c r="N573" t="str" cm="1">
        <f t="array" ref="N573">IFERROR(_xlfn.XLOOKUP(C573&amp;A573, RYOE!A:A&amp;RYOE!F:F, RYOE!E:E), "N/A")</f>
        <v>N/A</v>
      </c>
    </row>
    <row r="574" spans="1:14" ht="15" customHeight="1" x14ac:dyDescent="0.45">
      <c r="A574" s="7">
        <v>2022</v>
      </c>
      <c r="B574" s="5" t="s">
        <v>358</v>
      </c>
      <c r="C574" s="1" t="str">
        <f t="shared" si="16"/>
        <v>JaMycal Hasty</v>
      </c>
      <c r="D574" s="1" t="str">
        <f t="shared" si="17"/>
        <v>JAC</v>
      </c>
      <c r="E574" s="1">
        <v>46</v>
      </c>
      <c r="F574" s="1">
        <v>194</v>
      </c>
      <c r="G574" s="1">
        <v>4.2</v>
      </c>
      <c r="H574" s="1">
        <v>2</v>
      </c>
      <c r="I574">
        <v>0</v>
      </c>
      <c r="J574">
        <v>14</v>
      </c>
      <c r="K574" cm="1">
        <f t="array" ref="K574">IFERROR(_xlfn.XLOOKUP(D574&amp;A574, RBWR!A:A&amp;RBWR!C:C, RBWR!B:B), "N/A")</f>
        <v>70</v>
      </c>
      <c r="L574" t="str" cm="1">
        <f t="array" ref="L574">IFERROR(_xlfn.XLOOKUP(C574&amp;A574, RYOE!A:A&amp;RYOE!F:F, RYOE!C:C), "N/A")</f>
        <v>N/A</v>
      </c>
      <c r="M574" t="str" cm="1">
        <f t="array" ref="M574">IFERROR(_xlfn.XLOOKUP(C574&amp;A574, RYOE!A:A&amp;RYOE!F:F, RYOE!D:D), "N/A")</f>
        <v>N/A</v>
      </c>
      <c r="N574" t="str" cm="1">
        <f t="array" ref="N574">IFERROR(_xlfn.XLOOKUP(C574&amp;A574, RYOE!A:A&amp;RYOE!F:F, RYOE!E:E), "N/A")</f>
        <v>N/A</v>
      </c>
    </row>
    <row r="575" spans="1:14" ht="15" customHeight="1" x14ac:dyDescent="0.45">
      <c r="A575" s="8">
        <v>2022</v>
      </c>
      <c r="B575" s="6" t="s">
        <v>390</v>
      </c>
      <c r="C575" s="2" t="str">
        <f t="shared" si="16"/>
        <v>Rashaad Penny</v>
      </c>
      <c r="D575" s="2" t="str">
        <f t="shared" si="17"/>
        <v>SEA</v>
      </c>
      <c r="E575" s="2">
        <v>57</v>
      </c>
      <c r="F575" s="2">
        <v>346</v>
      </c>
      <c r="G575" s="2">
        <v>6.1</v>
      </c>
      <c r="H575" s="2">
        <v>2</v>
      </c>
      <c r="I575">
        <v>0</v>
      </c>
      <c r="J575">
        <v>5</v>
      </c>
      <c r="K575" cm="1">
        <f t="array" ref="K575">IFERROR(_xlfn.XLOOKUP(D575&amp;A575, RBWR!A:A&amp;RBWR!C:C, RBWR!B:B), "N/A")</f>
        <v>71</v>
      </c>
      <c r="L575" t="str" cm="1">
        <f t="array" ref="L575">IFERROR(_xlfn.XLOOKUP(C575&amp;A575, RYOE!A:A&amp;RYOE!F:F, RYOE!C:C), "N/A")</f>
        <v>N/A</v>
      </c>
      <c r="M575" t="str" cm="1">
        <f t="array" ref="M575">IFERROR(_xlfn.XLOOKUP(C575&amp;A575, RYOE!A:A&amp;RYOE!F:F, RYOE!D:D), "N/A")</f>
        <v>N/A</v>
      </c>
      <c r="N575" t="str" cm="1">
        <f t="array" ref="N575">IFERROR(_xlfn.XLOOKUP(C575&amp;A575, RYOE!A:A&amp;RYOE!F:F, RYOE!E:E), "N/A")</f>
        <v>N/A</v>
      </c>
    </row>
    <row r="576" spans="1:14" ht="15" customHeight="1" x14ac:dyDescent="0.45">
      <c r="A576" s="7">
        <v>2022</v>
      </c>
      <c r="B576" s="5" t="s">
        <v>391</v>
      </c>
      <c r="C576" s="1" t="str">
        <f t="shared" si="16"/>
        <v>Bam Knight</v>
      </c>
      <c r="D576" s="1" t="str">
        <f t="shared" si="17"/>
        <v>NYJ</v>
      </c>
      <c r="E576" s="1">
        <v>85</v>
      </c>
      <c r="F576" s="1">
        <v>300</v>
      </c>
      <c r="G576" s="1">
        <v>3.5</v>
      </c>
      <c r="H576" s="1">
        <v>1</v>
      </c>
      <c r="I576">
        <v>0</v>
      </c>
      <c r="J576">
        <v>7</v>
      </c>
      <c r="K576" cm="1">
        <f t="array" ref="K576">IFERROR(_xlfn.XLOOKUP(D576&amp;A576, RBWR!A:A&amp;RBWR!C:C, RBWR!B:B), "N/A")</f>
        <v>69</v>
      </c>
      <c r="L576" t="str" cm="1">
        <f t="array" ref="L576">IFERROR(_xlfn.XLOOKUP(C576&amp;A576, RYOE!A:A&amp;RYOE!F:F, RYOE!C:C), "N/A")</f>
        <v>N/A</v>
      </c>
      <c r="M576" t="str" cm="1">
        <f t="array" ref="M576">IFERROR(_xlfn.XLOOKUP(C576&amp;A576, RYOE!A:A&amp;RYOE!F:F, RYOE!D:D), "N/A")</f>
        <v>N/A</v>
      </c>
      <c r="N576" t="str" cm="1">
        <f t="array" ref="N576">IFERROR(_xlfn.XLOOKUP(C576&amp;A576, RYOE!A:A&amp;RYOE!F:F, RYOE!E:E), "N/A")</f>
        <v>N/A</v>
      </c>
    </row>
    <row r="577" spans="1:14" ht="15" customHeight="1" x14ac:dyDescent="0.45">
      <c r="A577" s="8">
        <v>2022</v>
      </c>
      <c r="B577" s="6" t="s">
        <v>392</v>
      </c>
      <c r="C577" s="2" t="str">
        <f t="shared" si="16"/>
        <v>Caleb Huntley</v>
      </c>
      <c r="D577" s="2" t="str">
        <f t="shared" si="17"/>
        <v>ATL</v>
      </c>
      <c r="E577" s="2">
        <v>76</v>
      </c>
      <c r="F577" s="2">
        <v>366</v>
      </c>
      <c r="G577" s="2">
        <v>4.8</v>
      </c>
      <c r="H577" s="2">
        <v>1</v>
      </c>
      <c r="I577">
        <v>0</v>
      </c>
      <c r="J577">
        <v>12</v>
      </c>
      <c r="K577" cm="1">
        <f t="array" ref="K577">IFERROR(_xlfn.XLOOKUP(D577&amp;A577, RBWR!A:A&amp;RBWR!C:C, RBWR!B:B), "N/A")</f>
        <v>71</v>
      </c>
      <c r="L577" t="str" cm="1">
        <f t="array" ref="L577">IFERROR(_xlfn.XLOOKUP(C577&amp;A577, RYOE!A:A&amp;RYOE!F:F, RYOE!C:C), "N/A")</f>
        <v>N/A</v>
      </c>
      <c r="M577" t="str" cm="1">
        <f t="array" ref="M577">IFERROR(_xlfn.XLOOKUP(C577&amp;A577, RYOE!A:A&amp;RYOE!F:F, RYOE!D:D), "N/A")</f>
        <v>N/A</v>
      </c>
      <c r="N577" t="str" cm="1">
        <f t="array" ref="N577">IFERROR(_xlfn.XLOOKUP(C577&amp;A577, RYOE!A:A&amp;RYOE!F:F, RYOE!E:E), "N/A")</f>
        <v>N/A</v>
      </c>
    </row>
    <row r="578" spans="1:14" ht="15" customHeight="1" x14ac:dyDescent="0.45">
      <c r="A578" s="7">
        <v>2022</v>
      </c>
      <c r="B578" s="5" t="s">
        <v>317</v>
      </c>
      <c r="C578" s="1" t="str">
        <f t="shared" ref="C578:C641" si="18">TRIM(LEFT(B578, LEN(B578) - LEN(TRIM(RIGHT(SUBSTITUTE(TRIM(B578)," ",REPT(" ",100)),100)))))</f>
        <v>Boston Scott</v>
      </c>
      <c r="D578" s="1" t="str">
        <f t="shared" ref="D578:D641" si="19">MID(B578, FIND("(", B578) + 1, FIND(")", B578) - FIND("(", B578) - 1)</f>
        <v>PHI</v>
      </c>
      <c r="E578" s="1">
        <v>54</v>
      </c>
      <c r="F578" s="1">
        <v>217</v>
      </c>
      <c r="G578" s="1">
        <v>4</v>
      </c>
      <c r="H578" s="1">
        <v>3</v>
      </c>
      <c r="I578">
        <v>0</v>
      </c>
      <c r="J578">
        <v>15</v>
      </c>
      <c r="K578" cm="1">
        <f t="array" ref="K578">IFERROR(_xlfn.XLOOKUP(D578&amp;A578, RBWR!A:A&amp;RBWR!C:C, RBWR!B:B), "N/A")</f>
        <v>75</v>
      </c>
      <c r="L578" t="str" cm="1">
        <f t="array" ref="L578">IFERROR(_xlfn.XLOOKUP(C578&amp;A578, RYOE!A:A&amp;RYOE!F:F, RYOE!C:C), "N/A")</f>
        <v>N/A</v>
      </c>
      <c r="M578" t="str" cm="1">
        <f t="array" ref="M578">IFERROR(_xlfn.XLOOKUP(C578&amp;A578, RYOE!A:A&amp;RYOE!F:F, RYOE!D:D), "N/A")</f>
        <v>N/A</v>
      </c>
      <c r="N578" t="str" cm="1">
        <f t="array" ref="N578">IFERROR(_xlfn.XLOOKUP(C578&amp;A578, RYOE!A:A&amp;RYOE!F:F, RYOE!E:E), "N/A")</f>
        <v>N/A</v>
      </c>
    </row>
    <row r="579" spans="1:14" ht="15" customHeight="1" x14ac:dyDescent="0.45">
      <c r="A579" s="8">
        <v>2022</v>
      </c>
      <c r="B579" s="6" t="s">
        <v>304</v>
      </c>
      <c r="C579" s="2" t="str">
        <f t="shared" si="18"/>
        <v>Elijah Mitchell</v>
      </c>
      <c r="D579" s="2" t="str">
        <f t="shared" si="19"/>
        <v>SF</v>
      </c>
      <c r="E579" s="2">
        <v>45</v>
      </c>
      <c r="F579" s="2">
        <v>279</v>
      </c>
      <c r="G579" s="2">
        <v>6.2</v>
      </c>
      <c r="H579" s="2">
        <v>2</v>
      </c>
      <c r="I579">
        <v>0</v>
      </c>
      <c r="J579">
        <v>5</v>
      </c>
      <c r="K579" cm="1">
        <f t="array" ref="K579">IFERROR(_xlfn.XLOOKUP(D579&amp;A579, RBWR!A:A&amp;RBWR!C:C, RBWR!B:B), "N/A")</f>
        <v>71</v>
      </c>
      <c r="L579" t="str" cm="1">
        <f t="array" ref="L579">IFERROR(_xlfn.XLOOKUP(C579&amp;A579, RYOE!A:A&amp;RYOE!F:F, RYOE!C:C), "N/A")</f>
        <v>N/A</v>
      </c>
      <c r="M579" t="str" cm="1">
        <f t="array" ref="M579">IFERROR(_xlfn.XLOOKUP(C579&amp;A579, RYOE!A:A&amp;RYOE!F:F, RYOE!D:D), "N/A")</f>
        <v>N/A</v>
      </c>
      <c r="N579" t="str" cm="1">
        <f t="array" ref="N579">IFERROR(_xlfn.XLOOKUP(C579&amp;A579, RYOE!A:A&amp;RYOE!F:F, RYOE!E:E), "N/A")</f>
        <v>N/A</v>
      </c>
    </row>
    <row r="580" spans="1:14" ht="15" customHeight="1" x14ac:dyDescent="0.45">
      <c r="A580" s="7">
        <v>2022</v>
      </c>
      <c r="B580" s="5" t="s">
        <v>306</v>
      </c>
      <c r="C580" s="1" t="str">
        <f t="shared" si="18"/>
        <v>Matt Breida</v>
      </c>
      <c r="D580" s="1" t="str">
        <f t="shared" si="19"/>
        <v>NYG</v>
      </c>
      <c r="E580" s="1">
        <v>54</v>
      </c>
      <c r="F580" s="1">
        <v>220</v>
      </c>
      <c r="G580" s="1">
        <v>4.0999999999999996</v>
      </c>
      <c r="H580" s="1">
        <v>1</v>
      </c>
      <c r="I580">
        <v>0</v>
      </c>
      <c r="J580">
        <v>17</v>
      </c>
      <c r="K580" cm="1">
        <f t="array" ref="K580">IFERROR(_xlfn.XLOOKUP(D580&amp;A580, RBWR!A:A&amp;RBWR!C:C, RBWR!B:B), "N/A")</f>
        <v>70</v>
      </c>
      <c r="L580" t="str" cm="1">
        <f t="array" ref="L580">IFERROR(_xlfn.XLOOKUP(C580&amp;A580, RYOE!A:A&amp;RYOE!F:F, RYOE!C:C), "N/A")</f>
        <v>N/A</v>
      </c>
      <c r="M580" t="str" cm="1">
        <f t="array" ref="M580">IFERROR(_xlfn.XLOOKUP(C580&amp;A580, RYOE!A:A&amp;RYOE!F:F, RYOE!D:D), "N/A")</f>
        <v>N/A</v>
      </c>
      <c r="N580" t="str" cm="1">
        <f t="array" ref="N580">IFERROR(_xlfn.XLOOKUP(C580&amp;A580, RYOE!A:A&amp;RYOE!F:F, RYOE!E:E), "N/A")</f>
        <v>N/A</v>
      </c>
    </row>
    <row r="581" spans="1:14" ht="15" customHeight="1" x14ac:dyDescent="0.45">
      <c r="A581" s="8">
        <v>2022</v>
      </c>
      <c r="B581" s="6" t="s">
        <v>393</v>
      </c>
      <c r="C581" s="2" t="str">
        <f t="shared" si="18"/>
        <v>Justin Jackson</v>
      </c>
      <c r="D581" s="2" t="str">
        <f t="shared" si="19"/>
        <v>DET</v>
      </c>
      <c r="E581" s="2">
        <v>42</v>
      </c>
      <c r="F581" s="2">
        <v>170</v>
      </c>
      <c r="G581" s="2">
        <v>4</v>
      </c>
      <c r="H581" s="2">
        <v>1</v>
      </c>
      <c r="I581">
        <v>0</v>
      </c>
      <c r="J581">
        <v>15</v>
      </c>
      <c r="K581" cm="1">
        <f t="array" ref="K581">IFERROR(_xlfn.XLOOKUP(D581&amp;A581, RBWR!A:A&amp;RBWR!C:C, RBWR!B:B), "N/A")</f>
        <v>72</v>
      </c>
      <c r="L581" t="str" cm="1">
        <f t="array" ref="L581">IFERROR(_xlfn.XLOOKUP(C581&amp;A581, RYOE!A:A&amp;RYOE!F:F, RYOE!C:C), "N/A")</f>
        <v>N/A</v>
      </c>
      <c r="M581" t="str" cm="1">
        <f t="array" ref="M581">IFERROR(_xlfn.XLOOKUP(C581&amp;A581, RYOE!A:A&amp;RYOE!F:F, RYOE!D:D), "N/A")</f>
        <v>N/A</v>
      </c>
      <c r="N581" t="str" cm="1">
        <f t="array" ref="N581">IFERROR(_xlfn.XLOOKUP(C581&amp;A581, RYOE!A:A&amp;RYOE!F:F, RYOE!E:E), "N/A")</f>
        <v>N/A</v>
      </c>
    </row>
    <row r="582" spans="1:14" ht="15" customHeight="1" x14ac:dyDescent="0.45">
      <c r="A582" s="7">
        <v>2022</v>
      </c>
      <c r="B582" s="5" t="s">
        <v>205</v>
      </c>
      <c r="C582" s="1" t="str">
        <f t="shared" si="18"/>
        <v>Kyle Juszczyk</v>
      </c>
      <c r="D582" s="1" t="str">
        <f t="shared" si="19"/>
        <v>SF</v>
      </c>
      <c r="E582" s="1">
        <v>7</v>
      </c>
      <c r="F582" s="1">
        <v>26</v>
      </c>
      <c r="G582" s="1">
        <v>3.7</v>
      </c>
      <c r="H582" s="1">
        <v>1</v>
      </c>
      <c r="I582">
        <v>0</v>
      </c>
      <c r="J582">
        <v>13</v>
      </c>
      <c r="K582" cm="1">
        <f t="array" ref="K582">IFERROR(_xlfn.XLOOKUP(D582&amp;A582, RBWR!A:A&amp;RBWR!C:C, RBWR!B:B), "N/A")</f>
        <v>71</v>
      </c>
      <c r="L582" t="str" cm="1">
        <f t="array" ref="L582">IFERROR(_xlfn.XLOOKUP(C582&amp;A582, RYOE!A:A&amp;RYOE!F:F, RYOE!C:C), "N/A")</f>
        <v>N/A</v>
      </c>
      <c r="M582" t="str" cm="1">
        <f t="array" ref="M582">IFERROR(_xlfn.XLOOKUP(C582&amp;A582, RYOE!A:A&amp;RYOE!F:F, RYOE!D:D), "N/A")</f>
        <v>N/A</v>
      </c>
      <c r="N582" t="str" cm="1">
        <f t="array" ref="N582">IFERROR(_xlfn.XLOOKUP(C582&amp;A582, RYOE!A:A&amp;RYOE!F:F, RYOE!E:E), "N/A")</f>
        <v>N/A</v>
      </c>
    </row>
    <row r="583" spans="1:14" ht="15" customHeight="1" x14ac:dyDescent="0.45">
      <c r="A583" s="8">
        <v>2022</v>
      </c>
      <c r="B583" s="6" t="s">
        <v>394</v>
      </c>
      <c r="C583" s="2" t="str">
        <f t="shared" si="18"/>
        <v>Rex Burkhead</v>
      </c>
      <c r="D583" s="2" t="str">
        <f t="shared" si="19"/>
        <v>HOU</v>
      </c>
      <c r="E583" s="2">
        <v>26</v>
      </c>
      <c r="F583" s="2">
        <v>80</v>
      </c>
      <c r="G583" s="2">
        <v>3.1</v>
      </c>
      <c r="H583" s="2">
        <v>0</v>
      </c>
      <c r="I583">
        <v>0</v>
      </c>
      <c r="J583">
        <v>15</v>
      </c>
      <c r="K583" cm="1">
        <f t="array" ref="K583">IFERROR(_xlfn.XLOOKUP(D583&amp;A583, RBWR!A:A&amp;RBWR!C:C, RBWR!B:B), "N/A")</f>
        <v>70</v>
      </c>
      <c r="L583" t="str" cm="1">
        <f t="array" ref="L583">IFERROR(_xlfn.XLOOKUP(C583&amp;A583, RYOE!A:A&amp;RYOE!F:F, RYOE!C:C), "N/A")</f>
        <v>N/A</v>
      </c>
      <c r="M583" t="str" cm="1">
        <f t="array" ref="M583">IFERROR(_xlfn.XLOOKUP(C583&amp;A583, RYOE!A:A&amp;RYOE!F:F, RYOE!D:D), "N/A")</f>
        <v>N/A</v>
      </c>
      <c r="N583" t="str" cm="1">
        <f t="array" ref="N583">IFERROR(_xlfn.XLOOKUP(C583&amp;A583, RYOE!A:A&amp;RYOE!F:F, RYOE!E:E), "N/A")</f>
        <v>N/A</v>
      </c>
    </row>
    <row r="584" spans="1:14" ht="15" customHeight="1" x14ac:dyDescent="0.45">
      <c r="A584" s="7">
        <v>2022</v>
      </c>
      <c r="B584" s="5" t="s">
        <v>395</v>
      </c>
      <c r="C584" s="1" t="str">
        <f t="shared" si="18"/>
        <v>Mark Ingram II</v>
      </c>
      <c r="D584" s="1" t="str">
        <f t="shared" si="19"/>
        <v>NO</v>
      </c>
      <c r="E584" s="1">
        <v>62</v>
      </c>
      <c r="F584" s="1">
        <v>233</v>
      </c>
      <c r="G584" s="1">
        <v>3.8</v>
      </c>
      <c r="H584" s="1">
        <v>1</v>
      </c>
      <c r="I584">
        <v>2</v>
      </c>
      <c r="J584">
        <v>10</v>
      </c>
      <c r="K584" cm="1">
        <f t="array" ref="K584">IFERROR(_xlfn.XLOOKUP(D584&amp;A584, RBWR!A:A&amp;RBWR!C:C, RBWR!B:B), "N/A")</f>
        <v>71</v>
      </c>
      <c r="L584" t="str" cm="1">
        <f t="array" ref="L584">IFERROR(_xlfn.XLOOKUP(C584&amp;A584, RYOE!A:A&amp;RYOE!F:F, RYOE!C:C), "N/A")</f>
        <v>N/A</v>
      </c>
      <c r="M584" t="str" cm="1">
        <f t="array" ref="M584">IFERROR(_xlfn.XLOOKUP(C584&amp;A584, RYOE!A:A&amp;RYOE!F:F, RYOE!D:D), "N/A")</f>
        <v>N/A</v>
      </c>
      <c r="N584" t="str" cm="1">
        <f t="array" ref="N584">IFERROR(_xlfn.XLOOKUP(C584&amp;A584, RYOE!A:A&amp;RYOE!F:F, RYOE!E:E), "N/A")</f>
        <v>N/A</v>
      </c>
    </row>
    <row r="585" spans="1:14" ht="15" customHeight="1" x14ac:dyDescent="0.45">
      <c r="A585" s="8">
        <v>2022</v>
      </c>
      <c r="B585" s="6" t="s">
        <v>243</v>
      </c>
      <c r="C585" s="2" t="str">
        <f t="shared" si="18"/>
        <v>Raheem Blackshear</v>
      </c>
      <c r="D585" s="2" t="str">
        <f t="shared" si="19"/>
        <v>CAR</v>
      </c>
      <c r="E585" s="2">
        <v>23</v>
      </c>
      <c r="F585" s="2">
        <v>77</v>
      </c>
      <c r="G585" s="2">
        <v>3.3</v>
      </c>
      <c r="H585" s="2">
        <v>3</v>
      </c>
      <c r="I585">
        <v>1</v>
      </c>
      <c r="J585">
        <v>13</v>
      </c>
      <c r="K585" cm="1">
        <f t="array" ref="K585">IFERROR(_xlfn.XLOOKUP(D585&amp;A585, RBWR!A:A&amp;RBWR!C:C, RBWR!B:B), "N/A")</f>
        <v>72</v>
      </c>
      <c r="L585" t="str" cm="1">
        <f t="array" ref="L585">IFERROR(_xlfn.XLOOKUP(C585&amp;A585, RYOE!A:A&amp;RYOE!F:F, RYOE!C:C), "N/A")</f>
        <v>N/A</v>
      </c>
      <c r="M585" t="str" cm="1">
        <f t="array" ref="M585">IFERROR(_xlfn.XLOOKUP(C585&amp;A585, RYOE!A:A&amp;RYOE!F:F, RYOE!D:D), "N/A")</f>
        <v>N/A</v>
      </c>
      <c r="N585" t="str" cm="1">
        <f t="array" ref="N585">IFERROR(_xlfn.XLOOKUP(C585&amp;A585, RYOE!A:A&amp;RYOE!F:F, RYOE!E:E), "N/A")</f>
        <v>N/A</v>
      </c>
    </row>
    <row r="586" spans="1:14" ht="15" customHeight="1" x14ac:dyDescent="0.45">
      <c r="A586" s="7">
        <v>2022</v>
      </c>
      <c r="B586" s="5" t="s">
        <v>213</v>
      </c>
      <c r="C586" s="1" t="str">
        <f t="shared" si="18"/>
        <v>Jordan Mason</v>
      </c>
      <c r="D586" s="1" t="str">
        <f t="shared" si="19"/>
        <v>SF</v>
      </c>
      <c r="E586" s="1">
        <v>43</v>
      </c>
      <c r="F586" s="1">
        <v>258</v>
      </c>
      <c r="G586" s="1">
        <v>6</v>
      </c>
      <c r="H586" s="1">
        <v>1</v>
      </c>
      <c r="I586">
        <v>0</v>
      </c>
      <c r="J586">
        <v>12</v>
      </c>
      <c r="K586" cm="1">
        <f t="array" ref="K586">IFERROR(_xlfn.XLOOKUP(D586&amp;A586, RBWR!A:A&amp;RBWR!C:C, RBWR!B:B), "N/A")</f>
        <v>71</v>
      </c>
      <c r="L586" t="str" cm="1">
        <f t="array" ref="L586">IFERROR(_xlfn.XLOOKUP(C586&amp;A586, RYOE!A:A&amp;RYOE!F:F, RYOE!C:C), "N/A")</f>
        <v>N/A</v>
      </c>
      <c r="M586" t="str" cm="1">
        <f t="array" ref="M586">IFERROR(_xlfn.XLOOKUP(C586&amp;A586, RYOE!A:A&amp;RYOE!F:F, RYOE!D:D), "N/A")</f>
        <v>N/A</v>
      </c>
      <c r="N586" t="str" cm="1">
        <f t="array" ref="N586">IFERROR(_xlfn.XLOOKUP(C586&amp;A586, RYOE!A:A&amp;RYOE!F:F, RYOE!E:E), "N/A")</f>
        <v>N/A</v>
      </c>
    </row>
    <row r="587" spans="1:14" ht="15" customHeight="1" x14ac:dyDescent="0.45">
      <c r="A587" s="8">
        <v>2022</v>
      </c>
      <c r="B587" s="6" t="s">
        <v>396</v>
      </c>
      <c r="C587" s="2" t="str">
        <f t="shared" si="18"/>
        <v>Ty Johnson</v>
      </c>
      <c r="D587" s="2" t="str">
        <f t="shared" si="19"/>
        <v>NYJ</v>
      </c>
      <c r="E587" s="2">
        <v>30</v>
      </c>
      <c r="F587" s="2">
        <v>160</v>
      </c>
      <c r="G587" s="2">
        <v>5.3</v>
      </c>
      <c r="H587" s="2">
        <v>1</v>
      </c>
      <c r="I587">
        <v>0</v>
      </c>
      <c r="J587">
        <v>12</v>
      </c>
      <c r="K587" cm="1">
        <f t="array" ref="K587">IFERROR(_xlfn.XLOOKUP(D587&amp;A587, RBWR!A:A&amp;RBWR!C:C, RBWR!B:B), "N/A")</f>
        <v>69</v>
      </c>
      <c r="L587" t="str" cm="1">
        <f t="array" ref="L587">IFERROR(_xlfn.XLOOKUP(C587&amp;A587, RYOE!A:A&amp;RYOE!F:F, RYOE!C:C), "N/A")</f>
        <v>N/A</v>
      </c>
      <c r="M587" t="str" cm="1">
        <f t="array" ref="M587">IFERROR(_xlfn.XLOOKUP(C587&amp;A587, RYOE!A:A&amp;RYOE!F:F, RYOE!D:D), "N/A")</f>
        <v>N/A</v>
      </c>
      <c r="N587" t="str" cm="1">
        <f t="array" ref="N587">IFERROR(_xlfn.XLOOKUP(C587&amp;A587, RYOE!A:A&amp;RYOE!F:F, RYOE!E:E), "N/A")</f>
        <v>N/A</v>
      </c>
    </row>
    <row r="588" spans="1:14" ht="15" customHeight="1" x14ac:dyDescent="0.45">
      <c r="A588" s="7">
        <v>2022</v>
      </c>
      <c r="B588" s="5" t="s">
        <v>397</v>
      </c>
      <c r="C588" s="1" t="str">
        <f t="shared" si="18"/>
        <v>Marlon Mack</v>
      </c>
      <c r="D588" s="1" t="str">
        <f t="shared" si="19"/>
        <v>DEN</v>
      </c>
      <c r="E588" s="1">
        <v>16</v>
      </c>
      <c r="F588" s="1">
        <v>84</v>
      </c>
      <c r="G588" s="1">
        <v>5.3</v>
      </c>
      <c r="H588" s="1">
        <v>1</v>
      </c>
      <c r="I588">
        <v>0</v>
      </c>
      <c r="J588">
        <v>8</v>
      </c>
      <c r="K588" cm="1">
        <f t="array" ref="K588">IFERROR(_xlfn.XLOOKUP(D588&amp;A588, RBWR!A:A&amp;RBWR!C:C, RBWR!B:B), "N/A")</f>
        <v>74</v>
      </c>
      <c r="L588" t="str" cm="1">
        <f t="array" ref="L588">IFERROR(_xlfn.XLOOKUP(C588&amp;A588, RYOE!A:A&amp;RYOE!F:F, RYOE!C:C), "N/A")</f>
        <v>N/A</v>
      </c>
      <c r="M588" t="str" cm="1">
        <f t="array" ref="M588">IFERROR(_xlfn.XLOOKUP(C588&amp;A588, RYOE!A:A&amp;RYOE!F:F, RYOE!D:D), "N/A")</f>
        <v>N/A</v>
      </c>
      <c r="N588" t="str" cm="1">
        <f t="array" ref="N588">IFERROR(_xlfn.XLOOKUP(C588&amp;A588, RYOE!A:A&amp;RYOE!F:F, RYOE!E:E), "N/A")</f>
        <v>N/A</v>
      </c>
    </row>
    <row r="589" spans="1:14" ht="15" customHeight="1" x14ac:dyDescent="0.45">
      <c r="A589" s="8">
        <v>2022</v>
      </c>
      <c r="B589" s="6" t="s">
        <v>334</v>
      </c>
      <c r="C589" s="2" t="str">
        <f t="shared" si="18"/>
        <v>DeeJay Dallas</v>
      </c>
      <c r="D589" s="2" t="str">
        <f t="shared" si="19"/>
        <v>SEA</v>
      </c>
      <c r="E589" s="2">
        <v>35</v>
      </c>
      <c r="F589" s="2">
        <v>186</v>
      </c>
      <c r="G589" s="2">
        <v>5.3</v>
      </c>
      <c r="H589" s="2">
        <v>0</v>
      </c>
      <c r="I589">
        <v>0</v>
      </c>
      <c r="J589">
        <v>15</v>
      </c>
      <c r="K589" cm="1">
        <f t="array" ref="K589">IFERROR(_xlfn.XLOOKUP(D589&amp;A589, RBWR!A:A&amp;RBWR!C:C, RBWR!B:B), "N/A")</f>
        <v>71</v>
      </c>
      <c r="L589" t="str" cm="1">
        <f t="array" ref="L589">IFERROR(_xlfn.XLOOKUP(C589&amp;A589, RYOE!A:A&amp;RYOE!F:F, RYOE!C:C), "N/A")</f>
        <v>N/A</v>
      </c>
      <c r="M589" t="str" cm="1">
        <f t="array" ref="M589">IFERROR(_xlfn.XLOOKUP(C589&amp;A589, RYOE!A:A&amp;RYOE!F:F, RYOE!D:D), "N/A")</f>
        <v>N/A</v>
      </c>
      <c r="N589" t="str" cm="1">
        <f t="array" ref="N589">IFERROR(_xlfn.XLOOKUP(C589&amp;A589, RYOE!A:A&amp;RYOE!F:F, RYOE!E:E), "N/A")</f>
        <v>N/A</v>
      </c>
    </row>
    <row r="590" spans="1:14" ht="15" customHeight="1" x14ac:dyDescent="0.45">
      <c r="A590" s="7">
        <v>2022</v>
      </c>
      <c r="B590" s="5" t="s">
        <v>118</v>
      </c>
      <c r="C590" s="1" t="str">
        <f t="shared" si="18"/>
        <v>Justice Hill</v>
      </c>
      <c r="D590" s="1" t="str">
        <f t="shared" si="19"/>
        <v>BAL</v>
      </c>
      <c r="E590" s="1">
        <v>49</v>
      </c>
      <c r="F590" s="1">
        <v>262</v>
      </c>
      <c r="G590" s="1">
        <v>5.3</v>
      </c>
      <c r="H590" s="1">
        <v>0</v>
      </c>
      <c r="I590">
        <v>1</v>
      </c>
      <c r="J590">
        <v>15</v>
      </c>
      <c r="K590" cm="1">
        <f t="array" ref="K590">IFERROR(_xlfn.XLOOKUP(D590&amp;A590, RBWR!A:A&amp;RBWR!C:C, RBWR!B:B), "N/A")</f>
        <v>77</v>
      </c>
      <c r="L590" t="str" cm="1">
        <f t="array" ref="L590">IFERROR(_xlfn.XLOOKUP(C590&amp;A590, RYOE!A:A&amp;RYOE!F:F, RYOE!C:C), "N/A")</f>
        <v>N/A</v>
      </c>
      <c r="M590" t="str" cm="1">
        <f t="array" ref="M590">IFERROR(_xlfn.XLOOKUP(C590&amp;A590, RYOE!A:A&amp;RYOE!F:F, RYOE!D:D), "N/A")</f>
        <v>N/A</v>
      </c>
      <c r="N590" t="str" cm="1">
        <f t="array" ref="N590">IFERROR(_xlfn.XLOOKUP(C590&amp;A590, RYOE!A:A&amp;RYOE!F:F, RYOE!E:E), "N/A")</f>
        <v>N/A</v>
      </c>
    </row>
    <row r="591" spans="1:14" ht="15" customHeight="1" x14ac:dyDescent="0.45">
      <c r="A591" s="8">
        <v>2022</v>
      </c>
      <c r="B591" s="6" t="s">
        <v>215</v>
      </c>
      <c r="C591" s="2" t="str">
        <f t="shared" si="18"/>
        <v>Ameer Abdullah</v>
      </c>
      <c r="D591" s="2" t="str">
        <f t="shared" si="19"/>
        <v>LV</v>
      </c>
      <c r="E591" s="2">
        <v>4</v>
      </c>
      <c r="F591" s="2">
        <v>20</v>
      </c>
      <c r="G591" s="2">
        <v>5</v>
      </c>
      <c r="H591" s="2">
        <v>0</v>
      </c>
      <c r="I591">
        <v>0</v>
      </c>
      <c r="J591">
        <v>16</v>
      </c>
      <c r="K591" cm="1">
        <f t="array" ref="K591">IFERROR(_xlfn.XLOOKUP(D591&amp;A591, RBWR!A:A&amp;RBWR!C:C, RBWR!B:B), "N/A")</f>
        <v>72</v>
      </c>
      <c r="L591" t="str" cm="1">
        <f t="array" ref="L591">IFERROR(_xlfn.XLOOKUP(C591&amp;A591, RYOE!A:A&amp;RYOE!F:F, RYOE!C:C), "N/A")</f>
        <v>N/A</v>
      </c>
      <c r="M591" t="str" cm="1">
        <f t="array" ref="M591">IFERROR(_xlfn.XLOOKUP(C591&amp;A591, RYOE!A:A&amp;RYOE!F:F, RYOE!D:D), "N/A")</f>
        <v>N/A</v>
      </c>
      <c r="N591" t="str" cm="1">
        <f t="array" ref="N591">IFERROR(_xlfn.XLOOKUP(C591&amp;A591, RYOE!A:A&amp;RYOE!F:F, RYOE!E:E), "N/A")</f>
        <v>N/A</v>
      </c>
    </row>
    <row r="592" spans="1:14" ht="15" customHeight="1" x14ac:dyDescent="0.45">
      <c r="A592" s="7">
        <v>2022</v>
      </c>
      <c r="B592" s="5" t="s">
        <v>398</v>
      </c>
      <c r="C592" s="1" t="str">
        <f t="shared" si="18"/>
        <v>J.D. McKissic</v>
      </c>
      <c r="D592" s="1" t="str">
        <f t="shared" si="19"/>
        <v>WAS</v>
      </c>
      <c r="E592" s="1">
        <v>22</v>
      </c>
      <c r="F592" s="1">
        <v>95</v>
      </c>
      <c r="G592" s="1">
        <v>4.3</v>
      </c>
      <c r="H592" s="1">
        <v>0</v>
      </c>
      <c r="I592">
        <v>0</v>
      </c>
      <c r="J592">
        <v>9</v>
      </c>
      <c r="K592" cm="1">
        <f t="array" ref="K592">IFERROR(_xlfn.XLOOKUP(D592&amp;A592, RBWR!A:A&amp;RBWR!C:C, RBWR!B:B), "N/A")</f>
        <v>71</v>
      </c>
      <c r="L592" t="str" cm="1">
        <f t="array" ref="L592">IFERROR(_xlfn.XLOOKUP(C592&amp;A592, RYOE!A:A&amp;RYOE!F:F, RYOE!C:C), "N/A")</f>
        <v>N/A</v>
      </c>
      <c r="M592" t="str" cm="1">
        <f t="array" ref="M592">IFERROR(_xlfn.XLOOKUP(C592&amp;A592, RYOE!A:A&amp;RYOE!F:F, RYOE!D:D), "N/A")</f>
        <v>N/A</v>
      </c>
      <c r="N592" t="str" cm="1">
        <f t="array" ref="N592">IFERROR(_xlfn.XLOOKUP(C592&amp;A592, RYOE!A:A&amp;RYOE!F:F, RYOE!E:E), "N/A")</f>
        <v>N/A</v>
      </c>
    </row>
    <row r="593" spans="1:14" ht="15" customHeight="1" x14ac:dyDescent="0.45">
      <c r="A593" s="8">
        <v>2022</v>
      </c>
      <c r="B593" s="6" t="s">
        <v>149</v>
      </c>
      <c r="C593" s="2" t="str">
        <f t="shared" si="18"/>
        <v>Dare Ogunbowale</v>
      </c>
      <c r="D593" s="2" t="str">
        <f t="shared" si="19"/>
        <v>HOU</v>
      </c>
      <c r="E593" s="2">
        <v>42</v>
      </c>
      <c r="F593" s="2">
        <v>123</v>
      </c>
      <c r="G593" s="2">
        <v>2.9</v>
      </c>
      <c r="H593" s="2">
        <v>1</v>
      </c>
      <c r="I593">
        <v>0</v>
      </c>
      <c r="J593">
        <v>15</v>
      </c>
      <c r="K593" cm="1">
        <f t="array" ref="K593">IFERROR(_xlfn.XLOOKUP(D593&amp;A593, RBWR!A:A&amp;RBWR!C:C, RBWR!B:B), "N/A")</f>
        <v>70</v>
      </c>
      <c r="L593" t="str" cm="1">
        <f t="array" ref="L593">IFERROR(_xlfn.XLOOKUP(C593&amp;A593, RYOE!A:A&amp;RYOE!F:F, RYOE!C:C), "N/A")</f>
        <v>N/A</v>
      </c>
      <c r="M593" t="str" cm="1">
        <f t="array" ref="M593">IFERROR(_xlfn.XLOOKUP(C593&amp;A593, RYOE!A:A&amp;RYOE!F:F, RYOE!D:D), "N/A")</f>
        <v>N/A</v>
      </c>
      <c r="N593" t="str" cm="1">
        <f t="array" ref="N593">IFERROR(_xlfn.XLOOKUP(C593&amp;A593, RYOE!A:A&amp;RYOE!F:F, RYOE!E:E), "N/A")</f>
        <v>N/A</v>
      </c>
    </row>
    <row r="594" spans="1:14" ht="15" customHeight="1" x14ac:dyDescent="0.45">
      <c r="A594" s="7">
        <v>2022</v>
      </c>
      <c r="B594" s="5" t="s">
        <v>94</v>
      </c>
      <c r="C594" s="1" t="str">
        <f t="shared" si="18"/>
        <v>Malik Davis</v>
      </c>
      <c r="D594" s="1" t="str">
        <f t="shared" si="19"/>
        <v>DAL</v>
      </c>
      <c r="E594" s="1">
        <v>38</v>
      </c>
      <c r="F594" s="1">
        <v>161</v>
      </c>
      <c r="G594" s="1">
        <v>4.2</v>
      </c>
      <c r="H594" s="1">
        <v>1</v>
      </c>
      <c r="I594">
        <v>0</v>
      </c>
      <c r="J594">
        <v>6</v>
      </c>
      <c r="K594" cm="1">
        <f t="array" ref="K594">IFERROR(_xlfn.XLOOKUP(D594&amp;A594, RBWR!A:A&amp;RBWR!C:C, RBWR!B:B), "N/A")</f>
        <v>73</v>
      </c>
      <c r="L594" t="str" cm="1">
        <f t="array" ref="L594">IFERROR(_xlfn.XLOOKUP(C594&amp;A594, RYOE!A:A&amp;RYOE!F:F, RYOE!C:C), "N/A")</f>
        <v>N/A</v>
      </c>
      <c r="M594" t="str" cm="1">
        <f t="array" ref="M594">IFERROR(_xlfn.XLOOKUP(C594&amp;A594, RYOE!A:A&amp;RYOE!F:F, RYOE!D:D), "N/A")</f>
        <v>N/A</v>
      </c>
      <c r="N594" t="str" cm="1">
        <f t="array" ref="N594">IFERROR(_xlfn.XLOOKUP(C594&amp;A594, RYOE!A:A&amp;RYOE!F:F, RYOE!E:E), "N/A")</f>
        <v>N/A</v>
      </c>
    </row>
    <row r="595" spans="1:14" ht="15" customHeight="1" x14ac:dyDescent="0.45">
      <c r="A595" s="8">
        <v>2022</v>
      </c>
      <c r="B595" s="6" t="s">
        <v>399</v>
      </c>
      <c r="C595" s="2" t="str">
        <f t="shared" si="18"/>
        <v>Travis Homer</v>
      </c>
      <c r="D595" s="2" t="str">
        <f t="shared" si="19"/>
        <v>SEA</v>
      </c>
      <c r="E595" s="2">
        <v>19</v>
      </c>
      <c r="F595" s="2">
        <v>74</v>
      </c>
      <c r="G595" s="2">
        <v>3.9</v>
      </c>
      <c r="H595" s="2">
        <v>0</v>
      </c>
      <c r="I595">
        <v>1</v>
      </c>
      <c r="J595">
        <v>12</v>
      </c>
      <c r="K595" cm="1">
        <f t="array" ref="K595">IFERROR(_xlfn.XLOOKUP(D595&amp;A595, RBWR!A:A&amp;RBWR!C:C, RBWR!B:B), "N/A")</f>
        <v>71</v>
      </c>
      <c r="L595" t="str" cm="1">
        <f t="array" ref="L595">IFERROR(_xlfn.XLOOKUP(C595&amp;A595, RYOE!A:A&amp;RYOE!F:F, RYOE!C:C), "N/A")</f>
        <v>N/A</v>
      </c>
      <c r="M595" t="str" cm="1">
        <f t="array" ref="M595">IFERROR(_xlfn.XLOOKUP(C595&amp;A595, RYOE!A:A&amp;RYOE!F:F, RYOE!D:D), "N/A")</f>
        <v>N/A</v>
      </c>
      <c r="N595" t="str" cm="1">
        <f t="array" ref="N595">IFERROR(_xlfn.XLOOKUP(C595&amp;A595, RYOE!A:A&amp;RYOE!F:F, RYOE!E:E), "N/A")</f>
        <v>N/A</v>
      </c>
    </row>
    <row r="596" spans="1:14" ht="15" customHeight="1" x14ac:dyDescent="0.45">
      <c r="A596" s="7">
        <v>2022</v>
      </c>
      <c r="B596" s="5" t="s">
        <v>212</v>
      </c>
      <c r="C596" s="1" t="str">
        <f t="shared" si="18"/>
        <v>Javonte Williams</v>
      </c>
      <c r="D596" s="1" t="str">
        <f t="shared" si="19"/>
        <v>DEN</v>
      </c>
      <c r="E596" s="1">
        <v>47</v>
      </c>
      <c r="F596" s="1">
        <v>204</v>
      </c>
      <c r="G596" s="1">
        <v>4.3</v>
      </c>
      <c r="H596" s="1">
        <v>0</v>
      </c>
      <c r="I596">
        <v>1</v>
      </c>
      <c r="J596">
        <v>4</v>
      </c>
      <c r="K596" cm="1">
        <f t="array" ref="K596">IFERROR(_xlfn.XLOOKUP(D596&amp;A596, RBWR!A:A&amp;RBWR!C:C, RBWR!B:B), "N/A")</f>
        <v>74</v>
      </c>
      <c r="L596" t="str" cm="1">
        <f t="array" ref="L596">IFERROR(_xlfn.XLOOKUP(C596&amp;A596, RYOE!A:A&amp;RYOE!F:F, RYOE!C:C), "N/A")</f>
        <v>N/A</v>
      </c>
      <c r="M596" t="str" cm="1">
        <f t="array" ref="M596">IFERROR(_xlfn.XLOOKUP(C596&amp;A596, RYOE!A:A&amp;RYOE!F:F, RYOE!D:D), "N/A")</f>
        <v>N/A</v>
      </c>
      <c r="N596" t="str" cm="1">
        <f t="array" ref="N596">IFERROR(_xlfn.XLOOKUP(C596&amp;A596, RYOE!A:A&amp;RYOE!F:F, RYOE!E:E), "N/A")</f>
        <v>N/A</v>
      </c>
    </row>
    <row r="597" spans="1:14" ht="15" customHeight="1" x14ac:dyDescent="0.45">
      <c r="A597" s="8">
        <v>2022</v>
      </c>
      <c r="B597" s="6" t="s">
        <v>325</v>
      </c>
      <c r="C597" s="2" t="str">
        <f t="shared" si="18"/>
        <v>Gary Brightwell</v>
      </c>
      <c r="D597" s="2" t="str">
        <f t="shared" si="19"/>
        <v>NYG</v>
      </c>
      <c r="E597" s="2">
        <v>31</v>
      </c>
      <c r="F597" s="2">
        <v>141</v>
      </c>
      <c r="G597" s="2">
        <v>4.5</v>
      </c>
      <c r="H597" s="2">
        <v>1</v>
      </c>
      <c r="I597">
        <v>0</v>
      </c>
      <c r="J597">
        <v>15</v>
      </c>
      <c r="K597" cm="1">
        <f t="array" ref="K597">IFERROR(_xlfn.XLOOKUP(D597&amp;A597, RBWR!A:A&amp;RBWR!C:C, RBWR!B:B), "N/A")</f>
        <v>70</v>
      </c>
      <c r="L597" t="str" cm="1">
        <f t="array" ref="L597">IFERROR(_xlfn.XLOOKUP(C597&amp;A597, RYOE!A:A&amp;RYOE!F:F, RYOE!C:C), "N/A")</f>
        <v>N/A</v>
      </c>
      <c r="M597" t="str" cm="1">
        <f t="array" ref="M597">IFERROR(_xlfn.XLOOKUP(C597&amp;A597, RYOE!A:A&amp;RYOE!F:F, RYOE!D:D), "N/A")</f>
        <v>N/A</v>
      </c>
      <c r="N597" t="str" cm="1">
        <f t="array" ref="N597">IFERROR(_xlfn.XLOOKUP(C597&amp;A597, RYOE!A:A&amp;RYOE!F:F, RYOE!E:E), "N/A")</f>
        <v>N/A</v>
      </c>
    </row>
    <row r="598" spans="1:14" ht="15" customHeight="1" x14ac:dyDescent="0.45">
      <c r="A598" s="7">
        <v>2022</v>
      </c>
      <c r="B598" s="5" t="s">
        <v>163</v>
      </c>
      <c r="C598" s="1" t="str">
        <f t="shared" si="18"/>
        <v>Alec Ingold</v>
      </c>
      <c r="D598" s="1" t="str">
        <f t="shared" si="19"/>
        <v>MIA</v>
      </c>
      <c r="E598" s="1">
        <v>6</v>
      </c>
      <c r="F598" s="1">
        <v>8</v>
      </c>
      <c r="G598" s="1">
        <v>1.3</v>
      </c>
      <c r="H598" s="1">
        <v>1</v>
      </c>
      <c r="I598">
        <v>0</v>
      </c>
      <c r="J598">
        <v>13</v>
      </c>
      <c r="K598" cm="1">
        <f t="array" ref="K598">IFERROR(_xlfn.XLOOKUP(D598&amp;A598, RBWR!A:A&amp;RBWR!C:C, RBWR!B:B), "N/A")</f>
        <v>71</v>
      </c>
      <c r="L598" t="str" cm="1">
        <f t="array" ref="L598">IFERROR(_xlfn.XLOOKUP(C598&amp;A598, RYOE!A:A&amp;RYOE!F:F, RYOE!C:C), "N/A")</f>
        <v>N/A</v>
      </c>
      <c r="M598" t="str" cm="1">
        <f t="array" ref="M598">IFERROR(_xlfn.XLOOKUP(C598&amp;A598, RYOE!A:A&amp;RYOE!F:F, RYOE!D:D), "N/A")</f>
        <v>N/A</v>
      </c>
      <c r="N598" t="str" cm="1">
        <f t="array" ref="N598">IFERROR(_xlfn.XLOOKUP(C598&amp;A598, RYOE!A:A&amp;RYOE!F:F, RYOE!E:E), "N/A")</f>
        <v>N/A</v>
      </c>
    </row>
    <row r="599" spans="1:14" ht="15" customHeight="1" x14ac:dyDescent="0.45">
      <c r="A599" s="8">
        <v>2022</v>
      </c>
      <c r="B599" s="6" t="s">
        <v>172</v>
      </c>
      <c r="C599" s="2" t="str">
        <f t="shared" si="18"/>
        <v>Craig Reynolds</v>
      </c>
      <c r="D599" s="2" t="str">
        <f t="shared" si="19"/>
        <v>DET</v>
      </c>
      <c r="E599" s="2">
        <v>23</v>
      </c>
      <c r="F599" s="2">
        <v>102</v>
      </c>
      <c r="G599" s="2">
        <v>4.4000000000000004</v>
      </c>
      <c r="H599" s="2">
        <v>0</v>
      </c>
      <c r="I599">
        <v>0</v>
      </c>
      <c r="J599">
        <v>7</v>
      </c>
      <c r="K599" cm="1">
        <f t="array" ref="K599">IFERROR(_xlfn.XLOOKUP(D599&amp;A599, RBWR!A:A&amp;RBWR!C:C, RBWR!B:B), "N/A")</f>
        <v>72</v>
      </c>
      <c r="L599" t="str" cm="1">
        <f t="array" ref="L599">IFERROR(_xlfn.XLOOKUP(C599&amp;A599, RYOE!A:A&amp;RYOE!F:F, RYOE!C:C), "N/A")</f>
        <v>N/A</v>
      </c>
      <c r="M599" t="str" cm="1">
        <f t="array" ref="M599">IFERROR(_xlfn.XLOOKUP(C599&amp;A599, RYOE!A:A&amp;RYOE!F:F, RYOE!D:D), "N/A")</f>
        <v>N/A</v>
      </c>
      <c r="N599" t="str" cm="1">
        <f t="array" ref="N599">IFERROR(_xlfn.XLOOKUP(C599&amp;A599, RYOE!A:A&amp;RYOE!F:F, RYOE!E:E), "N/A")</f>
        <v>N/A</v>
      </c>
    </row>
    <row r="600" spans="1:14" ht="15" customHeight="1" x14ac:dyDescent="0.45">
      <c r="A600" s="7">
        <v>2022</v>
      </c>
      <c r="B600" s="5" t="s">
        <v>38</v>
      </c>
      <c r="C600" s="1" t="str">
        <f t="shared" si="18"/>
        <v>Kyren Williams</v>
      </c>
      <c r="D600" s="1" t="str">
        <f t="shared" si="19"/>
        <v>LAR</v>
      </c>
      <c r="E600" s="1">
        <v>35</v>
      </c>
      <c r="F600" s="1">
        <v>139</v>
      </c>
      <c r="G600" s="1">
        <v>4</v>
      </c>
      <c r="H600" s="1">
        <v>0</v>
      </c>
      <c r="I600">
        <v>0</v>
      </c>
      <c r="J600">
        <v>8</v>
      </c>
      <c r="K600" cm="1">
        <f t="array" ref="K600">IFERROR(_xlfn.XLOOKUP(D600&amp;A600, RBWR!A:A&amp;RBWR!C:C, RBWR!B:B), "N/A")</f>
        <v>72</v>
      </c>
      <c r="L600" t="str" cm="1">
        <f t="array" ref="L600">IFERROR(_xlfn.XLOOKUP(C600&amp;A600, RYOE!A:A&amp;RYOE!F:F, RYOE!C:C), "N/A")</f>
        <v>N/A</v>
      </c>
      <c r="M600" t="str" cm="1">
        <f t="array" ref="M600">IFERROR(_xlfn.XLOOKUP(C600&amp;A600, RYOE!A:A&amp;RYOE!F:F, RYOE!D:D), "N/A")</f>
        <v>N/A</v>
      </c>
      <c r="N600" t="str" cm="1">
        <f t="array" ref="N600">IFERROR(_xlfn.XLOOKUP(C600&amp;A600, RYOE!A:A&amp;RYOE!F:F, RYOE!E:E), "N/A")</f>
        <v>N/A</v>
      </c>
    </row>
    <row r="601" spans="1:14" ht="15" customHeight="1" x14ac:dyDescent="0.45">
      <c r="A601" s="8">
        <v>2022</v>
      </c>
      <c r="B601" s="6" t="s">
        <v>168</v>
      </c>
      <c r="C601" s="2" t="str">
        <f t="shared" si="18"/>
        <v>C.J. Ham</v>
      </c>
      <c r="D601" s="2" t="str">
        <f t="shared" si="19"/>
        <v>MIN</v>
      </c>
      <c r="E601" s="2">
        <v>4</v>
      </c>
      <c r="F601" s="2">
        <v>7</v>
      </c>
      <c r="G601" s="2">
        <v>1.8</v>
      </c>
      <c r="H601" s="2">
        <v>2</v>
      </c>
      <c r="I601">
        <v>0</v>
      </c>
      <c r="J601">
        <v>12</v>
      </c>
      <c r="K601" cm="1">
        <f t="array" ref="K601">IFERROR(_xlfn.XLOOKUP(D601&amp;A601, RBWR!A:A&amp;RBWR!C:C, RBWR!B:B), "N/A")</f>
        <v>71</v>
      </c>
      <c r="L601" t="str" cm="1">
        <f t="array" ref="L601">IFERROR(_xlfn.XLOOKUP(C601&amp;A601, RYOE!A:A&amp;RYOE!F:F, RYOE!C:C), "N/A")</f>
        <v>N/A</v>
      </c>
      <c r="M601" t="str" cm="1">
        <f t="array" ref="M601">IFERROR(_xlfn.XLOOKUP(C601&amp;A601, RYOE!A:A&amp;RYOE!F:F, RYOE!D:D), "N/A")</f>
        <v>N/A</v>
      </c>
      <c r="N601" t="str" cm="1">
        <f t="array" ref="N601">IFERROR(_xlfn.XLOOKUP(C601&amp;A601, RYOE!A:A&amp;RYOE!F:F, RYOE!E:E), "N/A")</f>
        <v>N/A</v>
      </c>
    </row>
    <row r="602" spans="1:14" ht="15" customHeight="1" x14ac:dyDescent="0.45">
      <c r="A602" s="7">
        <v>2022</v>
      </c>
      <c r="B602" s="5" t="s">
        <v>272</v>
      </c>
      <c r="C602" s="1" t="str">
        <f t="shared" si="18"/>
        <v>Avery Williams</v>
      </c>
      <c r="D602" s="1" t="str">
        <f t="shared" si="19"/>
        <v>ATL</v>
      </c>
      <c r="E602" s="1">
        <v>22</v>
      </c>
      <c r="F602" s="1">
        <v>109</v>
      </c>
      <c r="G602" s="1">
        <v>5</v>
      </c>
      <c r="H602" s="1">
        <v>1</v>
      </c>
      <c r="I602">
        <v>1</v>
      </c>
      <c r="J602">
        <v>17</v>
      </c>
      <c r="K602" cm="1">
        <f t="array" ref="K602">IFERROR(_xlfn.XLOOKUP(D602&amp;A602, RBWR!A:A&amp;RBWR!C:C, RBWR!B:B), "N/A")</f>
        <v>71</v>
      </c>
      <c r="L602" t="str" cm="1">
        <f t="array" ref="L602">IFERROR(_xlfn.XLOOKUP(C602&amp;A602, RYOE!A:A&amp;RYOE!F:F, RYOE!C:C), "N/A")</f>
        <v>N/A</v>
      </c>
      <c r="M602" t="str" cm="1">
        <f t="array" ref="M602">IFERROR(_xlfn.XLOOKUP(C602&amp;A602, RYOE!A:A&amp;RYOE!F:F, RYOE!D:D), "N/A")</f>
        <v>N/A</v>
      </c>
      <c r="N602" t="str" cm="1">
        <f t="array" ref="N602">IFERROR(_xlfn.XLOOKUP(C602&amp;A602, RYOE!A:A&amp;RYOE!F:F, RYOE!E:E), "N/A")</f>
        <v>N/A</v>
      </c>
    </row>
    <row r="603" spans="1:14" ht="15" customHeight="1" x14ac:dyDescent="0.45">
      <c r="A603" s="8">
        <v>2022</v>
      </c>
      <c r="B603" s="6" t="s">
        <v>400</v>
      </c>
      <c r="C603" s="2" t="str">
        <f t="shared" si="18"/>
        <v>Pierre Strong Jr.</v>
      </c>
      <c r="D603" s="2" t="str">
        <f t="shared" si="19"/>
        <v>NE</v>
      </c>
      <c r="E603" s="2">
        <v>10</v>
      </c>
      <c r="F603" s="2">
        <v>100</v>
      </c>
      <c r="G603" s="2">
        <v>10</v>
      </c>
      <c r="H603" s="2">
        <v>1</v>
      </c>
      <c r="I603">
        <v>0</v>
      </c>
      <c r="J603">
        <v>10</v>
      </c>
      <c r="K603" cm="1">
        <f t="array" ref="K603">IFERROR(_xlfn.XLOOKUP(D603&amp;A603, RBWR!A:A&amp;RBWR!C:C, RBWR!B:B), "N/A")</f>
        <v>68</v>
      </c>
      <c r="L603" t="str" cm="1">
        <f t="array" ref="L603">IFERROR(_xlfn.XLOOKUP(C603&amp;A603, RYOE!A:A&amp;RYOE!F:F, RYOE!C:C), "N/A")</f>
        <v>N/A</v>
      </c>
      <c r="M603" t="str" cm="1">
        <f t="array" ref="M603">IFERROR(_xlfn.XLOOKUP(C603&amp;A603, RYOE!A:A&amp;RYOE!F:F, RYOE!D:D), "N/A")</f>
        <v>N/A</v>
      </c>
      <c r="N603" t="str" cm="1">
        <f t="array" ref="N603">IFERROR(_xlfn.XLOOKUP(C603&amp;A603, RYOE!A:A&amp;RYOE!F:F, RYOE!E:E), "N/A")</f>
        <v>N/A</v>
      </c>
    </row>
    <row r="604" spans="1:14" ht="15" customHeight="1" x14ac:dyDescent="0.45">
      <c r="A604" s="7">
        <v>2022</v>
      </c>
      <c r="B604" s="5" t="s">
        <v>401</v>
      </c>
      <c r="C604" s="1" t="str">
        <f t="shared" si="18"/>
        <v>Mike Boone</v>
      </c>
      <c r="D604" s="1" t="str">
        <f t="shared" si="19"/>
        <v>DEN</v>
      </c>
      <c r="E604" s="1">
        <v>24</v>
      </c>
      <c r="F604" s="1">
        <v>102</v>
      </c>
      <c r="G604" s="1">
        <v>4.3</v>
      </c>
      <c r="H604" s="1">
        <v>0</v>
      </c>
      <c r="I604">
        <v>0</v>
      </c>
      <c r="J604">
        <v>8</v>
      </c>
      <c r="K604" cm="1">
        <f t="array" ref="K604">IFERROR(_xlfn.XLOOKUP(D604&amp;A604, RBWR!A:A&amp;RBWR!C:C, RBWR!B:B), "N/A")</f>
        <v>74</v>
      </c>
      <c r="L604" t="str" cm="1">
        <f t="array" ref="L604">IFERROR(_xlfn.XLOOKUP(C604&amp;A604, RYOE!A:A&amp;RYOE!F:F, RYOE!C:C), "N/A")</f>
        <v>N/A</v>
      </c>
      <c r="M604" t="str" cm="1">
        <f t="array" ref="M604">IFERROR(_xlfn.XLOOKUP(C604&amp;A604, RYOE!A:A&amp;RYOE!F:F, RYOE!D:D), "N/A")</f>
        <v>N/A</v>
      </c>
      <c r="N604" t="str" cm="1">
        <f t="array" ref="N604">IFERROR(_xlfn.XLOOKUP(C604&amp;A604, RYOE!A:A&amp;RYOE!F:F, RYOE!E:E), "N/A")</f>
        <v>N/A</v>
      </c>
    </row>
    <row r="605" spans="1:14" ht="15" customHeight="1" x14ac:dyDescent="0.45">
      <c r="A605" s="8">
        <v>2022</v>
      </c>
      <c r="B605" s="6" t="s">
        <v>368</v>
      </c>
      <c r="C605" s="2" t="str">
        <f t="shared" si="18"/>
        <v>Jonathan Williams</v>
      </c>
      <c r="D605" s="2" t="str">
        <f t="shared" si="19"/>
        <v>WAS</v>
      </c>
      <c r="E605" s="2">
        <v>37</v>
      </c>
      <c r="F605" s="2">
        <v>152</v>
      </c>
      <c r="G605" s="2">
        <v>4.0999999999999996</v>
      </c>
      <c r="H605" s="2">
        <v>0</v>
      </c>
      <c r="I605">
        <v>0</v>
      </c>
      <c r="J605">
        <v>9</v>
      </c>
      <c r="K605" cm="1">
        <f t="array" ref="K605">IFERROR(_xlfn.XLOOKUP(D605&amp;A605, RBWR!A:A&amp;RBWR!C:C, RBWR!B:B), "N/A")</f>
        <v>71</v>
      </c>
      <c r="L605" t="str" cm="1">
        <f t="array" ref="L605">IFERROR(_xlfn.XLOOKUP(C605&amp;A605, RYOE!A:A&amp;RYOE!F:F, RYOE!C:C), "N/A")</f>
        <v>N/A</v>
      </c>
      <c r="M605" t="str" cm="1">
        <f t="array" ref="M605">IFERROR(_xlfn.XLOOKUP(C605&amp;A605, RYOE!A:A&amp;RYOE!F:F, RYOE!D:D), "N/A")</f>
        <v>N/A</v>
      </c>
      <c r="N605" t="str" cm="1">
        <f t="array" ref="N605">IFERROR(_xlfn.XLOOKUP(C605&amp;A605, RYOE!A:A&amp;RYOE!F:F, RYOE!E:E), "N/A")</f>
        <v>N/A</v>
      </c>
    </row>
    <row r="606" spans="1:14" ht="15" customHeight="1" x14ac:dyDescent="0.45">
      <c r="A606" s="7">
        <v>2022</v>
      </c>
      <c r="B606" s="5" t="s">
        <v>402</v>
      </c>
      <c r="C606" s="1" t="str">
        <f t="shared" si="18"/>
        <v>Tevin Coleman</v>
      </c>
      <c r="D606" s="1" t="str">
        <f t="shared" si="19"/>
        <v>SF</v>
      </c>
      <c r="E606" s="1">
        <v>12</v>
      </c>
      <c r="F606" s="1">
        <v>26</v>
      </c>
      <c r="G606" s="1">
        <v>2.2000000000000002</v>
      </c>
      <c r="H606" s="1">
        <v>1</v>
      </c>
      <c r="I606">
        <v>0</v>
      </c>
      <c r="J606">
        <v>3</v>
      </c>
      <c r="K606" cm="1">
        <f t="array" ref="K606">IFERROR(_xlfn.XLOOKUP(D606&amp;A606, RBWR!A:A&amp;RBWR!C:C, RBWR!B:B), "N/A")</f>
        <v>71</v>
      </c>
      <c r="L606" t="str" cm="1">
        <f t="array" ref="L606">IFERROR(_xlfn.XLOOKUP(C606&amp;A606, RYOE!A:A&amp;RYOE!F:F, RYOE!C:C), "N/A")</f>
        <v>N/A</v>
      </c>
      <c r="M606" t="str" cm="1">
        <f t="array" ref="M606">IFERROR(_xlfn.XLOOKUP(C606&amp;A606, RYOE!A:A&amp;RYOE!F:F, RYOE!D:D), "N/A")</f>
        <v>N/A</v>
      </c>
      <c r="N606" t="str" cm="1">
        <f t="array" ref="N606">IFERROR(_xlfn.XLOOKUP(C606&amp;A606, RYOE!A:A&amp;RYOE!F:F, RYOE!E:E), "N/A")</f>
        <v>N/A</v>
      </c>
    </row>
    <row r="607" spans="1:14" ht="15" customHeight="1" x14ac:dyDescent="0.45">
      <c r="A607" s="8">
        <v>2022</v>
      </c>
      <c r="B607" s="6" t="s">
        <v>318</v>
      </c>
      <c r="C607" s="2" t="str">
        <f t="shared" si="18"/>
        <v>Brandon Bolden</v>
      </c>
      <c r="D607" s="2" t="str">
        <f t="shared" si="19"/>
        <v>LV</v>
      </c>
      <c r="E607" s="2">
        <v>17</v>
      </c>
      <c r="F607" s="2">
        <v>66</v>
      </c>
      <c r="G607" s="2">
        <v>3.9</v>
      </c>
      <c r="H607" s="2">
        <v>0</v>
      </c>
      <c r="I607">
        <v>0</v>
      </c>
      <c r="J607">
        <v>13</v>
      </c>
      <c r="K607" cm="1">
        <f t="array" ref="K607">IFERROR(_xlfn.XLOOKUP(D607&amp;A607, RBWR!A:A&amp;RBWR!C:C, RBWR!B:B), "N/A")</f>
        <v>72</v>
      </c>
      <c r="L607" t="str" cm="1">
        <f t="array" ref="L607">IFERROR(_xlfn.XLOOKUP(C607&amp;A607, RYOE!A:A&amp;RYOE!F:F, RYOE!C:C), "N/A")</f>
        <v>N/A</v>
      </c>
      <c r="M607" t="str" cm="1">
        <f t="array" ref="M607">IFERROR(_xlfn.XLOOKUP(C607&amp;A607, RYOE!A:A&amp;RYOE!F:F, RYOE!D:D), "N/A")</f>
        <v>N/A</v>
      </c>
      <c r="N607" t="str" cm="1">
        <f t="array" ref="N607">IFERROR(_xlfn.XLOOKUP(C607&amp;A607, RYOE!A:A&amp;RYOE!F:F, RYOE!E:E), "N/A")</f>
        <v>N/A</v>
      </c>
    </row>
    <row r="608" spans="1:14" ht="15" customHeight="1" x14ac:dyDescent="0.45">
      <c r="A608" s="7">
        <v>2022</v>
      </c>
      <c r="B608" s="5" t="s">
        <v>403</v>
      </c>
      <c r="C608" s="1" t="str">
        <f t="shared" si="18"/>
        <v>Malcolm Brown</v>
      </c>
      <c r="D608" s="1" t="str">
        <f t="shared" si="19"/>
        <v>LAR</v>
      </c>
      <c r="E608" s="1">
        <v>18</v>
      </c>
      <c r="F608" s="1">
        <v>81</v>
      </c>
      <c r="G608" s="1">
        <v>4.5</v>
      </c>
      <c r="H608" s="1">
        <v>1</v>
      </c>
      <c r="I608">
        <v>0</v>
      </c>
      <c r="J608">
        <v>7</v>
      </c>
      <c r="K608" cm="1">
        <f t="array" ref="K608">IFERROR(_xlfn.XLOOKUP(D608&amp;A608, RBWR!A:A&amp;RBWR!C:C, RBWR!B:B), "N/A")</f>
        <v>72</v>
      </c>
      <c r="L608" t="str" cm="1">
        <f t="array" ref="L608">IFERROR(_xlfn.XLOOKUP(C608&amp;A608, RYOE!A:A&amp;RYOE!F:F, RYOE!C:C), "N/A")</f>
        <v>N/A</v>
      </c>
      <c r="M608" t="str" cm="1">
        <f t="array" ref="M608">IFERROR(_xlfn.XLOOKUP(C608&amp;A608, RYOE!A:A&amp;RYOE!F:F, RYOE!D:D), "N/A")</f>
        <v>N/A</v>
      </c>
      <c r="N608" t="str" cm="1">
        <f t="array" ref="N608">IFERROR(_xlfn.XLOOKUP(C608&amp;A608, RYOE!A:A&amp;RYOE!F:F, RYOE!E:E), "N/A")</f>
        <v>N/A</v>
      </c>
    </row>
    <row r="609" spans="1:14" ht="15" customHeight="1" x14ac:dyDescent="0.45">
      <c r="A609" s="8">
        <v>2022</v>
      </c>
      <c r="B609" s="6" t="s">
        <v>404</v>
      </c>
      <c r="C609" s="2" t="str">
        <f t="shared" si="18"/>
        <v>Darrel Williams</v>
      </c>
      <c r="D609" s="2" t="str">
        <f t="shared" si="19"/>
        <v>ARI</v>
      </c>
      <c r="E609" s="2">
        <v>21</v>
      </c>
      <c r="F609" s="2">
        <v>102</v>
      </c>
      <c r="G609" s="2">
        <v>4.9000000000000004</v>
      </c>
      <c r="H609" s="2">
        <v>1</v>
      </c>
      <c r="I609">
        <v>0</v>
      </c>
      <c r="J609">
        <v>5</v>
      </c>
      <c r="K609" cm="1">
        <f t="array" ref="K609">IFERROR(_xlfn.XLOOKUP(D609&amp;A609, RBWR!A:A&amp;RBWR!C:C, RBWR!B:B), "N/A")</f>
        <v>73</v>
      </c>
      <c r="L609" t="str" cm="1">
        <f t="array" ref="L609">IFERROR(_xlfn.XLOOKUP(C609&amp;A609, RYOE!A:A&amp;RYOE!F:F, RYOE!C:C), "N/A")</f>
        <v>N/A</v>
      </c>
      <c r="M609" t="str" cm="1">
        <f t="array" ref="M609">IFERROR(_xlfn.XLOOKUP(C609&amp;A609, RYOE!A:A&amp;RYOE!F:F, RYOE!D:D), "N/A")</f>
        <v>N/A</v>
      </c>
      <c r="N609" t="str" cm="1">
        <f t="array" ref="N609">IFERROR(_xlfn.XLOOKUP(C609&amp;A609, RYOE!A:A&amp;RYOE!F:F, RYOE!E:E), "N/A")</f>
        <v>N/A</v>
      </c>
    </row>
    <row r="610" spans="1:14" ht="15" customHeight="1" x14ac:dyDescent="0.45">
      <c r="A610" s="7">
        <v>2022</v>
      </c>
      <c r="B610" s="5" t="s">
        <v>353</v>
      </c>
      <c r="C610" s="1" t="str">
        <f t="shared" si="18"/>
        <v>Corey Clement</v>
      </c>
      <c r="D610" s="1" t="str">
        <f t="shared" si="19"/>
        <v>ARI</v>
      </c>
      <c r="E610" s="1">
        <v>15</v>
      </c>
      <c r="F610" s="1">
        <v>55</v>
      </c>
      <c r="G610" s="1">
        <v>3.7</v>
      </c>
      <c r="H610" s="1">
        <v>1</v>
      </c>
      <c r="I610">
        <v>0</v>
      </c>
      <c r="J610">
        <v>5</v>
      </c>
      <c r="K610" cm="1">
        <f t="array" ref="K610">IFERROR(_xlfn.XLOOKUP(D610&amp;A610, RBWR!A:A&amp;RBWR!C:C, RBWR!B:B), "N/A")</f>
        <v>73</v>
      </c>
      <c r="L610" t="str" cm="1">
        <f t="array" ref="L610">IFERROR(_xlfn.XLOOKUP(C610&amp;A610, RYOE!A:A&amp;RYOE!F:F, RYOE!C:C), "N/A")</f>
        <v>N/A</v>
      </c>
      <c r="M610" t="str" cm="1">
        <f t="array" ref="M610">IFERROR(_xlfn.XLOOKUP(C610&amp;A610, RYOE!A:A&amp;RYOE!F:F, RYOE!D:D), "N/A")</f>
        <v>N/A</v>
      </c>
      <c r="N610" t="str" cm="1">
        <f t="array" ref="N610">IFERROR(_xlfn.XLOOKUP(C610&amp;A610, RYOE!A:A&amp;RYOE!F:F, RYOE!E:E), "N/A")</f>
        <v>N/A</v>
      </c>
    </row>
    <row r="611" spans="1:14" ht="15" customHeight="1" x14ac:dyDescent="0.45">
      <c r="A611" s="8">
        <v>2022</v>
      </c>
      <c r="B611" s="6" t="s">
        <v>405</v>
      </c>
      <c r="C611" s="2" t="str">
        <f t="shared" si="18"/>
        <v>Benny Snell Jr.</v>
      </c>
      <c r="D611" s="2" t="str">
        <f t="shared" si="19"/>
        <v>PIT</v>
      </c>
      <c r="E611" s="2">
        <v>20</v>
      </c>
      <c r="F611" s="2">
        <v>90</v>
      </c>
      <c r="G611" s="2">
        <v>4.5</v>
      </c>
      <c r="H611" s="2">
        <v>1</v>
      </c>
      <c r="I611">
        <v>0</v>
      </c>
      <c r="J611">
        <v>9</v>
      </c>
      <c r="K611" cm="1">
        <f t="array" ref="K611">IFERROR(_xlfn.XLOOKUP(D611&amp;A611, RBWR!A:A&amp;RBWR!C:C, RBWR!B:B), "N/A")</f>
        <v>72</v>
      </c>
      <c r="L611" t="str" cm="1">
        <f t="array" ref="L611">IFERROR(_xlfn.XLOOKUP(C611&amp;A611, RYOE!A:A&amp;RYOE!F:F, RYOE!C:C), "N/A")</f>
        <v>N/A</v>
      </c>
      <c r="M611" t="str" cm="1">
        <f t="array" ref="M611">IFERROR(_xlfn.XLOOKUP(C611&amp;A611, RYOE!A:A&amp;RYOE!F:F, RYOE!D:D), "N/A")</f>
        <v>N/A</v>
      </c>
      <c r="N611" t="str" cm="1">
        <f t="array" ref="N611">IFERROR(_xlfn.XLOOKUP(C611&amp;A611, RYOE!A:A&amp;RYOE!F:F, RYOE!E:E), "N/A")</f>
        <v>N/A</v>
      </c>
    </row>
    <row r="612" spans="1:14" ht="15" customHeight="1" x14ac:dyDescent="0.45">
      <c r="A612" s="7">
        <v>2022</v>
      </c>
      <c r="B612" s="5" t="s">
        <v>406</v>
      </c>
      <c r="C612" s="1" t="str">
        <f t="shared" si="18"/>
        <v>Sony Michel</v>
      </c>
      <c r="D612" s="1" t="str">
        <f t="shared" si="19"/>
        <v>LAC</v>
      </c>
      <c r="E612" s="1">
        <v>36</v>
      </c>
      <c r="F612" s="1">
        <v>106</v>
      </c>
      <c r="G612" s="1">
        <v>2.9</v>
      </c>
      <c r="H612" s="1">
        <v>0</v>
      </c>
      <c r="I612">
        <v>0</v>
      </c>
      <c r="J612">
        <v>10</v>
      </c>
      <c r="K612" cm="1">
        <f t="array" ref="K612">IFERROR(_xlfn.XLOOKUP(D612&amp;A612, RBWR!A:A&amp;RBWR!C:C, RBWR!B:B), "N/A")</f>
        <v>70</v>
      </c>
      <c r="L612" t="str" cm="1">
        <f t="array" ref="L612">IFERROR(_xlfn.XLOOKUP(C612&amp;A612, RYOE!A:A&amp;RYOE!F:F, RYOE!C:C), "N/A")</f>
        <v>N/A</v>
      </c>
      <c r="M612" t="str" cm="1">
        <f t="array" ref="M612">IFERROR(_xlfn.XLOOKUP(C612&amp;A612, RYOE!A:A&amp;RYOE!F:F, RYOE!D:D), "N/A")</f>
        <v>N/A</v>
      </c>
      <c r="N612" t="str" cm="1">
        <f t="array" ref="N612">IFERROR(_xlfn.XLOOKUP(C612&amp;A612, RYOE!A:A&amp;RYOE!F:F, RYOE!E:E), "N/A")</f>
        <v>N/A</v>
      </c>
    </row>
    <row r="613" spans="1:14" ht="15" customHeight="1" x14ac:dyDescent="0.45">
      <c r="A613" s="8">
        <v>2022</v>
      </c>
      <c r="B613" s="6" t="s">
        <v>407</v>
      </c>
      <c r="C613" s="2" t="str">
        <f t="shared" si="18"/>
        <v>Derek Watt</v>
      </c>
      <c r="D613" s="2" t="str">
        <f t="shared" si="19"/>
        <v>PIT</v>
      </c>
      <c r="E613" s="2">
        <v>9</v>
      </c>
      <c r="F613" s="2">
        <v>21</v>
      </c>
      <c r="G613" s="2">
        <v>2.2999999999999998</v>
      </c>
      <c r="H613" s="2">
        <v>1</v>
      </c>
      <c r="I613">
        <v>0</v>
      </c>
      <c r="J613">
        <v>12</v>
      </c>
      <c r="K613" cm="1">
        <f t="array" ref="K613">IFERROR(_xlfn.XLOOKUP(D613&amp;A613, RBWR!A:A&amp;RBWR!C:C, RBWR!B:B), "N/A")</f>
        <v>72</v>
      </c>
      <c r="L613" t="str" cm="1">
        <f t="array" ref="L613">IFERROR(_xlfn.XLOOKUP(C613&amp;A613, RYOE!A:A&amp;RYOE!F:F, RYOE!C:C), "N/A")</f>
        <v>N/A</v>
      </c>
      <c r="M613" t="str" cm="1">
        <f t="array" ref="M613">IFERROR(_xlfn.XLOOKUP(C613&amp;A613, RYOE!A:A&amp;RYOE!F:F, RYOE!D:D), "N/A")</f>
        <v>N/A</v>
      </c>
      <c r="N613" t="str" cm="1">
        <f t="array" ref="N613">IFERROR(_xlfn.XLOOKUP(C613&amp;A613, RYOE!A:A&amp;RYOE!F:F, RYOE!E:E), "N/A")</f>
        <v>N/A</v>
      </c>
    </row>
    <row r="614" spans="1:14" ht="15" customHeight="1" x14ac:dyDescent="0.45">
      <c r="A614" s="7">
        <v>2022</v>
      </c>
      <c r="B614" s="5" t="s">
        <v>408</v>
      </c>
      <c r="C614" s="1" t="str">
        <f t="shared" si="18"/>
        <v>Ronald Jones II</v>
      </c>
      <c r="D614" s="1" t="str">
        <f t="shared" si="19"/>
        <v>KC</v>
      </c>
      <c r="E614" s="1">
        <v>17</v>
      </c>
      <c r="F614" s="1">
        <v>70</v>
      </c>
      <c r="G614" s="1">
        <v>4.0999999999999996</v>
      </c>
      <c r="H614" s="1">
        <v>1</v>
      </c>
      <c r="I614">
        <v>0</v>
      </c>
      <c r="J614">
        <v>5</v>
      </c>
      <c r="K614" cm="1">
        <f t="array" ref="K614">IFERROR(_xlfn.XLOOKUP(D614&amp;A614, RBWR!A:A&amp;RBWR!C:C, RBWR!B:B), "N/A")</f>
        <v>74</v>
      </c>
      <c r="L614" t="str" cm="1">
        <f t="array" ref="L614">IFERROR(_xlfn.XLOOKUP(C614&amp;A614, RYOE!A:A&amp;RYOE!F:F, RYOE!C:C), "N/A")</f>
        <v>N/A</v>
      </c>
      <c r="M614" t="str" cm="1">
        <f t="array" ref="M614">IFERROR(_xlfn.XLOOKUP(C614&amp;A614, RYOE!A:A&amp;RYOE!F:F, RYOE!D:D), "N/A")</f>
        <v>N/A</v>
      </c>
      <c r="N614" t="str" cm="1">
        <f t="array" ref="N614">IFERROR(_xlfn.XLOOKUP(C614&amp;A614, RYOE!A:A&amp;RYOE!F:F, RYOE!E:E), "N/A")</f>
        <v>N/A</v>
      </c>
    </row>
    <row r="615" spans="1:14" ht="15" customHeight="1" x14ac:dyDescent="0.45">
      <c r="A615" s="8">
        <v>2022</v>
      </c>
      <c r="B615" s="6" t="s">
        <v>409</v>
      </c>
      <c r="C615" s="2" t="str">
        <f t="shared" si="18"/>
        <v>Hassan Haskins</v>
      </c>
      <c r="D615" s="2" t="str">
        <f t="shared" si="19"/>
        <v>TEN</v>
      </c>
      <c r="E615" s="2">
        <v>25</v>
      </c>
      <c r="F615" s="2">
        <v>93</v>
      </c>
      <c r="G615" s="2">
        <v>3.7</v>
      </c>
      <c r="H615" s="2">
        <v>0</v>
      </c>
      <c r="I615">
        <v>0</v>
      </c>
      <c r="J615">
        <v>14</v>
      </c>
      <c r="K615" cm="1">
        <f t="array" ref="K615">IFERROR(_xlfn.XLOOKUP(D615&amp;A615, RBWR!A:A&amp;RBWR!C:C, RBWR!B:B), "N/A")</f>
        <v>71</v>
      </c>
      <c r="L615" t="str" cm="1">
        <f t="array" ref="L615">IFERROR(_xlfn.XLOOKUP(C615&amp;A615, RYOE!A:A&amp;RYOE!F:F, RYOE!C:C), "N/A")</f>
        <v>N/A</v>
      </c>
      <c r="M615" t="str" cm="1">
        <f t="array" ref="M615">IFERROR(_xlfn.XLOOKUP(C615&amp;A615, RYOE!A:A&amp;RYOE!F:F, RYOE!D:D), "N/A")</f>
        <v>N/A</v>
      </c>
      <c r="N615" t="str" cm="1">
        <f t="array" ref="N615">IFERROR(_xlfn.XLOOKUP(C615&amp;A615, RYOE!A:A&amp;RYOE!F:F, RYOE!E:E), "N/A")</f>
        <v>N/A</v>
      </c>
    </row>
    <row r="616" spans="1:14" ht="15" customHeight="1" x14ac:dyDescent="0.45">
      <c r="A616" s="7">
        <v>2022</v>
      </c>
      <c r="B616" s="5" t="s">
        <v>321</v>
      </c>
      <c r="C616" s="1" t="str">
        <f t="shared" si="18"/>
        <v>Keaontay Ingram</v>
      </c>
      <c r="D616" s="1" t="str">
        <f t="shared" si="19"/>
        <v>ARI</v>
      </c>
      <c r="E616" s="1">
        <v>27</v>
      </c>
      <c r="F616" s="1">
        <v>60</v>
      </c>
      <c r="G616" s="1">
        <v>2.2000000000000002</v>
      </c>
      <c r="H616" s="1">
        <v>1</v>
      </c>
      <c r="I616">
        <v>0</v>
      </c>
      <c r="J616">
        <v>11</v>
      </c>
      <c r="K616" cm="1">
        <f t="array" ref="K616">IFERROR(_xlfn.XLOOKUP(D616&amp;A616, RBWR!A:A&amp;RBWR!C:C, RBWR!B:B), "N/A")</f>
        <v>73</v>
      </c>
      <c r="L616" t="str" cm="1">
        <f t="array" ref="L616">IFERROR(_xlfn.XLOOKUP(C616&amp;A616, RYOE!A:A&amp;RYOE!F:F, RYOE!C:C), "N/A")</f>
        <v>N/A</v>
      </c>
      <c r="M616" t="str" cm="1">
        <f t="array" ref="M616">IFERROR(_xlfn.XLOOKUP(C616&amp;A616, RYOE!A:A&amp;RYOE!F:F, RYOE!D:D), "N/A")</f>
        <v>N/A</v>
      </c>
      <c r="N616" t="str" cm="1">
        <f t="array" ref="N616">IFERROR(_xlfn.XLOOKUP(C616&amp;A616, RYOE!A:A&amp;RYOE!F:F, RYOE!E:E), "N/A")</f>
        <v>N/A</v>
      </c>
    </row>
    <row r="617" spans="1:14" ht="15" customHeight="1" x14ac:dyDescent="0.45">
      <c r="A617" s="8">
        <v>2022</v>
      </c>
      <c r="B617" s="6" t="s">
        <v>171</v>
      </c>
      <c r="C617" s="2" t="str">
        <f t="shared" si="18"/>
        <v>Reggie Gilliam</v>
      </c>
      <c r="D617" s="2" t="str">
        <f t="shared" si="19"/>
        <v>BUF</v>
      </c>
      <c r="E617" s="2">
        <v>0</v>
      </c>
      <c r="F617" s="2">
        <v>0</v>
      </c>
      <c r="G617" s="2">
        <v>0</v>
      </c>
      <c r="H617" s="2">
        <v>0</v>
      </c>
      <c r="I617">
        <v>0</v>
      </c>
      <c r="J617">
        <v>11</v>
      </c>
      <c r="K617" cm="1">
        <f t="array" ref="K617">IFERROR(_xlfn.XLOOKUP(D617&amp;A617, RBWR!A:A&amp;RBWR!C:C, RBWR!B:B), "N/A")</f>
        <v>71</v>
      </c>
      <c r="L617" t="str" cm="1">
        <f t="array" ref="L617">IFERROR(_xlfn.XLOOKUP(C617&amp;A617, RYOE!A:A&amp;RYOE!F:F, RYOE!C:C), "N/A")</f>
        <v>N/A</v>
      </c>
      <c r="M617" t="str" cm="1">
        <f t="array" ref="M617">IFERROR(_xlfn.XLOOKUP(C617&amp;A617, RYOE!A:A&amp;RYOE!F:F, RYOE!D:D), "N/A")</f>
        <v>N/A</v>
      </c>
      <c r="N617" t="str" cm="1">
        <f t="array" ref="N617">IFERROR(_xlfn.XLOOKUP(C617&amp;A617, RYOE!A:A&amp;RYOE!F:F, RYOE!E:E), "N/A")</f>
        <v>N/A</v>
      </c>
    </row>
    <row r="618" spans="1:14" ht="15" customHeight="1" x14ac:dyDescent="0.45">
      <c r="A618" s="7">
        <v>2022</v>
      </c>
      <c r="B618" s="5" t="s">
        <v>410</v>
      </c>
      <c r="C618" s="1" t="str">
        <f t="shared" si="18"/>
        <v>Zander Horvath</v>
      </c>
      <c r="D618" s="1" t="str">
        <f t="shared" si="19"/>
        <v>LAC</v>
      </c>
      <c r="E618" s="1">
        <v>4</v>
      </c>
      <c r="F618" s="1">
        <v>8</v>
      </c>
      <c r="G618" s="1">
        <v>2</v>
      </c>
      <c r="H618" s="1">
        <v>0</v>
      </c>
      <c r="I618">
        <v>0</v>
      </c>
      <c r="J618">
        <v>8</v>
      </c>
      <c r="K618" cm="1">
        <f t="array" ref="K618">IFERROR(_xlfn.XLOOKUP(D618&amp;A618, RBWR!A:A&amp;RBWR!C:C, RBWR!B:B), "N/A")</f>
        <v>70</v>
      </c>
      <c r="L618" t="str" cm="1">
        <f t="array" ref="L618">IFERROR(_xlfn.XLOOKUP(C618&amp;A618, RYOE!A:A&amp;RYOE!F:F, RYOE!C:C), "N/A")</f>
        <v>N/A</v>
      </c>
      <c r="M618" t="str" cm="1">
        <f t="array" ref="M618">IFERROR(_xlfn.XLOOKUP(C618&amp;A618, RYOE!A:A&amp;RYOE!F:F, RYOE!D:D), "N/A")</f>
        <v>N/A</v>
      </c>
      <c r="N618" t="str" cm="1">
        <f t="array" ref="N618">IFERROR(_xlfn.XLOOKUP(C618&amp;A618, RYOE!A:A&amp;RYOE!F:F, RYOE!E:E), "N/A")</f>
        <v>N/A</v>
      </c>
    </row>
    <row r="619" spans="1:14" ht="15" customHeight="1" x14ac:dyDescent="0.45">
      <c r="A619" s="8">
        <v>2022</v>
      </c>
      <c r="B619" s="6" t="s">
        <v>308</v>
      </c>
      <c r="C619" s="2" t="str">
        <f t="shared" si="18"/>
        <v>Salvon Ahmed</v>
      </c>
      <c r="D619" s="2" t="str">
        <f t="shared" si="19"/>
        <v>MIA</v>
      </c>
      <c r="E619" s="2">
        <v>12</v>
      </c>
      <c r="F619" s="2">
        <v>64</v>
      </c>
      <c r="G619" s="2">
        <v>5.3</v>
      </c>
      <c r="H619" s="2">
        <v>1</v>
      </c>
      <c r="I619">
        <v>0</v>
      </c>
      <c r="J619">
        <v>7</v>
      </c>
      <c r="K619" cm="1">
        <f t="array" ref="K619">IFERROR(_xlfn.XLOOKUP(D619&amp;A619, RBWR!A:A&amp;RBWR!C:C, RBWR!B:B), "N/A")</f>
        <v>71</v>
      </c>
      <c r="L619" t="str" cm="1">
        <f t="array" ref="L619">IFERROR(_xlfn.XLOOKUP(C619&amp;A619, RYOE!A:A&amp;RYOE!F:F, RYOE!C:C), "N/A")</f>
        <v>N/A</v>
      </c>
      <c r="M619" t="str" cm="1">
        <f t="array" ref="M619">IFERROR(_xlfn.XLOOKUP(C619&amp;A619, RYOE!A:A&amp;RYOE!F:F, RYOE!D:D), "N/A")</f>
        <v>N/A</v>
      </c>
      <c r="N619" t="str" cm="1">
        <f t="array" ref="N619">IFERROR(_xlfn.XLOOKUP(C619&amp;A619, RYOE!A:A&amp;RYOE!F:F, RYOE!E:E), "N/A")</f>
        <v>N/A</v>
      </c>
    </row>
    <row r="620" spans="1:14" ht="15" customHeight="1" x14ac:dyDescent="0.45">
      <c r="A620" s="7">
        <v>2022</v>
      </c>
      <c r="B620" s="5" t="s">
        <v>411</v>
      </c>
      <c r="C620" s="1" t="str">
        <f t="shared" si="18"/>
        <v>Royce Freeman</v>
      </c>
      <c r="D620" s="1" t="str">
        <f t="shared" si="19"/>
        <v>HOU</v>
      </c>
      <c r="E620" s="1">
        <v>41</v>
      </c>
      <c r="F620" s="1">
        <v>117</v>
      </c>
      <c r="G620" s="1">
        <v>2.9</v>
      </c>
      <c r="H620" s="1">
        <v>0</v>
      </c>
      <c r="I620">
        <v>1</v>
      </c>
      <c r="J620">
        <v>5</v>
      </c>
      <c r="K620" cm="1">
        <f t="array" ref="K620">IFERROR(_xlfn.XLOOKUP(D620&amp;A620, RBWR!A:A&amp;RBWR!C:C, RBWR!B:B), "N/A")</f>
        <v>70</v>
      </c>
      <c r="L620" t="str" cm="1">
        <f t="array" ref="L620">IFERROR(_xlfn.XLOOKUP(C620&amp;A620, RYOE!A:A&amp;RYOE!F:F, RYOE!C:C), "N/A")</f>
        <v>N/A</v>
      </c>
      <c r="M620" t="str" cm="1">
        <f t="array" ref="M620">IFERROR(_xlfn.XLOOKUP(C620&amp;A620, RYOE!A:A&amp;RYOE!F:F, RYOE!D:D), "N/A")</f>
        <v>N/A</v>
      </c>
      <c r="N620" t="str" cm="1">
        <f t="array" ref="N620">IFERROR(_xlfn.XLOOKUP(C620&amp;A620, RYOE!A:A&amp;RYOE!F:F, RYOE!E:E), "N/A")</f>
        <v>N/A</v>
      </c>
    </row>
    <row r="621" spans="1:14" ht="15" customHeight="1" x14ac:dyDescent="0.45">
      <c r="A621" s="8">
        <v>2022</v>
      </c>
      <c r="B621" s="6" t="s">
        <v>313</v>
      </c>
      <c r="C621" s="2" t="str">
        <f t="shared" si="18"/>
        <v>Kevin Harris</v>
      </c>
      <c r="D621" s="2" t="str">
        <f t="shared" si="19"/>
        <v>NE</v>
      </c>
      <c r="E621" s="2">
        <v>18</v>
      </c>
      <c r="F621" s="2">
        <v>52</v>
      </c>
      <c r="G621" s="2">
        <v>2.9</v>
      </c>
      <c r="H621" s="2">
        <v>1</v>
      </c>
      <c r="I621">
        <v>0</v>
      </c>
      <c r="J621">
        <v>5</v>
      </c>
      <c r="K621" cm="1">
        <f t="array" ref="K621">IFERROR(_xlfn.XLOOKUP(D621&amp;A621, RBWR!A:A&amp;RBWR!C:C, RBWR!B:B), "N/A")</f>
        <v>68</v>
      </c>
      <c r="L621" t="str" cm="1">
        <f t="array" ref="L621">IFERROR(_xlfn.XLOOKUP(C621&amp;A621, RYOE!A:A&amp;RYOE!F:F, RYOE!C:C), "N/A")</f>
        <v>N/A</v>
      </c>
      <c r="M621" t="str" cm="1">
        <f t="array" ref="M621">IFERROR(_xlfn.XLOOKUP(C621&amp;A621, RYOE!A:A&amp;RYOE!F:F, RYOE!D:D), "N/A")</f>
        <v>N/A</v>
      </c>
      <c r="N621" t="str" cm="1">
        <f t="array" ref="N621">IFERROR(_xlfn.XLOOKUP(C621&amp;A621, RYOE!A:A&amp;RYOE!F:F, RYOE!E:E), "N/A")</f>
        <v>N/A</v>
      </c>
    </row>
    <row r="622" spans="1:14" ht="15" customHeight="1" x14ac:dyDescent="0.45">
      <c r="A622" s="7">
        <v>2022</v>
      </c>
      <c r="B622" s="5" t="s">
        <v>412</v>
      </c>
      <c r="C622" s="1" t="str">
        <f t="shared" si="18"/>
        <v>Snoop Conner</v>
      </c>
      <c r="D622" s="1" t="str">
        <f t="shared" si="19"/>
        <v>JAC</v>
      </c>
      <c r="E622" s="1">
        <v>12</v>
      </c>
      <c r="F622" s="1">
        <v>42</v>
      </c>
      <c r="G622" s="1">
        <v>3.5</v>
      </c>
      <c r="H622" s="1">
        <v>1</v>
      </c>
      <c r="I622">
        <v>0</v>
      </c>
      <c r="J622">
        <v>5</v>
      </c>
      <c r="K622" cm="1">
        <f t="array" ref="K622">IFERROR(_xlfn.XLOOKUP(D622&amp;A622, RBWR!A:A&amp;RBWR!C:C, RBWR!B:B), "N/A")</f>
        <v>70</v>
      </c>
      <c r="L622" t="str" cm="1">
        <f t="array" ref="L622">IFERROR(_xlfn.XLOOKUP(C622&amp;A622, RYOE!A:A&amp;RYOE!F:F, RYOE!C:C), "N/A")</f>
        <v>N/A</v>
      </c>
      <c r="M622" t="str" cm="1">
        <f t="array" ref="M622">IFERROR(_xlfn.XLOOKUP(C622&amp;A622, RYOE!A:A&amp;RYOE!F:F, RYOE!D:D), "N/A")</f>
        <v>N/A</v>
      </c>
      <c r="N622" t="str" cm="1">
        <f t="array" ref="N622">IFERROR(_xlfn.XLOOKUP(C622&amp;A622, RYOE!A:A&amp;RYOE!F:F, RYOE!E:E), "N/A")</f>
        <v>N/A</v>
      </c>
    </row>
    <row r="623" spans="1:14" ht="15" customHeight="1" x14ac:dyDescent="0.45">
      <c r="A623" s="8">
        <v>2022</v>
      </c>
      <c r="B623" s="6" t="s">
        <v>336</v>
      </c>
      <c r="C623" s="2" t="str">
        <f t="shared" si="18"/>
        <v>Tyrion Davis-Price</v>
      </c>
      <c r="D623" s="2" t="str">
        <f t="shared" si="19"/>
        <v>SF</v>
      </c>
      <c r="E623" s="2">
        <v>34</v>
      </c>
      <c r="F623" s="2">
        <v>99</v>
      </c>
      <c r="G623" s="2">
        <v>2.9</v>
      </c>
      <c r="H623" s="2">
        <v>0</v>
      </c>
      <c r="I623">
        <v>0</v>
      </c>
      <c r="J623">
        <v>5</v>
      </c>
      <c r="K623" cm="1">
        <f t="array" ref="K623">IFERROR(_xlfn.XLOOKUP(D623&amp;A623, RBWR!A:A&amp;RBWR!C:C, RBWR!B:B), "N/A")</f>
        <v>71</v>
      </c>
      <c r="L623" t="str" cm="1">
        <f t="array" ref="L623">IFERROR(_xlfn.XLOOKUP(C623&amp;A623, RYOE!A:A&amp;RYOE!F:F, RYOE!C:C), "N/A")</f>
        <v>N/A</v>
      </c>
      <c r="M623" t="str" cm="1">
        <f t="array" ref="M623">IFERROR(_xlfn.XLOOKUP(C623&amp;A623, RYOE!A:A&amp;RYOE!F:F, RYOE!D:D), "N/A")</f>
        <v>N/A</v>
      </c>
      <c r="N623" t="str" cm="1">
        <f t="array" ref="N623">IFERROR(_xlfn.XLOOKUP(C623&amp;A623, RYOE!A:A&amp;RYOE!F:F, RYOE!E:E), "N/A")</f>
        <v>N/A</v>
      </c>
    </row>
    <row r="624" spans="1:14" ht="15" customHeight="1" x14ac:dyDescent="0.45">
      <c r="A624" s="7">
        <v>2022</v>
      </c>
      <c r="B624" s="5" t="s">
        <v>348</v>
      </c>
      <c r="C624" s="1" t="str">
        <f t="shared" si="18"/>
        <v>Chris Evans</v>
      </c>
      <c r="D624" s="1" t="str">
        <f t="shared" si="19"/>
        <v>CIN</v>
      </c>
      <c r="E624" s="1">
        <v>0</v>
      </c>
      <c r="F624" s="1">
        <v>0</v>
      </c>
      <c r="G624" s="1">
        <v>0</v>
      </c>
      <c r="H624" s="1">
        <v>0</v>
      </c>
      <c r="I624">
        <v>0</v>
      </c>
      <c r="J624">
        <v>10</v>
      </c>
      <c r="K624" cm="1">
        <f t="array" ref="K624">IFERROR(_xlfn.XLOOKUP(D624&amp;A624, RBWR!A:A&amp;RBWR!C:C, RBWR!B:B), "N/A")</f>
        <v>72</v>
      </c>
      <c r="L624" t="str" cm="1">
        <f t="array" ref="L624">IFERROR(_xlfn.XLOOKUP(C624&amp;A624, RYOE!A:A&amp;RYOE!F:F, RYOE!C:C), "N/A")</f>
        <v>N/A</v>
      </c>
      <c r="M624" t="str" cm="1">
        <f t="array" ref="M624">IFERROR(_xlfn.XLOOKUP(C624&amp;A624, RYOE!A:A&amp;RYOE!F:F, RYOE!D:D), "N/A")</f>
        <v>N/A</v>
      </c>
      <c r="N624" t="str" cm="1">
        <f t="array" ref="N624">IFERROR(_xlfn.XLOOKUP(C624&amp;A624, RYOE!A:A&amp;RYOE!F:F, RYOE!E:E), "N/A")</f>
        <v>N/A</v>
      </c>
    </row>
    <row r="625" spans="1:14" ht="15" customHeight="1" x14ac:dyDescent="0.45">
      <c r="A625" s="8">
        <v>2022</v>
      </c>
      <c r="B625" s="6" t="s">
        <v>261</v>
      </c>
      <c r="C625" s="2" t="str">
        <f t="shared" si="18"/>
        <v>Darrynton Evans</v>
      </c>
      <c r="D625" s="2" t="str">
        <f t="shared" si="19"/>
        <v>CHI</v>
      </c>
      <c r="E625" s="2">
        <v>14</v>
      </c>
      <c r="F625" s="2">
        <v>64</v>
      </c>
      <c r="G625" s="2">
        <v>4.5999999999999996</v>
      </c>
      <c r="H625" s="2">
        <v>0</v>
      </c>
      <c r="I625">
        <v>0</v>
      </c>
      <c r="J625">
        <v>3</v>
      </c>
      <c r="K625" cm="1">
        <f t="array" ref="K625">IFERROR(_xlfn.XLOOKUP(D625&amp;A625, RBWR!A:A&amp;RBWR!C:C, RBWR!B:B), "N/A")</f>
        <v>74</v>
      </c>
      <c r="L625" t="str" cm="1">
        <f t="array" ref="L625">IFERROR(_xlfn.XLOOKUP(C625&amp;A625, RYOE!A:A&amp;RYOE!F:F, RYOE!C:C), "N/A")</f>
        <v>N/A</v>
      </c>
      <c r="M625" t="str" cm="1">
        <f t="array" ref="M625">IFERROR(_xlfn.XLOOKUP(C625&amp;A625, RYOE!A:A&amp;RYOE!F:F, RYOE!D:D), "N/A")</f>
        <v>N/A</v>
      </c>
      <c r="N625" t="str" cm="1">
        <f t="array" ref="N625">IFERROR(_xlfn.XLOOKUP(C625&amp;A625, RYOE!A:A&amp;RYOE!F:F, RYOE!E:E), "N/A")</f>
        <v>N/A</v>
      </c>
    </row>
    <row r="626" spans="1:14" ht="15" customHeight="1" x14ac:dyDescent="0.45">
      <c r="A626" s="7">
        <v>2022</v>
      </c>
      <c r="B626" s="5" t="s">
        <v>343</v>
      </c>
      <c r="C626" s="1" t="str">
        <f t="shared" si="18"/>
        <v>Kene Nwangwu</v>
      </c>
      <c r="D626" s="1" t="str">
        <f t="shared" si="19"/>
        <v>MIN</v>
      </c>
      <c r="E626" s="1">
        <v>9</v>
      </c>
      <c r="F626" s="1">
        <v>14</v>
      </c>
      <c r="G626" s="1">
        <v>1.6</v>
      </c>
      <c r="H626" s="1">
        <v>0</v>
      </c>
      <c r="I626">
        <v>0</v>
      </c>
      <c r="J626">
        <v>14</v>
      </c>
      <c r="K626" cm="1">
        <f t="array" ref="K626">IFERROR(_xlfn.XLOOKUP(D626&amp;A626, RBWR!A:A&amp;RBWR!C:C, RBWR!B:B), "N/A")</f>
        <v>71</v>
      </c>
      <c r="L626" t="str" cm="1">
        <f t="array" ref="L626">IFERROR(_xlfn.XLOOKUP(C626&amp;A626, RYOE!A:A&amp;RYOE!F:F, RYOE!C:C), "N/A")</f>
        <v>N/A</v>
      </c>
      <c r="M626" t="str" cm="1">
        <f t="array" ref="M626">IFERROR(_xlfn.XLOOKUP(C626&amp;A626, RYOE!A:A&amp;RYOE!F:F, RYOE!D:D), "N/A")</f>
        <v>N/A</v>
      </c>
      <c r="N626" t="str" cm="1">
        <f t="array" ref="N626">IFERROR(_xlfn.XLOOKUP(C626&amp;A626, RYOE!A:A&amp;RYOE!F:F, RYOE!E:E), "N/A")</f>
        <v>N/A</v>
      </c>
    </row>
    <row r="627" spans="1:14" ht="15" customHeight="1" x14ac:dyDescent="0.45">
      <c r="A627" s="8">
        <v>2022</v>
      </c>
      <c r="B627" s="6" t="s">
        <v>173</v>
      </c>
      <c r="C627" s="2" t="str">
        <f t="shared" si="18"/>
        <v>Patrick Ricard</v>
      </c>
      <c r="D627" s="2" t="str">
        <f t="shared" si="19"/>
        <v>BAL</v>
      </c>
      <c r="E627" s="2">
        <v>7</v>
      </c>
      <c r="F627" s="2">
        <v>16</v>
      </c>
      <c r="G627" s="2">
        <v>2.2999999999999998</v>
      </c>
      <c r="H627" s="2">
        <v>0</v>
      </c>
      <c r="I627">
        <v>0</v>
      </c>
      <c r="J627">
        <v>13</v>
      </c>
      <c r="K627" cm="1">
        <f t="array" ref="K627">IFERROR(_xlfn.XLOOKUP(D627&amp;A627, RBWR!A:A&amp;RBWR!C:C, RBWR!B:B), "N/A")</f>
        <v>77</v>
      </c>
      <c r="L627" t="str" cm="1">
        <f t="array" ref="L627">IFERROR(_xlfn.XLOOKUP(C627&amp;A627, RYOE!A:A&amp;RYOE!F:F, RYOE!C:C), "N/A")</f>
        <v>N/A</v>
      </c>
      <c r="M627" t="str" cm="1">
        <f t="array" ref="M627">IFERROR(_xlfn.XLOOKUP(C627&amp;A627, RYOE!A:A&amp;RYOE!F:F, RYOE!D:D), "N/A")</f>
        <v>N/A</v>
      </c>
      <c r="N627" t="str" cm="1">
        <f t="array" ref="N627">IFERROR(_xlfn.XLOOKUP(C627&amp;A627, RYOE!A:A&amp;RYOE!F:F, RYOE!E:E), "N/A")</f>
        <v>N/A</v>
      </c>
    </row>
    <row r="628" spans="1:14" ht="15" customHeight="1" x14ac:dyDescent="0.45">
      <c r="A628" s="7">
        <v>2022</v>
      </c>
      <c r="B628" s="5" t="s">
        <v>413</v>
      </c>
      <c r="C628" s="1" t="str">
        <f t="shared" si="18"/>
        <v>Phillip Lindsay</v>
      </c>
      <c r="D628" s="1" t="str">
        <f t="shared" si="19"/>
        <v>IND</v>
      </c>
      <c r="E628" s="1">
        <v>15</v>
      </c>
      <c r="F628" s="1">
        <v>49</v>
      </c>
      <c r="G628" s="1">
        <v>3.3</v>
      </c>
      <c r="H628" s="1">
        <v>0</v>
      </c>
      <c r="I628">
        <v>0</v>
      </c>
      <c r="J628">
        <v>3</v>
      </c>
      <c r="K628" cm="1">
        <f t="array" ref="K628">IFERROR(_xlfn.XLOOKUP(D628&amp;A628, RBWR!A:A&amp;RBWR!C:C, RBWR!B:B), "N/A")</f>
        <v>71</v>
      </c>
      <c r="L628" t="str" cm="1">
        <f t="array" ref="L628">IFERROR(_xlfn.XLOOKUP(C628&amp;A628, RYOE!A:A&amp;RYOE!F:F, RYOE!C:C), "N/A")</f>
        <v>N/A</v>
      </c>
      <c r="M628" t="str" cm="1">
        <f t="array" ref="M628">IFERROR(_xlfn.XLOOKUP(C628&amp;A628, RYOE!A:A&amp;RYOE!F:F, RYOE!D:D), "N/A")</f>
        <v>N/A</v>
      </c>
      <c r="N628" t="str" cm="1">
        <f t="array" ref="N628">IFERROR(_xlfn.XLOOKUP(C628&amp;A628, RYOE!A:A&amp;RYOE!F:F, RYOE!E:E), "N/A")</f>
        <v>N/A</v>
      </c>
    </row>
    <row r="629" spans="1:14" ht="15" customHeight="1" x14ac:dyDescent="0.45">
      <c r="A629" s="8">
        <v>2022</v>
      </c>
      <c r="B629" s="6" t="s">
        <v>414</v>
      </c>
      <c r="C629" s="2" t="str">
        <f t="shared" si="18"/>
        <v>Jordan Wilkins</v>
      </c>
      <c r="D629" s="2" t="str">
        <f t="shared" si="19"/>
        <v>IND</v>
      </c>
      <c r="E629" s="2">
        <v>13</v>
      </c>
      <c r="F629" s="2">
        <v>58</v>
      </c>
      <c r="G629" s="2">
        <v>4.5</v>
      </c>
      <c r="H629" s="2">
        <v>0</v>
      </c>
      <c r="I629">
        <v>0</v>
      </c>
      <c r="J629">
        <v>4</v>
      </c>
      <c r="K629" cm="1">
        <f t="array" ref="K629">IFERROR(_xlfn.XLOOKUP(D629&amp;A629, RBWR!A:A&amp;RBWR!C:C, RBWR!B:B), "N/A")</f>
        <v>71</v>
      </c>
      <c r="L629" t="str" cm="1">
        <f t="array" ref="L629">IFERROR(_xlfn.XLOOKUP(C629&amp;A629, RYOE!A:A&amp;RYOE!F:F, RYOE!C:C), "N/A")</f>
        <v>N/A</v>
      </c>
      <c r="M629" t="str" cm="1">
        <f t="array" ref="M629">IFERROR(_xlfn.XLOOKUP(C629&amp;A629, RYOE!A:A&amp;RYOE!F:F, RYOE!D:D), "N/A")</f>
        <v>N/A</v>
      </c>
      <c r="N629" t="str" cm="1">
        <f t="array" ref="N629">IFERROR(_xlfn.XLOOKUP(C629&amp;A629, RYOE!A:A&amp;RYOE!F:F, RYOE!E:E), "N/A")</f>
        <v>N/A</v>
      </c>
    </row>
    <row r="630" spans="1:14" ht="15" customHeight="1" x14ac:dyDescent="0.45">
      <c r="A630" s="7">
        <v>2022</v>
      </c>
      <c r="B630" s="5" t="s">
        <v>153</v>
      </c>
      <c r="C630" s="1" t="str">
        <f t="shared" si="18"/>
        <v>Tyler Badie</v>
      </c>
      <c r="D630" s="1" t="str">
        <f t="shared" si="19"/>
        <v>DEN</v>
      </c>
      <c r="E630" s="1">
        <v>1</v>
      </c>
      <c r="F630" s="1">
        <v>0</v>
      </c>
      <c r="G630" s="1">
        <v>0</v>
      </c>
      <c r="H630" s="1">
        <v>0</v>
      </c>
      <c r="I630">
        <v>0</v>
      </c>
      <c r="J630">
        <v>1</v>
      </c>
      <c r="K630" cm="1">
        <f t="array" ref="K630">IFERROR(_xlfn.XLOOKUP(D630&amp;A630, RBWR!A:A&amp;RBWR!C:C, RBWR!B:B), "N/A")</f>
        <v>74</v>
      </c>
      <c r="L630" t="str" cm="1">
        <f t="array" ref="L630">IFERROR(_xlfn.XLOOKUP(C630&amp;A630, RYOE!A:A&amp;RYOE!F:F, RYOE!C:C), "N/A")</f>
        <v>N/A</v>
      </c>
      <c r="M630" t="str" cm="1">
        <f t="array" ref="M630">IFERROR(_xlfn.XLOOKUP(C630&amp;A630, RYOE!A:A&amp;RYOE!F:F, RYOE!D:D), "N/A")</f>
        <v>N/A</v>
      </c>
      <c r="N630" t="str" cm="1">
        <f t="array" ref="N630">IFERROR(_xlfn.XLOOKUP(C630&amp;A630, RYOE!A:A&amp;RYOE!F:F, RYOE!E:E), "N/A")</f>
        <v>N/A</v>
      </c>
    </row>
    <row r="631" spans="1:14" ht="15" customHeight="1" x14ac:dyDescent="0.45">
      <c r="A631" s="8">
        <v>2022</v>
      </c>
      <c r="B631" s="6" t="s">
        <v>415</v>
      </c>
      <c r="C631" s="2" t="str">
        <f t="shared" si="18"/>
        <v>Jaret Patterson</v>
      </c>
      <c r="D631" s="2" t="str">
        <f t="shared" si="19"/>
        <v>WAS</v>
      </c>
      <c r="E631" s="2">
        <v>17</v>
      </c>
      <c r="F631" s="2">
        <v>78</v>
      </c>
      <c r="G631" s="2">
        <v>4.5999999999999996</v>
      </c>
      <c r="H631" s="2">
        <v>0</v>
      </c>
      <c r="I631">
        <v>0</v>
      </c>
      <c r="J631">
        <v>2</v>
      </c>
      <c r="K631" cm="1">
        <f t="array" ref="K631">IFERROR(_xlfn.XLOOKUP(D631&amp;A631, RBWR!A:A&amp;RBWR!C:C, RBWR!B:B), "N/A")</f>
        <v>71</v>
      </c>
      <c r="L631" t="str" cm="1">
        <f t="array" ref="L631">IFERROR(_xlfn.XLOOKUP(C631&amp;A631, RYOE!A:A&amp;RYOE!F:F, RYOE!C:C), "N/A")</f>
        <v>N/A</v>
      </c>
      <c r="M631" t="str" cm="1">
        <f t="array" ref="M631">IFERROR(_xlfn.XLOOKUP(C631&amp;A631, RYOE!A:A&amp;RYOE!F:F, RYOE!D:D), "N/A")</f>
        <v>N/A</v>
      </c>
      <c r="N631" t="str" cm="1">
        <f t="array" ref="N631">IFERROR(_xlfn.XLOOKUP(C631&amp;A631, RYOE!A:A&amp;RYOE!F:F, RYOE!E:E), "N/A")</f>
        <v>N/A</v>
      </c>
    </row>
    <row r="632" spans="1:14" ht="15" customHeight="1" x14ac:dyDescent="0.45">
      <c r="A632" s="7">
        <v>2022</v>
      </c>
      <c r="B632" s="5" t="s">
        <v>328</v>
      </c>
      <c r="C632" s="1" t="str">
        <f t="shared" si="18"/>
        <v>Ty Montgomery II</v>
      </c>
      <c r="D632" s="1" t="str">
        <f t="shared" si="19"/>
        <v>NE</v>
      </c>
      <c r="E632" s="1">
        <v>2</v>
      </c>
      <c r="F632" s="1">
        <v>-2</v>
      </c>
      <c r="G632" s="1">
        <v>-1</v>
      </c>
      <c r="H632" s="1">
        <v>0</v>
      </c>
      <c r="I632">
        <v>0</v>
      </c>
      <c r="J632">
        <v>1</v>
      </c>
      <c r="K632" cm="1">
        <f t="array" ref="K632">IFERROR(_xlfn.XLOOKUP(D632&amp;A632, RBWR!A:A&amp;RBWR!C:C, RBWR!B:B), "N/A")</f>
        <v>68</v>
      </c>
      <c r="L632" t="str" cm="1">
        <f t="array" ref="L632">IFERROR(_xlfn.XLOOKUP(C632&amp;A632, RYOE!A:A&amp;RYOE!F:F, RYOE!C:C), "N/A")</f>
        <v>N/A</v>
      </c>
      <c r="M632" t="str" cm="1">
        <f t="array" ref="M632">IFERROR(_xlfn.XLOOKUP(C632&amp;A632, RYOE!A:A&amp;RYOE!F:F, RYOE!D:D), "N/A")</f>
        <v>N/A</v>
      </c>
      <c r="N632" t="str" cm="1">
        <f t="array" ref="N632">IFERROR(_xlfn.XLOOKUP(C632&amp;A632, RYOE!A:A&amp;RYOE!F:F, RYOE!E:E), "N/A")</f>
        <v>N/A</v>
      </c>
    </row>
    <row r="633" spans="1:14" ht="15" customHeight="1" x14ac:dyDescent="0.45">
      <c r="A633" s="8">
        <v>2022</v>
      </c>
      <c r="B633" s="6" t="s">
        <v>329</v>
      </c>
      <c r="C633" s="2" t="str">
        <f t="shared" si="18"/>
        <v>Ke'Shawn Vaughn</v>
      </c>
      <c r="D633" s="2" t="str">
        <f t="shared" si="19"/>
        <v>TB</v>
      </c>
      <c r="E633" s="2">
        <v>17</v>
      </c>
      <c r="F633" s="2">
        <v>53</v>
      </c>
      <c r="G633" s="2">
        <v>3.1</v>
      </c>
      <c r="H633" s="2">
        <v>0</v>
      </c>
      <c r="I633">
        <v>0</v>
      </c>
      <c r="J633">
        <v>9</v>
      </c>
      <c r="K633" cm="1">
        <f t="array" ref="K633">IFERROR(_xlfn.XLOOKUP(D633&amp;A633, RBWR!A:A&amp;RBWR!C:C, RBWR!B:B), "N/A")</f>
        <v>69</v>
      </c>
      <c r="L633" t="str" cm="1">
        <f t="array" ref="L633">IFERROR(_xlfn.XLOOKUP(C633&amp;A633, RYOE!A:A&amp;RYOE!F:F, RYOE!C:C), "N/A")</f>
        <v>N/A</v>
      </c>
      <c r="M633" t="str" cm="1">
        <f t="array" ref="M633">IFERROR(_xlfn.XLOOKUP(C633&amp;A633, RYOE!A:A&amp;RYOE!F:F, RYOE!D:D), "N/A")</f>
        <v>N/A</v>
      </c>
      <c r="N633" t="str" cm="1">
        <f t="array" ref="N633">IFERROR(_xlfn.XLOOKUP(C633&amp;A633, RYOE!A:A&amp;RYOE!F:F, RYOE!E:E), "N/A")</f>
        <v>N/A</v>
      </c>
    </row>
    <row r="634" spans="1:14" ht="15" customHeight="1" x14ac:dyDescent="0.45">
      <c r="A634" s="7">
        <v>2022</v>
      </c>
      <c r="B634" s="5" t="s">
        <v>147</v>
      </c>
      <c r="C634" s="1" t="str">
        <f t="shared" si="18"/>
        <v>Zamir White</v>
      </c>
      <c r="D634" s="1" t="str">
        <f t="shared" si="19"/>
        <v>LV</v>
      </c>
      <c r="E634" s="1">
        <v>17</v>
      </c>
      <c r="F634" s="1">
        <v>70</v>
      </c>
      <c r="G634" s="1">
        <v>4.0999999999999996</v>
      </c>
      <c r="H634" s="1">
        <v>0</v>
      </c>
      <c r="I634">
        <v>0</v>
      </c>
      <c r="J634">
        <v>11</v>
      </c>
      <c r="K634" cm="1">
        <f t="array" ref="K634">IFERROR(_xlfn.XLOOKUP(D634&amp;A634, RBWR!A:A&amp;RBWR!C:C, RBWR!B:B), "N/A")</f>
        <v>72</v>
      </c>
      <c r="L634" t="str" cm="1">
        <f t="array" ref="L634">IFERROR(_xlfn.XLOOKUP(C634&amp;A634, RYOE!A:A&amp;RYOE!F:F, RYOE!C:C), "N/A")</f>
        <v>N/A</v>
      </c>
      <c r="M634" t="str" cm="1">
        <f t="array" ref="M634">IFERROR(_xlfn.XLOOKUP(C634&amp;A634, RYOE!A:A&amp;RYOE!F:F, RYOE!D:D), "N/A")</f>
        <v>N/A</v>
      </c>
      <c r="N634" t="str" cm="1">
        <f t="array" ref="N634">IFERROR(_xlfn.XLOOKUP(C634&amp;A634, RYOE!A:A&amp;RYOE!F:F, RYOE!E:E), "N/A")</f>
        <v>N/A</v>
      </c>
    </row>
    <row r="635" spans="1:14" ht="15" customHeight="1" x14ac:dyDescent="0.45">
      <c r="A635" s="8">
        <v>2022</v>
      </c>
      <c r="B635" s="6" t="s">
        <v>265</v>
      </c>
      <c r="C635" s="2" t="str">
        <f t="shared" si="18"/>
        <v>Trayveon Williams</v>
      </c>
      <c r="D635" s="2" t="str">
        <f t="shared" si="19"/>
        <v>CIN</v>
      </c>
      <c r="E635" s="2">
        <v>6</v>
      </c>
      <c r="F635" s="2">
        <v>30</v>
      </c>
      <c r="G635" s="2">
        <v>5</v>
      </c>
      <c r="H635" s="2">
        <v>0</v>
      </c>
      <c r="I635">
        <v>0</v>
      </c>
      <c r="J635">
        <v>9</v>
      </c>
      <c r="K635" cm="1">
        <f t="array" ref="K635">IFERROR(_xlfn.XLOOKUP(D635&amp;A635, RBWR!A:A&amp;RBWR!C:C, RBWR!B:B), "N/A")</f>
        <v>72</v>
      </c>
      <c r="L635" t="str" cm="1">
        <f t="array" ref="L635">IFERROR(_xlfn.XLOOKUP(C635&amp;A635, RYOE!A:A&amp;RYOE!F:F, RYOE!C:C), "N/A")</f>
        <v>N/A</v>
      </c>
      <c r="M635" t="str" cm="1">
        <f t="array" ref="M635">IFERROR(_xlfn.XLOOKUP(C635&amp;A635, RYOE!A:A&amp;RYOE!F:F, RYOE!D:D), "N/A")</f>
        <v>N/A</v>
      </c>
      <c r="N635" t="str" cm="1">
        <f t="array" ref="N635">IFERROR(_xlfn.XLOOKUP(C635&amp;A635, RYOE!A:A&amp;RYOE!F:F, RYOE!E:E), "N/A")</f>
        <v>N/A</v>
      </c>
    </row>
    <row r="636" spans="1:14" ht="15" customHeight="1" x14ac:dyDescent="0.45">
      <c r="A636" s="7">
        <v>2022</v>
      </c>
      <c r="B636" s="5" t="s">
        <v>416</v>
      </c>
      <c r="C636" s="1" t="str">
        <f t="shared" si="18"/>
        <v>Myles Gaskin</v>
      </c>
      <c r="D636" s="1" t="str">
        <f t="shared" si="19"/>
        <v>MIA</v>
      </c>
      <c r="E636" s="1">
        <v>10</v>
      </c>
      <c r="F636" s="1">
        <v>26</v>
      </c>
      <c r="G636" s="1">
        <v>2.6</v>
      </c>
      <c r="H636" s="1">
        <v>0</v>
      </c>
      <c r="I636">
        <v>0</v>
      </c>
      <c r="J636">
        <v>2</v>
      </c>
      <c r="K636" cm="1">
        <f t="array" ref="K636">IFERROR(_xlfn.XLOOKUP(D636&amp;A636, RBWR!A:A&amp;RBWR!C:C, RBWR!B:B), "N/A")</f>
        <v>71</v>
      </c>
      <c r="L636" t="str" cm="1">
        <f t="array" ref="L636">IFERROR(_xlfn.XLOOKUP(C636&amp;A636, RYOE!A:A&amp;RYOE!F:F, RYOE!C:C), "N/A")</f>
        <v>N/A</v>
      </c>
      <c r="M636" t="str" cm="1">
        <f t="array" ref="M636">IFERROR(_xlfn.XLOOKUP(C636&amp;A636, RYOE!A:A&amp;RYOE!F:F, RYOE!D:D), "N/A")</f>
        <v>N/A</v>
      </c>
      <c r="N636" t="str" cm="1">
        <f t="array" ref="N636">IFERROR(_xlfn.XLOOKUP(C636&amp;A636, RYOE!A:A&amp;RYOE!F:F, RYOE!E:E), "N/A")</f>
        <v>N/A</v>
      </c>
    </row>
    <row r="637" spans="1:14" ht="15" customHeight="1" x14ac:dyDescent="0.45">
      <c r="A637" s="8">
        <v>2022</v>
      </c>
      <c r="B637" s="6" t="s">
        <v>417</v>
      </c>
      <c r="C637" s="2" t="str">
        <f t="shared" si="18"/>
        <v>Tony Jones Jr.</v>
      </c>
      <c r="D637" s="2" t="str">
        <f t="shared" si="19"/>
        <v>SEA</v>
      </c>
      <c r="E637" s="2">
        <v>10</v>
      </c>
      <c r="F637" s="2">
        <v>24</v>
      </c>
      <c r="G637" s="2">
        <v>2.4</v>
      </c>
      <c r="H637" s="2">
        <v>0</v>
      </c>
      <c r="I637">
        <v>0</v>
      </c>
      <c r="J637">
        <v>3</v>
      </c>
      <c r="K637" cm="1">
        <f t="array" ref="K637">IFERROR(_xlfn.XLOOKUP(D637&amp;A637, RBWR!A:A&amp;RBWR!C:C, RBWR!B:B), "N/A")</f>
        <v>71</v>
      </c>
      <c r="L637" t="str" cm="1">
        <f t="array" ref="L637">IFERROR(_xlfn.XLOOKUP(C637&amp;A637, RYOE!A:A&amp;RYOE!F:F, RYOE!C:C), "N/A")</f>
        <v>N/A</v>
      </c>
      <c r="M637" t="str" cm="1">
        <f t="array" ref="M637">IFERROR(_xlfn.XLOOKUP(C637&amp;A637, RYOE!A:A&amp;RYOE!F:F, RYOE!D:D), "N/A")</f>
        <v>N/A</v>
      </c>
      <c r="N637" t="str" cm="1">
        <f t="array" ref="N637">IFERROR(_xlfn.XLOOKUP(C637&amp;A637, RYOE!A:A&amp;RYOE!F:F, RYOE!E:E), "N/A")</f>
        <v>N/A</v>
      </c>
    </row>
    <row r="638" spans="1:14" ht="15" customHeight="1" x14ac:dyDescent="0.45">
      <c r="A638" s="7">
        <v>2022</v>
      </c>
      <c r="B638" s="5" t="s">
        <v>316</v>
      </c>
      <c r="C638" s="1" t="str">
        <f t="shared" si="18"/>
        <v>Isaiah Spiller</v>
      </c>
      <c r="D638" s="1" t="str">
        <f t="shared" si="19"/>
        <v>LAC</v>
      </c>
      <c r="E638" s="1">
        <v>18</v>
      </c>
      <c r="F638" s="1">
        <v>41</v>
      </c>
      <c r="G638" s="1">
        <v>2.2999999999999998</v>
      </c>
      <c r="H638" s="1">
        <v>0</v>
      </c>
      <c r="I638">
        <v>0</v>
      </c>
      <c r="J638">
        <v>5</v>
      </c>
      <c r="K638" cm="1">
        <f t="array" ref="K638">IFERROR(_xlfn.XLOOKUP(D638&amp;A638, RBWR!A:A&amp;RBWR!C:C, RBWR!B:B), "N/A")</f>
        <v>70</v>
      </c>
      <c r="L638" t="str" cm="1">
        <f t="array" ref="L638">IFERROR(_xlfn.XLOOKUP(C638&amp;A638, RYOE!A:A&amp;RYOE!F:F, RYOE!C:C), "N/A")</f>
        <v>N/A</v>
      </c>
      <c r="M638" t="str" cm="1">
        <f t="array" ref="M638">IFERROR(_xlfn.XLOOKUP(C638&amp;A638, RYOE!A:A&amp;RYOE!F:F, RYOE!D:D), "N/A")</f>
        <v>N/A</v>
      </c>
      <c r="N638" t="str" cm="1">
        <f t="array" ref="N638">IFERROR(_xlfn.XLOOKUP(C638&amp;A638, RYOE!A:A&amp;RYOE!F:F, RYOE!E:E), "N/A")</f>
        <v>N/A</v>
      </c>
    </row>
    <row r="639" spans="1:14" ht="15" customHeight="1" x14ac:dyDescent="0.45">
      <c r="A639" s="8">
        <v>2022</v>
      </c>
      <c r="B639" s="6" t="s">
        <v>418</v>
      </c>
      <c r="C639" s="2" t="str">
        <f t="shared" si="18"/>
        <v>Spencer Brown</v>
      </c>
      <c r="D639" s="2" t="str">
        <f t="shared" si="19"/>
        <v>CAR</v>
      </c>
      <c r="E639" s="2">
        <v>9</v>
      </c>
      <c r="F639" s="2">
        <v>43</v>
      </c>
      <c r="G639" s="2">
        <v>4.8</v>
      </c>
      <c r="H639" s="2">
        <v>0</v>
      </c>
      <c r="I639">
        <v>0</v>
      </c>
      <c r="J639">
        <v>2</v>
      </c>
      <c r="K639" cm="1">
        <f t="array" ref="K639">IFERROR(_xlfn.XLOOKUP(D639&amp;A639, RBWR!A:A&amp;RBWR!C:C, RBWR!B:B), "N/A")</f>
        <v>72</v>
      </c>
      <c r="L639" t="str" cm="1">
        <f t="array" ref="L639">IFERROR(_xlfn.XLOOKUP(C639&amp;A639, RYOE!A:A&amp;RYOE!F:F, RYOE!C:C), "N/A")</f>
        <v>N/A</v>
      </c>
      <c r="M639" t="str" cm="1">
        <f t="array" ref="M639">IFERROR(_xlfn.XLOOKUP(C639&amp;A639, RYOE!A:A&amp;RYOE!F:F, RYOE!D:D), "N/A")</f>
        <v>N/A</v>
      </c>
      <c r="N639" t="str" cm="1">
        <f t="array" ref="N639">IFERROR(_xlfn.XLOOKUP(C639&amp;A639, RYOE!A:A&amp;RYOE!F:F, RYOE!E:E), "N/A")</f>
        <v>N/A</v>
      </c>
    </row>
    <row r="640" spans="1:14" ht="15" customHeight="1" x14ac:dyDescent="0.45">
      <c r="A640" s="7">
        <v>2022</v>
      </c>
      <c r="B640" s="5" t="s">
        <v>143</v>
      </c>
      <c r="C640" s="1" t="str">
        <f t="shared" si="18"/>
        <v>Julius Chestnut</v>
      </c>
      <c r="D640" s="1" t="str">
        <f t="shared" si="19"/>
        <v>TEN</v>
      </c>
      <c r="E640" s="1">
        <v>9</v>
      </c>
      <c r="F640" s="1">
        <v>12</v>
      </c>
      <c r="G640" s="1">
        <v>1.3</v>
      </c>
      <c r="H640" s="1">
        <v>0</v>
      </c>
      <c r="I640">
        <v>0</v>
      </c>
      <c r="J640">
        <v>6</v>
      </c>
      <c r="K640" cm="1">
        <f t="array" ref="K640">IFERROR(_xlfn.XLOOKUP(D640&amp;A640, RBWR!A:A&amp;RBWR!C:C, RBWR!B:B), "N/A")</f>
        <v>71</v>
      </c>
      <c r="L640" t="str" cm="1">
        <f t="array" ref="L640">IFERROR(_xlfn.XLOOKUP(C640&amp;A640, RYOE!A:A&amp;RYOE!F:F, RYOE!C:C), "N/A")</f>
        <v>N/A</v>
      </c>
      <c r="M640" t="str" cm="1">
        <f t="array" ref="M640">IFERROR(_xlfn.XLOOKUP(C640&amp;A640, RYOE!A:A&amp;RYOE!F:F, RYOE!D:D), "N/A")</f>
        <v>N/A</v>
      </c>
      <c r="N640" t="str" cm="1">
        <f t="array" ref="N640">IFERROR(_xlfn.XLOOKUP(C640&amp;A640, RYOE!A:A&amp;RYOE!F:F, RYOE!E:E), "N/A")</f>
        <v>N/A</v>
      </c>
    </row>
    <row r="641" spans="1:14" ht="15" customHeight="1" x14ac:dyDescent="0.45">
      <c r="A641" s="8">
        <v>2022</v>
      </c>
      <c r="B641" s="6" t="s">
        <v>419</v>
      </c>
      <c r="C641" s="2" t="str">
        <f t="shared" si="18"/>
        <v>David Johnson</v>
      </c>
      <c r="D641" s="2" t="str">
        <f t="shared" si="19"/>
        <v>NO</v>
      </c>
      <c r="E641" s="2">
        <v>12</v>
      </c>
      <c r="F641" s="2">
        <v>24</v>
      </c>
      <c r="G641" s="2">
        <v>2</v>
      </c>
      <c r="H641" s="2">
        <v>0</v>
      </c>
      <c r="I641">
        <v>1</v>
      </c>
      <c r="J641">
        <v>4</v>
      </c>
      <c r="K641" cm="1">
        <f t="array" ref="K641">IFERROR(_xlfn.XLOOKUP(D641&amp;A641, RBWR!A:A&amp;RBWR!C:C, RBWR!B:B), "N/A")</f>
        <v>71</v>
      </c>
      <c r="L641" t="str" cm="1">
        <f t="array" ref="L641">IFERROR(_xlfn.XLOOKUP(C641&amp;A641, RYOE!A:A&amp;RYOE!F:F, RYOE!C:C), "N/A")</f>
        <v>N/A</v>
      </c>
      <c r="M641" t="str" cm="1">
        <f t="array" ref="M641">IFERROR(_xlfn.XLOOKUP(C641&amp;A641, RYOE!A:A&amp;RYOE!F:F, RYOE!D:D), "N/A")</f>
        <v>N/A</v>
      </c>
      <c r="N641" t="str" cm="1">
        <f t="array" ref="N641">IFERROR(_xlfn.XLOOKUP(C641&amp;A641, RYOE!A:A&amp;RYOE!F:F, RYOE!E:E), "N/A")</f>
        <v>N/A</v>
      </c>
    </row>
    <row r="642" spans="1:14" ht="15" customHeight="1" x14ac:dyDescent="0.45">
      <c r="A642" s="7">
        <v>2022</v>
      </c>
      <c r="B642" s="5" t="s">
        <v>138</v>
      </c>
      <c r="C642" s="1" t="str">
        <f t="shared" ref="C642:C705" si="20">TRIM(LEFT(B642, LEN(B642) - LEN(TRIM(RIGHT(SUBSTITUTE(TRIM(B642)," ",REPT(" ",100)),100)))))</f>
        <v>Ronnie Rivers</v>
      </c>
      <c r="D642" s="1" t="str">
        <f t="shared" ref="D642:D705" si="21">MID(B642, FIND("(", B642) + 1, FIND(")", B642) - FIND("(", B642) - 1)</f>
        <v>LAR</v>
      </c>
      <c r="E642" s="1">
        <v>9</v>
      </c>
      <c r="F642" s="1">
        <v>21</v>
      </c>
      <c r="G642" s="1">
        <v>2.2999999999999998</v>
      </c>
      <c r="H642" s="1">
        <v>0</v>
      </c>
      <c r="I642">
        <v>0</v>
      </c>
      <c r="J642">
        <v>2</v>
      </c>
      <c r="K642" cm="1">
        <f t="array" ref="K642">IFERROR(_xlfn.XLOOKUP(D642&amp;A642, RBWR!A:A&amp;RBWR!C:C, RBWR!B:B), "N/A")</f>
        <v>72</v>
      </c>
      <c r="L642" t="str" cm="1">
        <f t="array" ref="L642">IFERROR(_xlfn.XLOOKUP(C642&amp;A642, RYOE!A:A&amp;RYOE!F:F, RYOE!C:C), "N/A")</f>
        <v>N/A</v>
      </c>
      <c r="M642" t="str" cm="1">
        <f t="array" ref="M642">IFERROR(_xlfn.XLOOKUP(C642&amp;A642, RYOE!A:A&amp;RYOE!F:F, RYOE!D:D), "N/A")</f>
        <v>N/A</v>
      </c>
      <c r="N642" t="str" cm="1">
        <f t="array" ref="N642">IFERROR(_xlfn.XLOOKUP(C642&amp;A642, RYOE!A:A&amp;RYOE!F:F, RYOE!E:E), "N/A")</f>
        <v>N/A</v>
      </c>
    </row>
    <row r="643" spans="1:14" ht="15" customHeight="1" x14ac:dyDescent="0.45">
      <c r="A643" s="8">
        <v>2022</v>
      </c>
      <c r="B643" s="6" t="s">
        <v>312</v>
      </c>
      <c r="C643" s="2" t="str">
        <f t="shared" si="20"/>
        <v>Patrick Taylor Jr.</v>
      </c>
      <c r="D643" s="2" t="str">
        <f t="shared" si="21"/>
        <v>GB</v>
      </c>
      <c r="E643" s="2">
        <v>10</v>
      </c>
      <c r="F643" s="2">
        <v>31</v>
      </c>
      <c r="G643" s="2">
        <v>3.1</v>
      </c>
      <c r="H643" s="2">
        <v>0</v>
      </c>
      <c r="I643">
        <v>0</v>
      </c>
      <c r="J643">
        <v>7</v>
      </c>
      <c r="K643" cm="1">
        <f t="array" ref="K643">IFERROR(_xlfn.XLOOKUP(D643&amp;A643, RBWR!A:A&amp;RBWR!C:C, RBWR!B:B), "N/A")</f>
        <v>72</v>
      </c>
      <c r="L643" t="str" cm="1">
        <f t="array" ref="L643">IFERROR(_xlfn.XLOOKUP(C643&amp;A643, RYOE!A:A&amp;RYOE!F:F, RYOE!C:C), "N/A")</f>
        <v>N/A</v>
      </c>
      <c r="M643" t="str" cm="1">
        <f t="array" ref="M643">IFERROR(_xlfn.XLOOKUP(C643&amp;A643, RYOE!A:A&amp;RYOE!F:F, RYOE!D:D), "N/A")</f>
        <v>N/A</v>
      </c>
      <c r="N643" t="str" cm="1">
        <f t="array" ref="N643">IFERROR(_xlfn.XLOOKUP(C643&amp;A643, RYOE!A:A&amp;RYOE!F:F, RYOE!E:E), "N/A")</f>
        <v>N/A</v>
      </c>
    </row>
    <row r="644" spans="1:14" ht="15" customHeight="1" x14ac:dyDescent="0.45">
      <c r="A644" s="7">
        <v>2022</v>
      </c>
      <c r="B644" s="5" t="s">
        <v>420</v>
      </c>
      <c r="C644" s="1" t="str">
        <f t="shared" si="20"/>
        <v>Dwayne Washington</v>
      </c>
      <c r="D644" s="1" t="str">
        <f t="shared" si="21"/>
        <v>NO</v>
      </c>
      <c r="E644" s="1">
        <v>11</v>
      </c>
      <c r="F644" s="1">
        <v>38</v>
      </c>
      <c r="G644" s="1">
        <v>3.5</v>
      </c>
      <c r="H644" s="1">
        <v>0</v>
      </c>
      <c r="I644">
        <v>0</v>
      </c>
      <c r="J644">
        <v>7</v>
      </c>
      <c r="K644" cm="1">
        <f t="array" ref="K644">IFERROR(_xlfn.XLOOKUP(D644&amp;A644, RBWR!A:A&amp;RBWR!C:C, RBWR!B:B), "N/A")</f>
        <v>71</v>
      </c>
      <c r="L644" t="str" cm="1">
        <f t="array" ref="L644">IFERROR(_xlfn.XLOOKUP(C644&amp;A644, RYOE!A:A&amp;RYOE!F:F, RYOE!C:C), "N/A")</f>
        <v>N/A</v>
      </c>
      <c r="M644" t="str" cm="1">
        <f t="array" ref="M644">IFERROR(_xlfn.XLOOKUP(C644&amp;A644, RYOE!A:A&amp;RYOE!F:F, RYOE!D:D), "N/A")</f>
        <v>N/A</v>
      </c>
      <c r="N644" t="str" cm="1">
        <f t="array" ref="N644">IFERROR(_xlfn.XLOOKUP(C644&amp;A644, RYOE!A:A&amp;RYOE!F:F, RYOE!E:E), "N/A")</f>
        <v>N/A</v>
      </c>
    </row>
    <row r="645" spans="1:14" ht="15" customHeight="1" x14ac:dyDescent="0.45">
      <c r="A645" s="8">
        <v>2022</v>
      </c>
      <c r="B645" s="6" t="s">
        <v>421</v>
      </c>
      <c r="C645" s="2" t="str">
        <f t="shared" si="20"/>
        <v>Trestan Ebner</v>
      </c>
      <c r="D645" s="2" t="str">
        <f t="shared" si="21"/>
        <v>CHI</v>
      </c>
      <c r="E645" s="2">
        <v>24</v>
      </c>
      <c r="F645" s="2">
        <v>54</v>
      </c>
      <c r="G645" s="2">
        <v>2.2999999999999998</v>
      </c>
      <c r="H645" s="2">
        <v>0</v>
      </c>
      <c r="I645">
        <v>1</v>
      </c>
      <c r="J645">
        <v>11</v>
      </c>
      <c r="K645" cm="1">
        <f t="array" ref="K645">IFERROR(_xlfn.XLOOKUP(D645&amp;A645, RBWR!A:A&amp;RBWR!C:C, RBWR!B:B), "N/A")</f>
        <v>74</v>
      </c>
      <c r="L645" t="str" cm="1">
        <f t="array" ref="L645">IFERROR(_xlfn.XLOOKUP(C645&amp;A645, RYOE!A:A&amp;RYOE!F:F, RYOE!C:C), "N/A")</f>
        <v>N/A</v>
      </c>
      <c r="M645" t="str" cm="1">
        <f t="array" ref="M645">IFERROR(_xlfn.XLOOKUP(C645&amp;A645, RYOE!A:A&amp;RYOE!F:F, RYOE!D:D), "N/A")</f>
        <v>N/A</v>
      </c>
      <c r="N645" t="str" cm="1">
        <f t="array" ref="N645">IFERROR(_xlfn.XLOOKUP(C645&amp;A645, RYOE!A:A&amp;RYOE!F:F, RYOE!E:E), "N/A")</f>
        <v>N/A</v>
      </c>
    </row>
    <row r="646" spans="1:14" ht="15" customHeight="1" x14ac:dyDescent="0.45">
      <c r="A646" s="7">
        <v>2022</v>
      </c>
      <c r="B646" s="5" t="s">
        <v>346</v>
      </c>
      <c r="C646" s="1" t="str">
        <f t="shared" si="20"/>
        <v>Anthony McFarland Jr.</v>
      </c>
      <c r="D646" s="1" t="str">
        <f t="shared" si="21"/>
        <v>PIT</v>
      </c>
      <c r="E646" s="1">
        <v>6</v>
      </c>
      <c r="F646" s="1">
        <v>30</v>
      </c>
      <c r="G646" s="1">
        <v>5</v>
      </c>
      <c r="H646" s="1">
        <v>0</v>
      </c>
      <c r="I646">
        <v>0</v>
      </c>
      <c r="J646">
        <v>1</v>
      </c>
      <c r="K646" cm="1">
        <f t="array" ref="K646">IFERROR(_xlfn.XLOOKUP(D646&amp;A646, RBWR!A:A&amp;RBWR!C:C, RBWR!B:B), "N/A")</f>
        <v>72</v>
      </c>
      <c r="L646" t="str" cm="1">
        <f t="array" ref="L646">IFERROR(_xlfn.XLOOKUP(C646&amp;A646, RYOE!A:A&amp;RYOE!F:F, RYOE!C:C), "N/A")</f>
        <v>N/A</v>
      </c>
      <c r="M646" t="str" cm="1">
        <f t="array" ref="M646">IFERROR(_xlfn.XLOOKUP(C646&amp;A646, RYOE!A:A&amp;RYOE!F:F, RYOE!D:D), "N/A")</f>
        <v>N/A</v>
      </c>
      <c r="N646" t="str" cm="1">
        <f t="array" ref="N646">IFERROR(_xlfn.XLOOKUP(C646&amp;A646, RYOE!A:A&amp;RYOE!F:F, RYOE!E:E), "N/A")</f>
        <v>N/A</v>
      </c>
    </row>
    <row r="647" spans="1:14" ht="15" customHeight="1" x14ac:dyDescent="0.45">
      <c r="A647" s="8">
        <v>2022</v>
      </c>
      <c r="B647" s="6" t="s">
        <v>422</v>
      </c>
      <c r="C647" s="2" t="str">
        <f t="shared" si="20"/>
        <v>Larry Rountree III</v>
      </c>
      <c r="D647" s="2" t="str">
        <f t="shared" si="21"/>
        <v>LAC</v>
      </c>
      <c r="E647" s="2">
        <v>13</v>
      </c>
      <c r="F647" s="2">
        <v>19</v>
      </c>
      <c r="G647" s="2">
        <v>1.5</v>
      </c>
      <c r="H647" s="2">
        <v>0</v>
      </c>
      <c r="I647">
        <v>0</v>
      </c>
      <c r="J647">
        <v>3</v>
      </c>
      <c r="K647" cm="1">
        <f t="array" ref="K647">IFERROR(_xlfn.XLOOKUP(D647&amp;A647, RBWR!A:A&amp;RBWR!C:C, RBWR!B:B), "N/A")</f>
        <v>70</v>
      </c>
      <c r="L647" t="str" cm="1">
        <f t="array" ref="L647">IFERROR(_xlfn.XLOOKUP(C647&amp;A647, RYOE!A:A&amp;RYOE!F:F, RYOE!C:C), "N/A")</f>
        <v>N/A</v>
      </c>
      <c r="M647" t="str" cm="1">
        <f t="array" ref="M647">IFERROR(_xlfn.XLOOKUP(C647&amp;A647, RYOE!A:A&amp;RYOE!F:F, RYOE!D:D), "N/A")</f>
        <v>N/A</v>
      </c>
      <c r="N647" t="str" cm="1">
        <f t="array" ref="N647">IFERROR(_xlfn.XLOOKUP(C647&amp;A647, RYOE!A:A&amp;RYOE!F:F, RYOE!E:E), "N/A")</f>
        <v>N/A</v>
      </c>
    </row>
    <row r="648" spans="1:14" ht="15" customHeight="1" x14ac:dyDescent="0.45">
      <c r="A648" s="7">
        <v>2022</v>
      </c>
      <c r="B648" s="5" t="s">
        <v>347</v>
      </c>
      <c r="C648" s="1" t="str">
        <f t="shared" si="20"/>
        <v>Jonathan Ward</v>
      </c>
      <c r="D648" s="1" t="str">
        <f t="shared" si="21"/>
        <v>TEN</v>
      </c>
      <c r="E648" s="1">
        <v>5</v>
      </c>
      <c r="F648" s="1">
        <v>25</v>
      </c>
      <c r="G648" s="1">
        <v>5</v>
      </c>
      <c r="H648" s="1">
        <v>0</v>
      </c>
      <c r="I648">
        <v>0</v>
      </c>
      <c r="J648">
        <v>4</v>
      </c>
      <c r="K648" cm="1">
        <f t="array" ref="K648">IFERROR(_xlfn.XLOOKUP(D648&amp;A648, RBWR!A:A&amp;RBWR!C:C, RBWR!B:B), "N/A")</f>
        <v>71</v>
      </c>
      <c r="L648" t="str" cm="1">
        <f t="array" ref="L648">IFERROR(_xlfn.XLOOKUP(C648&amp;A648, RYOE!A:A&amp;RYOE!F:F, RYOE!C:C), "N/A")</f>
        <v>N/A</v>
      </c>
      <c r="M648" t="str" cm="1">
        <f t="array" ref="M648">IFERROR(_xlfn.XLOOKUP(C648&amp;A648, RYOE!A:A&amp;RYOE!F:F, RYOE!D:D), "N/A")</f>
        <v>N/A</v>
      </c>
      <c r="N648" t="str" cm="1">
        <f t="array" ref="N648">IFERROR(_xlfn.XLOOKUP(C648&amp;A648, RYOE!A:A&amp;RYOE!F:F, RYOE!E:E), "N/A")</f>
        <v>N/A</v>
      </c>
    </row>
    <row r="649" spans="1:14" ht="15" customHeight="1" x14ac:dyDescent="0.45">
      <c r="A649" s="8">
        <v>2022</v>
      </c>
      <c r="B649" s="6" t="s">
        <v>423</v>
      </c>
      <c r="C649" s="2" t="str">
        <f t="shared" si="20"/>
        <v>Giovani Bernard</v>
      </c>
      <c r="D649" s="2" t="str">
        <f t="shared" si="21"/>
        <v>TB</v>
      </c>
      <c r="E649" s="2">
        <v>8</v>
      </c>
      <c r="F649" s="2">
        <v>28</v>
      </c>
      <c r="G649" s="2">
        <v>3.5</v>
      </c>
      <c r="H649" s="2">
        <v>0</v>
      </c>
      <c r="I649">
        <v>0</v>
      </c>
      <c r="J649">
        <v>4</v>
      </c>
      <c r="K649" cm="1">
        <f t="array" ref="K649">IFERROR(_xlfn.XLOOKUP(D649&amp;A649, RBWR!A:A&amp;RBWR!C:C, RBWR!B:B), "N/A")</f>
        <v>69</v>
      </c>
      <c r="L649" t="str" cm="1">
        <f t="array" ref="L649">IFERROR(_xlfn.XLOOKUP(C649&amp;A649, RYOE!A:A&amp;RYOE!F:F, RYOE!C:C), "N/A")</f>
        <v>N/A</v>
      </c>
      <c r="M649" t="str" cm="1">
        <f t="array" ref="M649">IFERROR(_xlfn.XLOOKUP(C649&amp;A649, RYOE!A:A&amp;RYOE!F:F, RYOE!D:D), "N/A")</f>
        <v>N/A</v>
      </c>
      <c r="N649" t="str" cm="1">
        <f t="array" ref="N649">IFERROR(_xlfn.XLOOKUP(C649&amp;A649, RYOE!A:A&amp;RYOE!F:F, RYOE!E:E), "N/A")</f>
        <v>N/A</v>
      </c>
    </row>
    <row r="650" spans="1:14" ht="15" customHeight="1" x14ac:dyDescent="0.45">
      <c r="A650" s="7">
        <v>2022</v>
      </c>
      <c r="B650" s="5" t="s">
        <v>424</v>
      </c>
      <c r="C650" s="1" t="str">
        <f t="shared" si="20"/>
        <v>D'Ernest Johnson</v>
      </c>
      <c r="D650" s="1" t="str">
        <f t="shared" si="21"/>
        <v>CLE</v>
      </c>
      <c r="E650" s="1">
        <v>4</v>
      </c>
      <c r="F650" s="1">
        <v>17</v>
      </c>
      <c r="G650" s="1">
        <v>4.3</v>
      </c>
      <c r="H650" s="1">
        <v>0</v>
      </c>
      <c r="I650">
        <v>0</v>
      </c>
      <c r="J650">
        <v>10</v>
      </c>
      <c r="K650" cm="1">
        <f t="array" ref="K650">IFERROR(_xlfn.XLOOKUP(D650&amp;A650, RBWR!A:A&amp;RBWR!C:C, RBWR!B:B), "N/A")</f>
        <v>72</v>
      </c>
      <c r="L650" t="str" cm="1">
        <f t="array" ref="L650">IFERROR(_xlfn.XLOOKUP(C650&amp;A650, RYOE!A:A&amp;RYOE!F:F, RYOE!C:C), "N/A")</f>
        <v>N/A</v>
      </c>
      <c r="M650" t="str" cm="1">
        <f t="array" ref="M650">IFERROR(_xlfn.XLOOKUP(C650&amp;A650, RYOE!A:A&amp;RYOE!F:F, RYOE!D:D), "N/A")</f>
        <v>N/A</v>
      </c>
      <c r="N650" t="str" cm="1">
        <f t="array" ref="N650">IFERROR(_xlfn.XLOOKUP(C650&amp;A650, RYOE!A:A&amp;RYOE!F:F, RYOE!E:E), "N/A")</f>
        <v>N/A</v>
      </c>
    </row>
    <row r="651" spans="1:14" ht="15" customHeight="1" x14ac:dyDescent="0.45">
      <c r="A651" s="8">
        <v>2022</v>
      </c>
      <c r="B651" s="6" t="s">
        <v>425</v>
      </c>
      <c r="C651" s="2" t="str">
        <f t="shared" si="20"/>
        <v>Mike Davis</v>
      </c>
      <c r="D651" s="2" t="str">
        <f t="shared" si="21"/>
        <v>BAL</v>
      </c>
      <c r="E651" s="2">
        <v>8</v>
      </c>
      <c r="F651" s="2">
        <v>18</v>
      </c>
      <c r="G651" s="2">
        <v>2.2999999999999998</v>
      </c>
      <c r="H651" s="2">
        <v>0</v>
      </c>
      <c r="I651">
        <v>0</v>
      </c>
      <c r="J651">
        <v>5</v>
      </c>
      <c r="K651" cm="1">
        <f t="array" ref="K651">IFERROR(_xlfn.XLOOKUP(D651&amp;A651, RBWR!A:A&amp;RBWR!C:C, RBWR!B:B), "N/A")</f>
        <v>77</v>
      </c>
      <c r="L651" t="str" cm="1">
        <f t="array" ref="L651">IFERROR(_xlfn.XLOOKUP(C651&amp;A651, RYOE!A:A&amp;RYOE!F:F, RYOE!C:C), "N/A")</f>
        <v>N/A</v>
      </c>
      <c r="M651" t="str" cm="1">
        <f t="array" ref="M651">IFERROR(_xlfn.XLOOKUP(C651&amp;A651, RYOE!A:A&amp;RYOE!F:F, RYOE!D:D), "N/A")</f>
        <v>N/A</v>
      </c>
      <c r="N651" t="str" cm="1">
        <f t="array" ref="N651">IFERROR(_xlfn.XLOOKUP(C651&amp;A651, RYOE!A:A&amp;RYOE!F:F, RYOE!E:E), "N/A")</f>
        <v>N/A</v>
      </c>
    </row>
    <row r="652" spans="1:14" ht="15" customHeight="1" x14ac:dyDescent="0.45">
      <c r="A652" s="7">
        <v>2022</v>
      </c>
      <c r="B652" s="5" t="s">
        <v>136</v>
      </c>
      <c r="C652" s="1" t="str">
        <f t="shared" si="20"/>
        <v>Ty Chandler</v>
      </c>
      <c r="D652" s="1" t="str">
        <f t="shared" si="21"/>
        <v>MIN</v>
      </c>
      <c r="E652" s="1">
        <v>6</v>
      </c>
      <c r="F652" s="1">
        <v>20</v>
      </c>
      <c r="G652" s="1">
        <v>3.3</v>
      </c>
      <c r="H652" s="1">
        <v>0</v>
      </c>
      <c r="I652">
        <v>0</v>
      </c>
      <c r="J652">
        <v>2</v>
      </c>
      <c r="K652" cm="1">
        <f t="array" ref="K652">IFERROR(_xlfn.XLOOKUP(D652&amp;A652, RBWR!A:A&amp;RBWR!C:C, RBWR!B:B), "N/A")</f>
        <v>71</v>
      </c>
      <c r="L652" t="str" cm="1">
        <f t="array" ref="L652">IFERROR(_xlfn.XLOOKUP(C652&amp;A652, RYOE!A:A&amp;RYOE!F:F, RYOE!C:C), "N/A")</f>
        <v>N/A</v>
      </c>
      <c r="M652" t="str" cm="1">
        <f t="array" ref="M652">IFERROR(_xlfn.XLOOKUP(C652&amp;A652, RYOE!A:A&amp;RYOE!F:F, RYOE!D:D), "N/A")</f>
        <v>N/A</v>
      </c>
      <c r="N652" t="str" cm="1">
        <f t="array" ref="N652">IFERROR(_xlfn.XLOOKUP(C652&amp;A652, RYOE!A:A&amp;RYOE!F:F, RYOE!E:E), "N/A")</f>
        <v>N/A</v>
      </c>
    </row>
    <row r="653" spans="1:14" ht="15" customHeight="1" x14ac:dyDescent="0.45">
      <c r="A653" s="8">
        <v>2022</v>
      </c>
      <c r="B653" s="6" t="s">
        <v>426</v>
      </c>
      <c r="C653" s="2" t="str">
        <f t="shared" si="20"/>
        <v>Trey Sermon</v>
      </c>
      <c r="D653" s="2" t="str">
        <f t="shared" si="21"/>
        <v>PHI</v>
      </c>
      <c r="E653" s="2">
        <v>2</v>
      </c>
      <c r="F653" s="2">
        <v>19</v>
      </c>
      <c r="G653" s="2">
        <v>9.5</v>
      </c>
      <c r="H653" s="2">
        <v>0</v>
      </c>
      <c r="I653">
        <v>0</v>
      </c>
      <c r="J653">
        <v>1</v>
      </c>
      <c r="K653" cm="1">
        <f t="array" ref="K653">IFERROR(_xlfn.XLOOKUP(D653&amp;A653, RBWR!A:A&amp;RBWR!C:C, RBWR!B:B), "N/A")</f>
        <v>75</v>
      </c>
      <c r="L653" t="str" cm="1">
        <f t="array" ref="L653">IFERROR(_xlfn.XLOOKUP(C653&amp;A653, RYOE!A:A&amp;RYOE!F:F, RYOE!C:C), "N/A")</f>
        <v>N/A</v>
      </c>
      <c r="M653" t="str" cm="1">
        <f t="array" ref="M653">IFERROR(_xlfn.XLOOKUP(C653&amp;A653, RYOE!A:A&amp;RYOE!F:F, RYOE!D:D), "N/A")</f>
        <v>N/A</v>
      </c>
      <c r="N653" t="str" cm="1">
        <f t="array" ref="N653">IFERROR(_xlfn.XLOOKUP(C653&amp;A653, RYOE!A:A&amp;RYOE!F:F, RYOE!E:E), "N/A")</f>
        <v>N/A</v>
      </c>
    </row>
    <row r="654" spans="1:14" ht="15" customHeight="1" x14ac:dyDescent="0.45">
      <c r="A654" s="7">
        <v>2022</v>
      </c>
      <c r="B654" s="5" t="s">
        <v>277</v>
      </c>
      <c r="C654" s="1" t="str">
        <f t="shared" si="20"/>
        <v>Troy Hairston II</v>
      </c>
      <c r="D654" s="1" t="str">
        <f t="shared" si="21"/>
        <v>HOU</v>
      </c>
      <c r="E654" s="1">
        <v>0</v>
      </c>
      <c r="F654" s="1">
        <v>0</v>
      </c>
      <c r="G654" s="1">
        <v>0</v>
      </c>
      <c r="H654" s="1">
        <v>0</v>
      </c>
      <c r="I654">
        <v>0</v>
      </c>
      <c r="J654">
        <v>12</v>
      </c>
      <c r="K654" cm="1">
        <f t="array" ref="K654">IFERROR(_xlfn.XLOOKUP(D654&amp;A654, RBWR!A:A&amp;RBWR!C:C, RBWR!B:B), "N/A")</f>
        <v>70</v>
      </c>
      <c r="L654" t="str" cm="1">
        <f t="array" ref="L654">IFERROR(_xlfn.XLOOKUP(C654&amp;A654, RYOE!A:A&amp;RYOE!F:F, RYOE!C:C), "N/A")</f>
        <v>N/A</v>
      </c>
      <c r="M654" t="str" cm="1">
        <f t="array" ref="M654">IFERROR(_xlfn.XLOOKUP(C654&amp;A654, RYOE!A:A&amp;RYOE!F:F, RYOE!D:D), "N/A")</f>
        <v>N/A</v>
      </c>
      <c r="N654" t="str" cm="1">
        <f t="array" ref="N654">IFERROR(_xlfn.XLOOKUP(C654&amp;A654, RYOE!A:A&amp;RYOE!F:F, RYOE!E:E), "N/A")</f>
        <v>N/A</v>
      </c>
    </row>
    <row r="655" spans="1:14" ht="15" customHeight="1" x14ac:dyDescent="0.45">
      <c r="A655" s="8">
        <v>2022</v>
      </c>
      <c r="B655" s="6" t="s">
        <v>427</v>
      </c>
      <c r="C655" s="2" t="str">
        <f t="shared" si="20"/>
        <v>Michael Burton</v>
      </c>
      <c r="D655" s="2" t="str">
        <f t="shared" si="21"/>
        <v>KC</v>
      </c>
      <c r="E655" s="2">
        <v>5</v>
      </c>
      <c r="F655" s="2">
        <v>7</v>
      </c>
      <c r="G655" s="2">
        <v>1.4</v>
      </c>
      <c r="H655" s="2">
        <v>0</v>
      </c>
      <c r="I655">
        <v>0</v>
      </c>
      <c r="J655">
        <v>12</v>
      </c>
      <c r="K655" cm="1">
        <f t="array" ref="K655">IFERROR(_xlfn.XLOOKUP(D655&amp;A655, RBWR!A:A&amp;RBWR!C:C, RBWR!B:B), "N/A")</f>
        <v>74</v>
      </c>
      <c r="L655" t="str" cm="1">
        <f t="array" ref="L655">IFERROR(_xlfn.XLOOKUP(C655&amp;A655, RYOE!A:A&amp;RYOE!F:F, RYOE!C:C), "N/A")</f>
        <v>N/A</v>
      </c>
      <c r="M655" t="str" cm="1">
        <f t="array" ref="M655">IFERROR(_xlfn.XLOOKUP(C655&amp;A655, RYOE!A:A&amp;RYOE!F:F, RYOE!D:D), "N/A")</f>
        <v>N/A</v>
      </c>
      <c r="N655" t="str" cm="1">
        <f t="array" ref="N655">IFERROR(_xlfn.XLOOKUP(C655&amp;A655, RYOE!A:A&amp;RYOE!F:F, RYOE!E:E), "N/A")</f>
        <v>N/A</v>
      </c>
    </row>
    <row r="656" spans="1:14" ht="15" customHeight="1" x14ac:dyDescent="0.45">
      <c r="A656" s="7">
        <v>2022</v>
      </c>
      <c r="B656" s="5" t="s">
        <v>274</v>
      </c>
      <c r="C656" s="1" t="str">
        <f t="shared" si="20"/>
        <v>Adam Prentice</v>
      </c>
      <c r="D656" s="1" t="str">
        <f t="shared" si="21"/>
        <v>NO</v>
      </c>
      <c r="E656" s="1">
        <v>4</v>
      </c>
      <c r="F656" s="1">
        <v>9</v>
      </c>
      <c r="G656" s="1">
        <v>2.2999999999999998</v>
      </c>
      <c r="H656" s="1">
        <v>0</v>
      </c>
      <c r="I656">
        <v>0</v>
      </c>
      <c r="J656">
        <v>6</v>
      </c>
      <c r="K656" cm="1">
        <f t="array" ref="K656">IFERROR(_xlfn.XLOOKUP(D656&amp;A656, RBWR!A:A&amp;RBWR!C:C, RBWR!B:B), "N/A")</f>
        <v>71</v>
      </c>
      <c r="L656" t="str" cm="1">
        <f t="array" ref="L656">IFERROR(_xlfn.XLOOKUP(C656&amp;A656, RYOE!A:A&amp;RYOE!F:F, RYOE!C:C), "N/A")</f>
        <v>N/A</v>
      </c>
      <c r="M656" t="str" cm="1">
        <f t="array" ref="M656">IFERROR(_xlfn.XLOOKUP(C656&amp;A656, RYOE!A:A&amp;RYOE!F:F, RYOE!D:D), "N/A")</f>
        <v>N/A</v>
      </c>
      <c r="N656" t="str" cm="1">
        <f t="array" ref="N656">IFERROR(_xlfn.XLOOKUP(C656&amp;A656, RYOE!A:A&amp;RYOE!F:F, RYOE!E:E), "N/A")</f>
        <v>N/A</v>
      </c>
    </row>
    <row r="657" spans="1:14" ht="15" customHeight="1" x14ac:dyDescent="0.45">
      <c r="A657" s="8">
        <v>2022</v>
      </c>
      <c r="B657" s="6" t="s">
        <v>428</v>
      </c>
      <c r="C657" s="2" t="str">
        <f t="shared" si="20"/>
        <v>J.J. Taylor</v>
      </c>
      <c r="D657" s="2" t="str">
        <f t="shared" si="21"/>
        <v>NE</v>
      </c>
      <c r="E657" s="2">
        <v>10</v>
      </c>
      <c r="F657" s="2">
        <v>9</v>
      </c>
      <c r="G657" s="2">
        <v>0.9</v>
      </c>
      <c r="H657" s="2">
        <v>0</v>
      </c>
      <c r="I657">
        <v>0</v>
      </c>
      <c r="J657">
        <v>1</v>
      </c>
      <c r="K657" cm="1">
        <f t="array" ref="K657">IFERROR(_xlfn.XLOOKUP(D657&amp;A657, RBWR!A:A&amp;RBWR!C:C, RBWR!B:B), "N/A")</f>
        <v>68</v>
      </c>
      <c r="L657" t="str" cm="1">
        <f t="array" ref="L657">IFERROR(_xlfn.XLOOKUP(C657&amp;A657, RYOE!A:A&amp;RYOE!F:F, RYOE!C:C), "N/A")</f>
        <v>N/A</v>
      </c>
      <c r="M657" t="str" cm="1">
        <f t="array" ref="M657">IFERROR(_xlfn.XLOOKUP(C657&amp;A657, RYOE!A:A&amp;RYOE!F:F, RYOE!D:D), "N/A")</f>
        <v>N/A</v>
      </c>
      <c r="N657" t="str" cm="1">
        <f t="array" ref="N657">IFERROR(_xlfn.XLOOKUP(C657&amp;A657, RYOE!A:A&amp;RYOE!F:F, RYOE!E:E), "N/A")</f>
        <v>N/A</v>
      </c>
    </row>
    <row r="658" spans="1:14" ht="15" customHeight="1" x14ac:dyDescent="0.45">
      <c r="A658" s="7">
        <v>2022</v>
      </c>
      <c r="B658" s="5" t="s">
        <v>123</v>
      </c>
      <c r="C658" s="1" t="str">
        <f t="shared" si="20"/>
        <v>Jerome Ford</v>
      </c>
      <c r="D658" s="1" t="str">
        <f t="shared" si="21"/>
        <v>CLE</v>
      </c>
      <c r="E658" s="1">
        <v>8</v>
      </c>
      <c r="F658" s="1">
        <v>12</v>
      </c>
      <c r="G658" s="1">
        <v>1.5</v>
      </c>
      <c r="H658" s="1">
        <v>0</v>
      </c>
      <c r="I658">
        <v>0</v>
      </c>
      <c r="J658">
        <v>13</v>
      </c>
      <c r="K658" cm="1">
        <f t="array" ref="K658">IFERROR(_xlfn.XLOOKUP(D658&amp;A658, RBWR!A:A&amp;RBWR!C:C, RBWR!B:B), "N/A")</f>
        <v>72</v>
      </c>
      <c r="L658" t="str" cm="1">
        <f t="array" ref="L658">IFERROR(_xlfn.XLOOKUP(C658&amp;A658, RYOE!A:A&amp;RYOE!F:F, RYOE!C:C), "N/A")</f>
        <v>N/A</v>
      </c>
      <c r="M658" t="str" cm="1">
        <f t="array" ref="M658">IFERROR(_xlfn.XLOOKUP(C658&amp;A658, RYOE!A:A&amp;RYOE!F:F, RYOE!D:D), "N/A")</f>
        <v>N/A</v>
      </c>
      <c r="N658" t="str" cm="1">
        <f t="array" ref="N658">IFERROR(_xlfn.XLOOKUP(C658&amp;A658, RYOE!A:A&amp;RYOE!F:F, RYOE!E:E), "N/A")</f>
        <v>N/A</v>
      </c>
    </row>
    <row r="659" spans="1:14" ht="15" customHeight="1" x14ac:dyDescent="0.45">
      <c r="A659" s="8">
        <v>2022</v>
      </c>
      <c r="B659" s="6" t="s">
        <v>332</v>
      </c>
      <c r="C659" s="2" t="str">
        <f t="shared" si="20"/>
        <v>Keith Smith</v>
      </c>
      <c r="D659" s="2" t="str">
        <f t="shared" si="21"/>
        <v>ATL</v>
      </c>
      <c r="E659" s="2">
        <v>1</v>
      </c>
      <c r="F659" s="2">
        <v>2</v>
      </c>
      <c r="G659" s="2">
        <v>2</v>
      </c>
      <c r="H659" s="2">
        <v>0</v>
      </c>
      <c r="I659">
        <v>0</v>
      </c>
      <c r="J659">
        <v>10</v>
      </c>
      <c r="K659" cm="1">
        <f t="array" ref="K659">IFERROR(_xlfn.XLOOKUP(D659&amp;A659, RBWR!A:A&amp;RBWR!C:C, RBWR!B:B), "N/A")</f>
        <v>71</v>
      </c>
      <c r="L659" t="str" cm="1">
        <f t="array" ref="L659">IFERROR(_xlfn.XLOOKUP(C659&amp;A659, RYOE!A:A&amp;RYOE!F:F, RYOE!C:C), "N/A")</f>
        <v>N/A</v>
      </c>
      <c r="M659" t="str" cm="1">
        <f t="array" ref="M659">IFERROR(_xlfn.XLOOKUP(C659&amp;A659, RYOE!A:A&amp;RYOE!F:F, RYOE!D:D), "N/A")</f>
        <v>N/A</v>
      </c>
      <c r="N659" t="str" cm="1">
        <f t="array" ref="N659">IFERROR(_xlfn.XLOOKUP(C659&amp;A659, RYOE!A:A&amp;RYOE!F:F, RYOE!E:E), "N/A")</f>
        <v>N/A</v>
      </c>
    </row>
    <row r="660" spans="1:14" ht="15" customHeight="1" x14ac:dyDescent="0.45">
      <c r="A660" s="7">
        <v>2022</v>
      </c>
      <c r="B660" s="5" t="s">
        <v>344</v>
      </c>
      <c r="C660" s="1" t="str">
        <f t="shared" si="20"/>
        <v>Jakob Johnson</v>
      </c>
      <c r="D660" s="1" t="str">
        <f t="shared" si="21"/>
        <v>LV</v>
      </c>
      <c r="E660" s="1">
        <v>0</v>
      </c>
      <c r="F660" s="1">
        <v>0</v>
      </c>
      <c r="G660" s="1">
        <v>0</v>
      </c>
      <c r="H660" s="1">
        <v>0</v>
      </c>
      <c r="I660">
        <v>0</v>
      </c>
      <c r="J660">
        <v>11</v>
      </c>
      <c r="K660" cm="1">
        <f t="array" ref="K660">IFERROR(_xlfn.XLOOKUP(D660&amp;A660, RBWR!A:A&amp;RBWR!C:C, RBWR!B:B), "N/A")</f>
        <v>72</v>
      </c>
      <c r="L660" t="str" cm="1">
        <f t="array" ref="L660">IFERROR(_xlfn.XLOOKUP(C660&amp;A660, RYOE!A:A&amp;RYOE!F:F, RYOE!C:C), "N/A")</f>
        <v>N/A</v>
      </c>
      <c r="M660" t="str" cm="1">
        <f t="array" ref="M660">IFERROR(_xlfn.XLOOKUP(C660&amp;A660, RYOE!A:A&amp;RYOE!F:F, RYOE!D:D), "N/A")</f>
        <v>N/A</v>
      </c>
      <c r="N660" t="str" cm="1">
        <f t="array" ref="N660">IFERROR(_xlfn.XLOOKUP(C660&amp;A660, RYOE!A:A&amp;RYOE!F:F, RYOE!E:E), "N/A")</f>
        <v>N/A</v>
      </c>
    </row>
    <row r="661" spans="1:14" ht="15" customHeight="1" x14ac:dyDescent="0.45">
      <c r="A661" s="8">
        <v>2022</v>
      </c>
      <c r="B661" s="6" t="s">
        <v>429</v>
      </c>
      <c r="C661" s="2" t="str">
        <f t="shared" si="20"/>
        <v>Reggie Bonnafon</v>
      </c>
      <c r="D661" s="2" t="str">
        <f t="shared" si="21"/>
        <v>WAS</v>
      </c>
      <c r="E661" s="2">
        <v>3</v>
      </c>
      <c r="F661" s="2">
        <v>8</v>
      </c>
      <c r="G661" s="2">
        <v>2.7</v>
      </c>
      <c r="H661" s="2">
        <v>0</v>
      </c>
      <c r="I661">
        <v>0</v>
      </c>
      <c r="J661">
        <v>1</v>
      </c>
      <c r="K661" cm="1">
        <f t="array" ref="K661">IFERROR(_xlfn.XLOOKUP(D661&amp;A661, RBWR!A:A&amp;RBWR!C:C, RBWR!B:B), "N/A")</f>
        <v>71</v>
      </c>
      <c r="L661" t="str" cm="1">
        <f t="array" ref="L661">IFERROR(_xlfn.XLOOKUP(C661&amp;A661, RYOE!A:A&amp;RYOE!F:F, RYOE!C:C), "N/A")</f>
        <v>N/A</v>
      </c>
      <c r="M661" t="str" cm="1">
        <f t="array" ref="M661">IFERROR(_xlfn.XLOOKUP(C661&amp;A661, RYOE!A:A&amp;RYOE!F:F, RYOE!D:D), "N/A")</f>
        <v>N/A</v>
      </c>
      <c r="N661" t="str" cm="1">
        <f t="array" ref="N661">IFERROR(_xlfn.XLOOKUP(C661&amp;A661, RYOE!A:A&amp;RYOE!F:F, RYOE!E:E), "N/A")</f>
        <v>N/A</v>
      </c>
    </row>
    <row r="662" spans="1:14" ht="15" customHeight="1" x14ac:dyDescent="0.45">
      <c r="A662" s="7">
        <v>2022</v>
      </c>
      <c r="B662" s="5" t="s">
        <v>430</v>
      </c>
      <c r="C662" s="1" t="str">
        <f t="shared" si="20"/>
        <v>Godwin Igwebuike</v>
      </c>
      <c r="D662" s="1" t="str">
        <f t="shared" si="21"/>
        <v>SEA</v>
      </c>
      <c r="E662" s="1">
        <v>3</v>
      </c>
      <c r="F662" s="1">
        <v>4</v>
      </c>
      <c r="G662" s="1">
        <v>1.3</v>
      </c>
      <c r="H662" s="1">
        <v>0</v>
      </c>
      <c r="I662">
        <v>0</v>
      </c>
      <c r="J662">
        <v>5</v>
      </c>
      <c r="K662" cm="1">
        <f t="array" ref="K662">IFERROR(_xlfn.XLOOKUP(D662&amp;A662, RBWR!A:A&amp;RBWR!C:C, RBWR!B:B), "N/A")</f>
        <v>71</v>
      </c>
      <c r="L662" t="str" cm="1">
        <f t="array" ref="L662">IFERROR(_xlfn.XLOOKUP(C662&amp;A662, RYOE!A:A&amp;RYOE!F:F, RYOE!C:C), "N/A")</f>
        <v>N/A</v>
      </c>
      <c r="M662" t="str" cm="1">
        <f t="array" ref="M662">IFERROR(_xlfn.XLOOKUP(C662&amp;A662, RYOE!A:A&amp;RYOE!F:F, RYOE!D:D), "N/A")</f>
        <v>N/A</v>
      </c>
      <c r="N662" t="str" cm="1">
        <f t="array" ref="N662">IFERROR(_xlfn.XLOOKUP(C662&amp;A662, RYOE!A:A&amp;RYOE!F:F, RYOE!E:E), "N/A")</f>
        <v>N/A</v>
      </c>
    </row>
    <row r="663" spans="1:14" ht="15" customHeight="1" x14ac:dyDescent="0.45">
      <c r="A663" s="8">
        <v>2022</v>
      </c>
      <c r="B663" s="6" t="s">
        <v>431</v>
      </c>
      <c r="C663" s="2" t="str">
        <f t="shared" si="20"/>
        <v>Devine Ozigbo</v>
      </c>
      <c r="D663" s="2" t="str">
        <f t="shared" si="21"/>
        <v>DEN</v>
      </c>
      <c r="E663" s="2">
        <v>3</v>
      </c>
      <c r="F663" s="2">
        <v>4</v>
      </c>
      <c r="G663" s="2">
        <v>1.3</v>
      </c>
      <c r="H663" s="2">
        <v>0</v>
      </c>
      <c r="I663">
        <v>0</v>
      </c>
      <c r="J663">
        <v>3</v>
      </c>
      <c r="K663" cm="1">
        <f t="array" ref="K663">IFERROR(_xlfn.XLOOKUP(D663&amp;A663, RBWR!A:A&amp;RBWR!C:C, RBWR!B:B), "N/A")</f>
        <v>74</v>
      </c>
      <c r="L663" t="str" cm="1">
        <f t="array" ref="L663">IFERROR(_xlfn.XLOOKUP(C663&amp;A663, RYOE!A:A&amp;RYOE!F:F, RYOE!C:C), "N/A")</f>
        <v>N/A</v>
      </c>
      <c r="M663" t="str" cm="1">
        <f t="array" ref="M663">IFERROR(_xlfn.XLOOKUP(C663&amp;A663, RYOE!A:A&amp;RYOE!F:F, RYOE!D:D), "N/A")</f>
        <v>N/A</v>
      </c>
      <c r="N663" t="str" cm="1">
        <f t="array" ref="N663">IFERROR(_xlfn.XLOOKUP(C663&amp;A663, RYOE!A:A&amp;RYOE!F:F, RYOE!E:E), "N/A")</f>
        <v>N/A</v>
      </c>
    </row>
    <row r="664" spans="1:14" ht="15" customHeight="1" x14ac:dyDescent="0.45">
      <c r="A664" s="7">
        <v>2022</v>
      </c>
      <c r="B664" s="5" t="s">
        <v>432</v>
      </c>
      <c r="C664" s="1" t="str">
        <f t="shared" si="20"/>
        <v>Kylin Hill</v>
      </c>
      <c r="D664" s="1" t="str">
        <f t="shared" si="21"/>
        <v>GB</v>
      </c>
      <c r="E664" s="1">
        <v>1</v>
      </c>
      <c r="F664" s="1">
        <v>7</v>
      </c>
      <c r="G664" s="1">
        <v>7</v>
      </c>
      <c r="H664" s="1">
        <v>0</v>
      </c>
      <c r="I664">
        <v>0</v>
      </c>
      <c r="J664">
        <v>1</v>
      </c>
      <c r="K664" cm="1">
        <f t="array" ref="K664">IFERROR(_xlfn.XLOOKUP(D664&amp;A664, RBWR!A:A&amp;RBWR!C:C, RBWR!B:B), "N/A")</f>
        <v>72</v>
      </c>
      <c r="L664" t="str" cm="1">
        <f t="array" ref="L664">IFERROR(_xlfn.XLOOKUP(C664&amp;A664, RYOE!A:A&amp;RYOE!F:F, RYOE!C:C), "N/A")</f>
        <v>N/A</v>
      </c>
      <c r="M664" t="str" cm="1">
        <f t="array" ref="M664">IFERROR(_xlfn.XLOOKUP(C664&amp;A664, RYOE!A:A&amp;RYOE!F:F, RYOE!D:D), "N/A")</f>
        <v>N/A</v>
      </c>
      <c r="N664" t="str" cm="1">
        <f t="array" ref="N664">IFERROR(_xlfn.XLOOKUP(C664&amp;A664, RYOE!A:A&amp;RYOE!F:F, RYOE!E:E), "N/A")</f>
        <v>N/A</v>
      </c>
    </row>
    <row r="665" spans="1:14" ht="15" customHeight="1" x14ac:dyDescent="0.45">
      <c r="A665" s="8">
        <v>2022</v>
      </c>
      <c r="B665" s="6" t="s">
        <v>433</v>
      </c>
      <c r="C665" s="2" t="str">
        <f t="shared" si="20"/>
        <v>Ty'Son Williams</v>
      </c>
      <c r="D665" s="2" t="str">
        <f t="shared" si="21"/>
        <v>ARI</v>
      </c>
      <c r="E665" s="2">
        <v>0</v>
      </c>
      <c r="F665" s="2">
        <v>0</v>
      </c>
      <c r="G665" s="2">
        <v>0</v>
      </c>
      <c r="H665" s="2">
        <v>0</v>
      </c>
      <c r="I665">
        <v>0</v>
      </c>
      <c r="J665">
        <v>1</v>
      </c>
      <c r="K665" cm="1">
        <f t="array" ref="K665">IFERROR(_xlfn.XLOOKUP(D665&amp;A665, RBWR!A:A&amp;RBWR!C:C, RBWR!B:B), "N/A")</f>
        <v>73</v>
      </c>
      <c r="L665" t="str" cm="1">
        <f t="array" ref="L665">IFERROR(_xlfn.XLOOKUP(C665&amp;A665, RYOE!A:A&amp;RYOE!F:F, RYOE!C:C), "N/A")</f>
        <v>N/A</v>
      </c>
      <c r="M665" t="str" cm="1">
        <f t="array" ref="M665">IFERROR(_xlfn.XLOOKUP(C665&amp;A665, RYOE!A:A&amp;RYOE!F:F, RYOE!D:D), "N/A")</f>
        <v>N/A</v>
      </c>
      <c r="N665" t="str" cm="1">
        <f t="array" ref="N665">IFERROR(_xlfn.XLOOKUP(C665&amp;A665, RYOE!A:A&amp;RYOE!F:F, RYOE!E:E), "N/A")</f>
        <v>N/A</v>
      </c>
    </row>
    <row r="666" spans="1:14" ht="15" customHeight="1" x14ac:dyDescent="0.45">
      <c r="A666" s="7">
        <v>2022</v>
      </c>
      <c r="B666" s="5" t="s">
        <v>434</v>
      </c>
      <c r="C666" s="1" t="str">
        <f t="shared" si="20"/>
        <v>Duke Johnson Jr.</v>
      </c>
      <c r="D666" s="1" t="str">
        <f t="shared" si="21"/>
        <v>BUF</v>
      </c>
      <c r="E666" s="1">
        <v>2</v>
      </c>
      <c r="F666" s="1">
        <v>4</v>
      </c>
      <c r="G666" s="1">
        <v>2</v>
      </c>
      <c r="H666" s="1">
        <v>0</v>
      </c>
      <c r="I666">
        <v>0</v>
      </c>
      <c r="J666">
        <v>1</v>
      </c>
      <c r="K666" cm="1">
        <f t="array" ref="K666">IFERROR(_xlfn.XLOOKUP(D666&amp;A666, RBWR!A:A&amp;RBWR!C:C, RBWR!B:B), "N/A")</f>
        <v>71</v>
      </c>
      <c r="L666" t="str" cm="1">
        <f t="array" ref="L666">IFERROR(_xlfn.XLOOKUP(C666&amp;A666, RYOE!A:A&amp;RYOE!F:F, RYOE!C:C), "N/A")</f>
        <v>N/A</v>
      </c>
      <c r="M666" t="str" cm="1">
        <f t="array" ref="M666">IFERROR(_xlfn.XLOOKUP(C666&amp;A666, RYOE!A:A&amp;RYOE!F:F, RYOE!D:D), "N/A")</f>
        <v>N/A</v>
      </c>
      <c r="N666" t="str" cm="1">
        <f t="array" ref="N666">IFERROR(_xlfn.XLOOKUP(C666&amp;A666, RYOE!A:A&amp;RYOE!F:F, RYOE!E:E), "N/A")</f>
        <v>N/A</v>
      </c>
    </row>
    <row r="667" spans="1:14" ht="15" customHeight="1" x14ac:dyDescent="0.45">
      <c r="A667" s="8">
        <v>2022</v>
      </c>
      <c r="B667" s="6" t="s">
        <v>435</v>
      </c>
      <c r="C667" s="2" t="str">
        <f t="shared" si="20"/>
        <v>Demetric Felton Jr.</v>
      </c>
      <c r="D667" s="2" t="str">
        <f t="shared" si="21"/>
        <v>CLE</v>
      </c>
      <c r="E667" s="2">
        <v>1</v>
      </c>
      <c r="F667" s="2">
        <v>-4</v>
      </c>
      <c r="G667" s="2">
        <v>-4</v>
      </c>
      <c r="H667" s="2">
        <v>0</v>
      </c>
      <c r="I667">
        <v>0</v>
      </c>
      <c r="J667">
        <v>6</v>
      </c>
      <c r="K667" cm="1">
        <f t="array" ref="K667">IFERROR(_xlfn.XLOOKUP(D667&amp;A667, RBWR!A:A&amp;RBWR!C:C, RBWR!B:B), "N/A")</f>
        <v>72</v>
      </c>
      <c r="L667" t="str" cm="1">
        <f t="array" ref="L667">IFERROR(_xlfn.XLOOKUP(C667&amp;A667, RYOE!A:A&amp;RYOE!F:F, RYOE!C:C), "N/A")</f>
        <v>N/A</v>
      </c>
      <c r="M667" t="str" cm="1">
        <f t="array" ref="M667">IFERROR(_xlfn.XLOOKUP(C667&amp;A667, RYOE!A:A&amp;RYOE!F:F, RYOE!D:D), "N/A")</f>
        <v>N/A</v>
      </c>
      <c r="N667" t="str" cm="1">
        <f t="array" ref="N667">IFERROR(_xlfn.XLOOKUP(C667&amp;A667, RYOE!A:A&amp;RYOE!F:F, RYOE!E:E), "N/A")</f>
        <v>N/A</v>
      </c>
    </row>
    <row r="668" spans="1:14" ht="15" customHeight="1" x14ac:dyDescent="0.45">
      <c r="A668" s="7">
        <v>2022</v>
      </c>
      <c r="B668" s="5" t="s">
        <v>436</v>
      </c>
      <c r="C668" s="1" t="str">
        <f t="shared" si="20"/>
        <v>Damien Williams</v>
      </c>
      <c r="D668" s="1" t="str">
        <f t="shared" si="21"/>
        <v>ATL</v>
      </c>
      <c r="E668" s="1">
        <v>2</v>
      </c>
      <c r="F668" s="1">
        <v>2</v>
      </c>
      <c r="G668" s="1">
        <v>1</v>
      </c>
      <c r="H668" s="1">
        <v>0</v>
      </c>
      <c r="I668">
        <v>0</v>
      </c>
      <c r="J668">
        <v>1</v>
      </c>
      <c r="K668" cm="1">
        <f t="array" ref="K668">IFERROR(_xlfn.XLOOKUP(D668&amp;A668, RBWR!A:A&amp;RBWR!C:C, RBWR!B:B), "N/A")</f>
        <v>71</v>
      </c>
      <c r="L668" t="str" cm="1">
        <f t="array" ref="L668">IFERROR(_xlfn.XLOOKUP(C668&amp;A668, RYOE!A:A&amp;RYOE!F:F, RYOE!C:C), "N/A")</f>
        <v>N/A</v>
      </c>
      <c r="M668" t="str" cm="1">
        <f t="array" ref="M668">IFERROR(_xlfn.XLOOKUP(C668&amp;A668, RYOE!A:A&amp;RYOE!F:F, RYOE!D:D), "N/A")</f>
        <v>N/A</v>
      </c>
      <c r="N668" t="str" cm="1">
        <f t="array" ref="N668">IFERROR(_xlfn.XLOOKUP(C668&amp;A668, RYOE!A:A&amp;RYOE!F:F, RYOE!E:E), "N/A")</f>
        <v>N/A</v>
      </c>
    </row>
    <row r="669" spans="1:14" ht="15" customHeight="1" x14ac:dyDescent="0.45">
      <c r="A669" s="8">
        <v>2022</v>
      </c>
      <c r="B669" s="6" t="s">
        <v>437</v>
      </c>
      <c r="C669" s="2" t="str">
        <f t="shared" si="20"/>
        <v>Jordan Howard</v>
      </c>
      <c r="D669" s="2" t="str">
        <f t="shared" si="21"/>
        <v>NO</v>
      </c>
      <c r="E669" s="2">
        <v>1</v>
      </c>
      <c r="F669" s="2">
        <v>1</v>
      </c>
      <c r="G669" s="2">
        <v>1</v>
      </c>
      <c r="H669" s="2">
        <v>0</v>
      </c>
      <c r="I669">
        <v>0</v>
      </c>
      <c r="J669">
        <v>1</v>
      </c>
      <c r="K669" cm="1">
        <f t="array" ref="K669">IFERROR(_xlfn.XLOOKUP(D669&amp;A669, RBWR!A:A&amp;RBWR!C:C, RBWR!B:B), "N/A")</f>
        <v>71</v>
      </c>
      <c r="L669" t="str" cm="1">
        <f t="array" ref="L669">IFERROR(_xlfn.XLOOKUP(C669&amp;A669, RYOE!A:A&amp;RYOE!F:F, RYOE!C:C), "N/A")</f>
        <v>N/A</v>
      </c>
      <c r="M669" t="str" cm="1">
        <f t="array" ref="M669">IFERROR(_xlfn.XLOOKUP(C669&amp;A669, RYOE!A:A&amp;RYOE!F:F, RYOE!D:D), "N/A")</f>
        <v>N/A</v>
      </c>
      <c r="N669" t="str" cm="1">
        <f t="array" ref="N669">IFERROR(_xlfn.XLOOKUP(C669&amp;A669, RYOE!A:A&amp;RYOE!F:F, RYOE!E:E), "N/A")</f>
        <v>N/A</v>
      </c>
    </row>
    <row r="670" spans="1:14" ht="15" customHeight="1" x14ac:dyDescent="0.45">
      <c r="A670" s="7">
        <v>2022</v>
      </c>
      <c r="B670" s="5" t="s">
        <v>438</v>
      </c>
      <c r="C670" s="1" t="str">
        <f t="shared" si="20"/>
        <v>Kenjon Barner</v>
      </c>
      <c r="D670" s="1" t="str">
        <f t="shared" si="21"/>
        <v>TB</v>
      </c>
      <c r="E670" s="1">
        <v>0</v>
      </c>
      <c r="F670" s="1">
        <v>0</v>
      </c>
      <c r="G670" s="1">
        <v>0</v>
      </c>
      <c r="H670" s="1">
        <v>0</v>
      </c>
      <c r="I670">
        <v>0</v>
      </c>
      <c r="J670">
        <v>1</v>
      </c>
      <c r="K670" cm="1">
        <f t="array" ref="K670">IFERROR(_xlfn.XLOOKUP(D670&amp;A670, RBWR!A:A&amp;RBWR!C:C, RBWR!B:B), "N/A")</f>
        <v>69</v>
      </c>
      <c r="L670" t="str" cm="1">
        <f t="array" ref="L670">IFERROR(_xlfn.XLOOKUP(C670&amp;A670, RYOE!A:A&amp;RYOE!F:F, RYOE!C:C), "N/A")</f>
        <v>N/A</v>
      </c>
      <c r="M670" t="str" cm="1">
        <f t="array" ref="M670">IFERROR(_xlfn.XLOOKUP(C670&amp;A670, RYOE!A:A&amp;RYOE!F:F, RYOE!D:D), "N/A")</f>
        <v>N/A</v>
      </c>
      <c r="N670" t="str" cm="1">
        <f t="array" ref="N670">IFERROR(_xlfn.XLOOKUP(C670&amp;A670, RYOE!A:A&amp;RYOE!F:F, RYOE!E:E), "N/A")</f>
        <v>N/A</v>
      </c>
    </row>
    <row r="671" spans="1:14" ht="15" customHeight="1" x14ac:dyDescent="0.45">
      <c r="A671" s="8">
        <v>2022</v>
      </c>
      <c r="B671" s="6" t="s">
        <v>439</v>
      </c>
      <c r="C671" s="2" t="str">
        <f t="shared" si="20"/>
        <v>J.P. Holtz</v>
      </c>
      <c r="D671" s="2" t="str">
        <f t="shared" si="21"/>
        <v>NO</v>
      </c>
      <c r="E671" s="2">
        <v>0</v>
      </c>
      <c r="F671" s="2">
        <v>0</v>
      </c>
      <c r="G671" s="2">
        <v>0</v>
      </c>
      <c r="H671" s="2">
        <v>0</v>
      </c>
      <c r="I671">
        <v>0</v>
      </c>
      <c r="J671">
        <v>1</v>
      </c>
      <c r="K671" cm="1">
        <f t="array" ref="K671">IFERROR(_xlfn.XLOOKUP(D671&amp;A671, RBWR!A:A&amp;RBWR!C:C, RBWR!B:B), "N/A")</f>
        <v>71</v>
      </c>
      <c r="L671" t="str" cm="1">
        <f t="array" ref="L671">IFERROR(_xlfn.XLOOKUP(C671&amp;A671, RYOE!A:A&amp;RYOE!F:F, RYOE!C:C), "N/A")</f>
        <v>N/A</v>
      </c>
      <c r="M671" t="str" cm="1">
        <f t="array" ref="M671">IFERROR(_xlfn.XLOOKUP(C671&amp;A671, RYOE!A:A&amp;RYOE!F:F, RYOE!D:D), "N/A")</f>
        <v>N/A</v>
      </c>
      <c r="N671" t="str" cm="1">
        <f t="array" ref="N671">IFERROR(_xlfn.XLOOKUP(C671&amp;A671, RYOE!A:A&amp;RYOE!F:F, RYOE!E:E), "N/A")</f>
        <v>N/A</v>
      </c>
    </row>
    <row r="672" spans="1:14" ht="15" customHeight="1" x14ac:dyDescent="0.45">
      <c r="A672" s="7">
        <v>2022</v>
      </c>
      <c r="B672" s="5" t="s">
        <v>440</v>
      </c>
      <c r="C672" s="1" t="str">
        <f t="shared" si="20"/>
        <v>Brandin Bryant</v>
      </c>
      <c r="D672" s="1" t="str">
        <f t="shared" si="21"/>
        <v>BUF</v>
      </c>
      <c r="E672" s="1">
        <v>0</v>
      </c>
      <c r="F672" s="1">
        <v>0</v>
      </c>
      <c r="G672" s="1">
        <v>0</v>
      </c>
      <c r="H672" s="1">
        <v>0</v>
      </c>
      <c r="I672">
        <v>0</v>
      </c>
      <c r="J672">
        <v>2</v>
      </c>
      <c r="K672" cm="1">
        <f t="array" ref="K672">IFERROR(_xlfn.XLOOKUP(D672&amp;A672, RBWR!A:A&amp;RBWR!C:C, RBWR!B:B), "N/A")</f>
        <v>71</v>
      </c>
      <c r="L672" t="str" cm="1">
        <f t="array" ref="L672">IFERROR(_xlfn.XLOOKUP(C672&amp;A672, RYOE!A:A&amp;RYOE!F:F, RYOE!C:C), "N/A")</f>
        <v>N/A</v>
      </c>
      <c r="M672" t="str" cm="1">
        <f t="array" ref="M672">IFERROR(_xlfn.XLOOKUP(C672&amp;A672, RYOE!A:A&amp;RYOE!F:F, RYOE!D:D), "N/A")</f>
        <v>N/A</v>
      </c>
      <c r="N672" t="str" cm="1">
        <f t="array" ref="N672">IFERROR(_xlfn.XLOOKUP(C672&amp;A672, RYOE!A:A&amp;RYOE!F:F, RYOE!E:E), "N/A")</f>
        <v>N/A</v>
      </c>
    </row>
    <row r="673" spans="1:14" ht="15" customHeight="1" x14ac:dyDescent="0.45">
      <c r="A673" s="8">
        <v>2022</v>
      </c>
      <c r="B673" s="6" t="s">
        <v>355</v>
      </c>
      <c r="C673" s="2" t="str">
        <f t="shared" si="20"/>
        <v>Jason Cabinda</v>
      </c>
      <c r="D673" s="2" t="str">
        <f t="shared" si="21"/>
        <v>DET</v>
      </c>
      <c r="E673" s="2">
        <v>1</v>
      </c>
      <c r="F673" s="2">
        <v>4</v>
      </c>
      <c r="G673" s="2">
        <v>4</v>
      </c>
      <c r="H673" s="2">
        <v>0</v>
      </c>
      <c r="I673">
        <v>0</v>
      </c>
      <c r="J673">
        <v>7</v>
      </c>
      <c r="K673" cm="1">
        <f t="array" ref="K673">IFERROR(_xlfn.XLOOKUP(D673&amp;A673, RBWR!A:A&amp;RBWR!C:C, RBWR!B:B), "N/A")</f>
        <v>72</v>
      </c>
      <c r="L673" t="str" cm="1">
        <f t="array" ref="L673">IFERROR(_xlfn.XLOOKUP(C673&amp;A673, RYOE!A:A&amp;RYOE!F:F, RYOE!C:C), "N/A")</f>
        <v>N/A</v>
      </c>
      <c r="M673" t="str" cm="1">
        <f t="array" ref="M673">IFERROR(_xlfn.XLOOKUP(C673&amp;A673, RYOE!A:A&amp;RYOE!F:F, RYOE!D:D), "N/A")</f>
        <v>N/A</v>
      </c>
      <c r="N673" t="str" cm="1">
        <f t="array" ref="N673">IFERROR(_xlfn.XLOOKUP(C673&amp;A673, RYOE!A:A&amp;RYOE!F:F, RYOE!E:E), "N/A")</f>
        <v>N/A</v>
      </c>
    </row>
    <row r="674" spans="1:14" ht="15" customHeight="1" x14ac:dyDescent="0.45">
      <c r="A674" s="7">
        <v>2022</v>
      </c>
      <c r="B674" s="5" t="s">
        <v>441</v>
      </c>
      <c r="C674" s="1" t="str">
        <f t="shared" si="20"/>
        <v>Trenton Cannon</v>
      </c>
      <c r="D674" s="1" t="str">
        <f t="shared" si="21"/>
        <v>TEN</v>
      </c>
      <c r="E674" s="1">
        <v>0</v>
      </c>
      <c r="F674" s="1">
        <v>0</v>
      </c>
      <c r="G674" s="1">
        <v>0</v>
      </c>
      <c r="H674" s="1">
        <v>0</v>
      </c>
      <c r="I674">
        <v>0</v>
      </c>
      <c r="J674">
        <v>2</v>
      </c>
      <c r="K674" cm="1">
        <f t="array" ref="K674">IFERROR(_xlfn.XLOOKUP(D674&amp;A674, RBWR!A:A&amp;RBWR!C:C, RBWR!B:B), "N/A")</f>
        <v>71</v>
      </c>
      <c r="L674" t="str" cm="1">
        <f t="array" ref="L674">IFERROR(_xlfn.XLOOKUP(C674&amp;A674, RYOE!A:A&amp;RYOE!F:F, RYOE!C:C), "N/A")</f>
        <v>N/A</v>
      </c>
      <c r="M674" t="str" cm="1">
        <f t="array" ref="M674">IFERROR(_xlfn.XLOOKUP(C674&amp;A674, RYOE!A:A&amp;RYOE!F:F, RYOE!D:D), "N/A")</f>
        <v>N/A</v>
      </c>
      <c r="N674" t="str" cm="1">
        <f t="array" ref="N674">IFERROR(_xlfn.XLOOKUP(C674&amp;A674, RYOE!A:A&amp;RYOE!F:F, RYOE!E:E), "N/A")</f>
        <v>N/A</v>
      </c>
    </row>
    <row r="675" spans="1:14" ht="15" customHeight="1" x14ac:dyDescent="0.45">
      <c r="A675" s="8">
        <v>2022</v>
      </c>
      <c r="B675" s="6" t="s">
        <v>442</v>
      </c>
      <c r="C675" s="2" t="str">
        <f t="shared" si="20"/>
        <v>Qadree Ollison</v>
      </c>
      <c r="D675" s="2" t="str">
        <f t="shared" si="21"/>
        <v>DAL</v>
      </c>
      <c r="E675" s="2">
        <v>0</v>
      </c>
      <c r="F675" s="2">
        <v>0</v>
      </c>
      <c r="G675" s="2">
        <v>0</v>
      </c>
      <c r="H675" s="2">
        <v>0</v>
      </c>
      <c r="I675">
        <v>0</v>
      </c>
      <c r="J675">
        <v>3</v>
      </c>
      <c r="K675" cm="1">
        <f t="array" ref="K675">IFERROR(_xlfn.XLOOKUP(D675&amp;A675, RBWR!A:A&amp;RBWR!C:C, RBWR!B:B), "N/A")</f>
        <v>73</v>
      </c>
      <c r="L675" t="str" cm="1">
        <f t="array" ref="L675">IFERROR(_xlfn.XLOOKUP(C675&amp;A675, RYOE!A:A&amp;RYOE!F:F, RYOE!C:C), "N/A")</f>
        <v>N/A</v>
      </c>
      <c r="M675" t="str" cm="1">
        <f t="array" ref="M675">IFERROR(_xlfn.XLOOKUP(C675&amp;A675, RYOE!A:A&amp;RYOE!F:F, RYOE!D:D), "N/A")</f>
        <v>N/A</v>
      </c>
      <c r="N675" t="str" cm="1">
        <f t="array" ref="N675">IFERROR(_xlfn.XLOOKUP(C675&amp;A675, RYOE!A:A&amp;RYOE!F:F, RYOE!E:E), "N/A")</f>
        <v>N/A</v>
      </c>
    </row>
    <row r="676" spans="1:14" ht="15" customHeight="1" x14ac:dyDescent="0.45">
      <c r="A676" s="7">
        <v>2022</v>
      </c>
      <c r="B676" s="5" t="s">
        <v>443</v>
      </c>
      <c r="C676" s="1" t="str">
        <f t="shared" si="20"/>
        <v>Cullen Gillaspia</v>
      </c>
      <c r="D676" s="1" t="str">
        <f t="shared" si="21"/>
        <v>SEA</v>
      </c>
      <c r="E676" s="1">
        <v>0</v>
      </c>
      <c r="F676" s="1">
        <v>0</v>
      </c>
      <c r="G676" s="1">
        <v>0</v>
      </c>
      <c r="H676" s="1">
        <v>0</v>
      </c>
      <c r="I676">
        <v>0</v>
      </c>
      <c r="J676">
        <v>4</v>
      </c>
      <c r="K676" cm="1">
        <f t="array" ref="K676">IFERROR(_xlfn.XLOOKUP(D676&amp;A676, RBWR!A:A&amp;RBWR!C:C, RBWR!B:B), "N/A")</f>
        <v>71</v>
      </c>
      <c r="L676" t="str" cm="1">
        <f t="array" ref="L676">IFERROR(_xlfn.XLOOKUP(C676&amp;A676, RYOE!A:A&amp;RYOE!F:F, RYOE!C:C), "N/A")</f>
        <v>N/A</v>
      </c>
      <c r="M676" t="str" cm="1">
        <f t="array" ref="M676">IFERROR(_xlfn.XLOOKUP(C676&amp;A676, RYOE!A:A&amp;RYOE!F:F, RYOE!D:D), "N/A")</f>
        <v>N/A</v>
      </c>
      <c r="N676" t="str" cm="1">
        <f t="array" ref="N676">IFERROR(_xlfn.XLOOKUP(C676&amp;A676, RYOE!A:A&amp;RYOE!F:F, RYOE!E:E), "N/A")</f>
        <v>N/A</v>
      </c>
    </row>
    <row r="677" spans="1:14" ht="15" customHeight="1" x14ac:dyDescent="0.45">
      <c r="A677" s="8">
        <v>2022</v>
      </c>
      <c r="B677" s="6" t="s">
        <v>444</v>
      </c>
      <c r="C677" s="2" t="str">
        <f t="shared" si="20"/>
        <v>Andrew Beck</v>
      </c>
      <c r="D677" s="2" t="str">
        <f t="shared" si="21"/>
        <v>DEN</v>
      </c>
      <c r="E677" s="2">
        <v>2</v>
      </c>
      <c r="F677" s="2">
        <v>0</v>
      </c>
      <c r="G677" s="2">
        <v>0</v>
      </c>
      <c r="H677" s="2">
        <v>0</v>
      </c>
      <c r="I677">
        <v>0</v>
      </c>
      <c r="J677">
        <v>9</v>
      </c>
      <c r="K677" cm="1">
        <f t="array" ref="K677">IFERROR(_xlfn.XLOOKUP(D677&amp;A677, RBWR!A:A&amp;RBWR!C:C, RBWR!B:B), "N/A")</f>
        <v>74</v>
      </c>
      <c r="L677" t="str" cm="1">
        <f t="array" ref="L677">IFERROR(_xlfn.XLOOKUP(C677&amp;A677, RYOE!A:A&amp;RYOE!F:F, RYOE!C:C), "N/A")</f>
        <v>N/A</v>
      </c>
      <c r="M677" t="str" cm="1">
        <f t="array" ref="M677">IFERROR(_xlfn.XLOOKUP(C677&amp;A677, RYOE!A:A&amp;RYOE!F:F, RYOE!D:D), "N/A")</f>
        <v>N/A</v>
      </c>
      <c r="N677" t="str" cm="1">
        <f t="array" ref="N677">IFERROR(_xlfn.XLOOKUP(C677&amp;A677, RYOE!A:A&amp;RYOE!F:F, RYOE!E:E), "N/A")</f>
        <v>N/A</v>
      </c>
    </row>
    <row r="678" spans="1:14" ht="15" customHeight="1" x14ac:dyDescent="0.45">
      <c r="A678" s="7">
        <v>2022</v>
      </c>
      <c r="B678" s="5" t="s">
        <v>268</v>
      </c>
      <c r="C678" s="1" t="str">
        <f t="shared" si="20"/>
        <v>Khari Blasingame</v>
      </c>
      <c r="D678" s="1" t="str">
        <f t="shared" si="21"/>
        <v>CHI</v>
      </c>
      <c r="E678" s="1">
        <v>0</v>
      </c>
      <c r="F678" s="1">
        <v>0</v>
      </c>
      <c r="G678" s="1">
        <v>0</v>
      </c>
      <c r="H678" s="1">
        <v>0</v>
      </c>
      <c r="I678">
        <v>0</v>
      </c>
      <c r="J678">
        <v>5</v>
      </c>
      <c r="K678" cm="1">
        <f t="array" ref="K678">IFERROR(_xlfn.XLOOKUP(D678&amp;A678, RBWR!A:A&amp;RBWR!C:C, RBWR!B:B), "N/A")</f>
        <v>74</v>
      </c>
      <c r="L678" t="str" cm="1">
        <f t="array" ref="L678">IFERROR(_xlfn.XLOOKUP(C678&amp;A678, RYOE!A:A&amp;RYOE!F:F, RYOE!C:C), "N/A")</f>
        <v>N/A</v>
      </c>
      <c r="M678" t="str" cm="1">
        <f t="array" ref="M678">IFERROR(_xlfn.XLOOKUP(C678&amp;A678, RYOE!A:A&amp;RYOE!F:F, RYOE!D:D), "N/A")</f>
        <v>N/A</v>
      </c>
      <c r="N678" t="str" cm="1">
        <f t="array" ref="N678">IFERROR(_xlfn.XLOOKUP(C678&amp;A678, RYOE!A:A&amp;RYOE!F:F, RYOE!E:E), "N/A")</f>
        <v>N/A</v>
      </c>
    </row>
    <row r="679" spans="1:14" ht="15" customHeight="1" x14ac:dyDescent="0.45">
      <c r="A679" s="8">
        <v>2022</v>
      </c>
      <c r="B679" s="6" t="s">
        <v>445</v>
      </c>
      <c r="C679" s="2" t="str">
        <f t="shared" si="20"/>
        <v>La'Mical Perine</v>
      </c>
      <c r="D679" s="2" t="str">
        <f t="shared" si="21"/>
        <v>MIA</v>
      </c>
      <c r="E679" s="2">
        <v>0</v>
      </c>
      <c r="F679" s="2">
        <v>0</v>
      </c>
      <c r="G679" s="2">
        <v>0</v>
      </c>
      <c r="H679" s="2">
        <v>0</v>
      </c>
      <c r="I679">
        <v>0</v>
      </c>
      <c r="J679">
        <v>1</v>
      </c>
      <c r="K679" cm="1">
        <f t="array" ref="K679">IFERROR(_xlfn.XLOOKUP(D679&amp;A679, RBWR!A:A&amp;RBWR!C:C, RBWR!B:B), "N/A")</f>
        <v>71</v>
      </c>
      <c r="L679" t="str" cm="1">
        <f t="array" ref="L679">IFERROR(_xlfn.XLOOKUP(C679&amp;A679, RYOE!A:A&amp;RYOE!F:F, RYOE!C:C), "N/A")</f>
        <v>N/A</v>
      </c>
      <c r="M679" t="str" cm="1">
        <f t="array" ref="M679">IFERROR(_xlfn.XLOOKUP(C679&amp;A679, RYOE!A:A&amp;RYOE!F:F, RYOE!D:D), "N/A")</f>
        <v>N/A</v>
      </c>
      <c r="N679" t="str" cm="1">
        <f t="array" ref="N679">IFERROR(_xlfn.XLOOKUP(C679&amp;A679, RYOE!A:A&amp;RYOE!F:F, RYOE!E:E), "N/A")</f>
        <v>N/A</v>
      </c>
    </row>
    <row r="680" spans="1:14" ht="15" customHeight="1" x14ac:dyDescent="0.45">
      <c r="A680" s="7">
        <v>2022</v>
      </c>
      <c r="B680" s="5" t="s">
        <v>209</v>
      </c>
      <c r="C680" s="1" t="str">
        <f t="shared" si="20"/>
        <v>Rico Dowdle</v>
      </c>
      <c r="D680" s="1" t="str">
        <f t="shared" si="21"/>
        <v>DAL</v>
      </c>
      <c r="E680" s="1">
        <v>0</v>
      </c>
      <c r="F680" s="1">
        <v>0</v>
      </c>
      <c r="G680" s="1">
        <v>0</v>
      </c>
      <c r="H680" s="1">
        <v>0</v>
      </c>
      <c r="I680">
        <v>0</v>
      </c>
      <c r="J680">
        <v>2</v>
      </c>
      <c r="K680" cm="1">
        <f t="array" ref="K680">IFERROR(_xlfn.XLOOKUP(D680&amp;A680, RBWR!A:A&amp;RBWR!C:C, RBWR!B:B), "N/A")</f>
        <v>73</v>
      </c>
      <c r="L680" t="str" cm="1">
        <f t="array" ref="L680">IFERROR(_xlfn.XLOOKUP(C680&amp;A680, RYOE!A:A&amp;RYOE!F:F, RYOE!C:C), "N/A")</f>
        <v>N/A</v>
      </c>
      <c r="M680" t="str" cm="1">
        <f t="array" ref="M680">IFERROR(_xlfn.XLOOKUP(C680&amp;A680, RYOE!A:A&amp;RYOE!F:F, RYOE!D:D), "N/A")</f>
        <v>N/A</v>
      </c>
      <c r="N680" t="str" cm="1">
        <f t="array" ref="N680">IFERROR(_xlfn.XLOOKUP(C680&amp;A680, RYOE!A:A&amp;RYOE!F:F, RYOE!E:E), "N/A")</f>
        <v>N/A</v>
      </c>
    </row>
    <row r="681" spans="1:14" ht="15" customHeight="1" x14ac:dyDescent="0.45">
      <c r="A681" s="8">
        <v>2022</v>
      </c>
      <c r="B681" s="6" t="s">
        <v>360</v>
      </c>
      <c r="C681" s="2" t="str">
        <f t="shared" si="20"/>
        <v>Kirk Merritt</v>
      </c>
      <c r="D681" s="2" t="str">
        <f t="shared" si="21"/>
        <v>NO</v>
      </c>
      <c r="E681" s="2">
        <v>0</v>
      </c>
      <c r="F681" s="2">
        <v>0</v>
      </c>
      <c r="G681" s="2">
        <v>0</v>
      </c>
      <c r="H681" s="2">
        <v>0</v>
      </c>
      <c r="I681">
        <v>0</v>
      </c>
      <c r="J681">
        <v>1</v>
      </c>
      <c r="K681" cm="1">
        <f t="array" ref="K681">IFERROR(_xlfn.XLOOKUP(D681&amp;A681, RBWR!A:A&amp;RBWR!C:C, RBWR!B:B), "N/A")</f>
        <v>71</v>
      </c>
      <c r="L681" t="str" cm="1">
        <f t="array" ref="L681">IFERROR(_xlfn.XLOOKUP(C681&amp;A681, RYOE!A:A&amp;RYOE!F:F, RYOE!C:C), "N/A")</f>
        <v>N/A</v>
      </c>
      <c r="M681" t="str" cm="1">
        <f t="array" ref="M681">IFERROR(_xlfn.XLOOKUP(C681&amp;A681, RYOE!A:A&amp;RYOE!F:F, RYOE!D:D), "N/A")</f>
        <v>N/A</v>
      </c>
      <c r="N681" t="str" cm="1">
        <f t="array" ref="N681">IFERROR(_xlfn.XLOOKUP(C681&amp;A681, RYOE!A:A&amp;RYOE!F:F, RYOE!E:E), "N/A")</f>
        <v>N/A</v>
      </c>
    </row>
    <row r="682" spans="1:14" ht="15" customHeight="1" x14ac:dyDescent="0.45">
      <c r="A682" s="7">
        <v>2022</v>
      </c>
      <c r="B682" s="5" t="s">
        <v>249</v>
      </c>
      <c r="C682" s="1" t="str">
        <f t="shared" si="20"/>
        <v>Jermar Jefferson</v>
      </c>
      <c r="D682" s="1" t="str">
        <f t="shared" si="21"/>
        <v>DET</v>
      </c>
      <c r="E682" s="1">
        <v>0</v>
      </c>
      <c r="F682" s="1">
        <v>0</v>
      </c>
      <c r="G682" s="1">
        <v>0</v>
      </c>
      <c r="H682" s="1">
        <v>0</v>
      </c>
      <c r="I682">
        <v>0</v>
      </c>
      <c r="J682">
        <v>1</v>
      </c>
      <c r="K682" cm="1">
        <f t="array" ref="K682">IFERROR(_xlfn.XLOOKUP(D682&amp;A682, RBWR!A:A&amp;RBWR!C:C, RBWR!B:B), "N/A")</f>
        <v>72</v>
      </c>
      <c r="L682" t="str" cm="1">
        <f t="array" ref="L682">IFERROR(_xlfn.XLOOKUP(C682&amp;A682, RYOE!A:A&amp;RYOE!F:F, RYOE!C:C), "N/A")</f>
        <v>N/A</v>
      </c>
      <c r="M682" t="str" cm="1">
        <f t="array" ref="M682">IFERROR(_xlfn.XLOOKUP(C682&amp;A682, RYOE!A:A&amp;RYOE!F:F, RYOE!D:D), "N/A")</f>
        <v>N/A</v>
      </c>
      <c r="N682" t="str" cm="1">
        <f t="array" ref="N682">IFERROR(_xlfn.XLOOKUP(C682&amp;A682, RYOE!A:A&amp;RYOE!F:F, RYOE!E:E), "N/A")</f>
        <v>N/A</v>
      </c>
    </row>
    <row r="683" spans="1:14" ht="15" customHeight="1" x14ac:dyDescent="0.45">
      <c r="A683" s="8">
        <v>2022</v>
      </c>
      <c r="B683" s="6" t="s">
        <v>446</v>
      </c>
      <c r="C683" s="2" t="str">
        <f t="shared" si="20"/>
        <v>Sandro Platzgummer</v>
      </c>
      <c r="D683" s="2" t="str">
        <f t="shared" si="21"/>
        <v>NYG</v>
      </c>
      <c r="E683" s="2">
        <v>0</v>
      </c>
      <c r="F683" s="2">
        <v>0</v>
      </c>
      <c r="G683" s="2">
        <v>0</v>
      </c>
      <c r="H683" s="2">
        <v>0</v>
      </c>
      <c r="I683">
        <v>0</v>
      </c>
      <c r="J683">
        <v>1</v>
      </c>
      <c r="K683" cm="1">
        <f t="array" ref="K683">IFERROR(_xlfn.XLOOKUP(D683&amp;A683, RBWR!A:A&amp;RBWR!C:C, RBWR!B:B), "N/A")</f>
        <v>70</v>
      </c>
      <c r="L683" t="str" cm="1">
        <f t="array" ref="L683">IFERROR(_xlfn.XLOOKUP(C683&amp;A683, RYOE!A:A&amp;RYOE!F:F, RYOE!C:C), "N/A")</f>
        <v>N/A</v>
      </c>
      <c r="M683" t="str" cm="1">
        <f t="array" ref="M683">IFERROR(_xlfn.XLOOKUP(C683&amp;A683, RYOE!A:A&amp;RYOE!F:F, RYOE!D:D), "N/A")</f>
        <v>N/A</v>
      </c>
      <c r="N683" t="str" cm="1">
        <f t="array" ref="N683">IFERROR(_xlfn.XLOOKUP(C683&amp;A683, RYOE!A:A&amp;RYOE!F:F, RYOE!E:E), "N/A")</f>
        <v>N/A</v>
      </c>
    </row>
    <row r="684" spans="1:14" ht="15" customHeight="1" x14ac:dyDescent="0.45">
      <c r="A684" s="7">
        <v>2022</v>
      </c>
      <c r="B684" s="5" t="s">
        <v>342</v>
      </c>
      <c r="C684" s="1" t="str">
        <f t="shared" si="20"/>
        <v>Jashaun Corbin</v>
      </c>
      <c r="D684" s="1" t="str">
        <f t="shared" si="21"/>
        <v>NYG</v>
      </c>
      <c r="E684" s="1">
        <v>0</v>
      </c>
      <c r="F684" s="1">
        <v>0</v>
      </c>
      <c r="G684" s="1">
        <v>0</v>
      </c>
      <c r="H684" s="1">
        <v>0</v>
      </c>
      <c r="I684">
        <v>0</v>
      </c>
      <c r="J684">
        <v>2</v>
      </c>
      <c r="K684" cm="1">
        <f t="array" ref="K684">IFERROR(_xlfn.XLOOKUP(D684&amp;A684, RBWR!A:A&amp;RBWR!C:C, RBWR!B:B), "N/A")</f>
        <v>70</v>
      </c>
      <c r="L684" t="str" cm="1">
        <f t="array" ref="L684">IFERROR(_xlfn.XLOOKUP(C684&amp;A684, RYOE!A:A&amp;RYOE!F:F, RYOE!C:C), "N/A")</f>
        <v>N/A</v>
      </c>
      <c r="M684" t="str" cm="1">
        <f t="array" ref="M684">IFERROR(_xlfn.XLOOKUP(C684&amp;A684, RYOE!A:A&amp;RYOE!F:F, RYOE!D:D), "N/A")</f>
        <v>N/A</v>
      </c>
      <c r="N684" t="str" cm="1">
        <f t="array" ref="N684">IFERROR(_xlfn.XLOOKUP(C684&amp;A684, RYOE!A:A&amp;RYOE!F:F, RYOE!E:E), "N/A")</f>
        <v>N/A</v>
      </c>
    </row>
    <row r="685" spans="1:14" ht="15" customHeight="1" x14ac:dyDescent="0.45">
      <c r="A685" s="8">
        <v>2022</v>
      </c>
      <c r="B685" s="6" t="s">
        <v>447</v>
      </c>
      <c r="C685" s="2" t="str">
        <f t="shared" si="20"/>
        <v>Jake Funk</v>
      </c>
      <c r="D685" s="2" t="str">
        <f t="shared" si="21"/>
        <v>LAR</v>
      </c>
      <c r="E685" s="2">
        <v>0</v>
      </c>
      <c r="F685" s="2">
        <v>0</v>
      </c>
      <c r="G685" s="2">
        <v>0</v>
      </c>
      <c r="H685" s="2">
        <v>0</v>
      </c>
      <c r="I685">
        <v>0</v>
      </c>
      <c r="J685">
        <v>1</v>
      </c>
      <c r="K685" cm="1">
        <f t="array" ref="K685">IFERROR(_xlfn.XLOOKUP(D685&amp;A685, RBWR!A:A&amp;RBWR!C:C, RBWR!B:B), "N/A")</f>
        <v>72</v>
      </c>
      <c r="L685" t="str" cm="1">
        <f t="array" ref="L685">IFERROR(_xlfn.XLOOKUP(C685&amp;A685, RYOE!A:A&amp;RYOE!F:F, RYOE!C:C), "N/A")</f>
        <v>N/A</v>
      </c>
      <c r="M685" t="str" cm="1">
        <f t="array" ref="M685">IFERROR(_xlfn.XLOOKUP(C685&amp;A685, RYOE!A:A&amp;RYOE!F:F, RYOE!D:D), "N/A")</f>
        <v>N/A</v>
      </c>
      <c r="N685" t="str" cm="1">
        <f t="array" ref="N685">IFERROR(_xlfn.XLOOKUP(C685&amp;A685, RYOE!A:A&amp;RYOE!F:F, RYOE!E:E), "N/A")</f>
        <v>N/A</v>
      </c>
    </row>
    <row r="686" spans="1:14" ht="15" customHeight="1" x14ac:dyDescent="0.45">
      <c r="A686" s="7">
        <v>2022</v>
      </c>
      <c r="B686" s="5" t="s">
        <v>448</v>
      </c>
      <c r="C686" s="1" t="str">
        <f t="shared" si="20"/>
        <v>Ben Mason</v>
      </c>
      <c r="D686" s="1" t="str">
        <f t="shared" si="21"/>
        <v>BAL</v>
      </c>
      <c r="E686" s="1">
        <v>0</v>
      </c>
      <c r="F686" s="1">
        <v>0</v>
      </c>
      <c r="G686" s="1">
        <v>0</v>
      </c>
      <c r="H686" s="1">
        <v>0</v>
      </c>
      <c r="I686">
        <v>0</v>
      </c>
      <c r="J686">
        <v>1</v>
      </c>
      <c r="K686" cm="1">
        <f t="array" ref="K686">IFERROR(_xlfn.XLOOKUP(D686&amp;A686, RBWR!A:A&amp;RBWR!C:C, RBWR!B:B), "N/A")</f>
        <v>77</v>
      </c>
      <c r="L686" t="str" cm="1">
        <f t="array" ref="L686">IFERROR(_xlfn.XLOOKUP(C686&amp;A686, RYOE!A:A&amp;RYOE!F:F, RYOE!C:C), "N/A")</f>
        <v>N/A</v>
      </c>
      <c r="M686" t="str" cm="1">
        <f t="array" ref="M686">IFERROR(_xlfn.XLOOKUP(C686&amp;A686, RYOE!A:A&amp;RYOE!F:F, RYOE!D:D), "N/A")</f>
        <v>N/A</v>
      </c>
      <c r="N686" t="str" cm="1">
        <f t="array" ref="N686">IFERROR(_xlfn.XLOOKUP(C686&amp;A686, RYOE!A:A&amp;RYOE!F:F, RYOE!E:E), "N/A")</f>
        <v>N/A</v>
      </c>
    </row>
    <row r="687" spans="1:14" ht="15" customHeight="1" x14ac:dyDescent="0.45">
      <c r="A687" s="8">
        <v>2022</v>
      </c>
      <c r="B687" s="6" t="s">
        <v>449</v>
      </c>
      <c r="C687" s="2" t="str">
        <f t="shared" si="20"/>
        <v>Bryant Koback</v>
      </c>
      <c r="D687" s="2" t="str">
        <f t="shared" si="21"/>
        <v>MIN</v>
      </c>
      <c r="E687" s="2">
        <v>0</v>
      </c>
      <c r="F687" s="2">
        <v>0</v>
      </c>
      <c r="G687" s="2">
        <v>0</v>
      </c>
      <c r="H687" s="2">
        <v>0</v>
      </c>
      <c r="I687">
        <v>0</v>
      </c>
      <c r="J687">
        <v>2</v>
      </c>
      <c r="K687" cm="1">
        <f t="array" ref="K687">IFERROR(_xlfn.XLOOKUP(D687&amp;A687, RBWR!A:A&amp;RBWR!C:C, RBWR!B:B), "N/A")</f>
        <v>71</v>
      </c>
      <c r="L687" t="str" cm="1">
        <f t="array" ref="L687">IFERROR(_xlfn.XLOOKUP(C687&amp;A687, RYOE!A:A&amp;RYOE!F:F, RYOE!C:C), "N/A")</f>
        <v>N/A</v>
      </c>
      <c r="M687" t="str" cm="1">
        <f t="array" ref="M687">IFERROR(_xlfn.XLOOKUP(C687&amp;A687, RYOE!A:A&amp;RYOE!F:F, RYOE!D:D), "N/A")</f>
        <v>N/A</v>
      </c>
      <c r="N687" t="str" cm="1">
        <f t="array" ref="N687">IFERROR(_xlfn.XLOOKUP(C687&amp;A687, RYOE!A:A&amp;RYOE!F:F, RYOE!E:E), "N/A")</f>
        <v>N/A</v>
      </c>
    </row>
    <row r="688" spans="1:14" ht="15" customHeight="1" x14ac:dyDescent="0.45">
      <c r="A688" s="7">
        <v>2022</v>
      </c>
      <c r="B688" s="5" t="s">
        <v>363</v>
      </c>
      <c r="C688" s="1" t="str">
        <f t="shared" si="20"/>
        <v>Velus Jones Jr.</v>
      </c>
      <c r="D688" s="1" t="str">
        <f t="shared" si="21"/>
        <v>CHI</v>
      </c>
      <c r="E688" s="1">
        <v>9</v>
      </c>
      <c r="F688" s="1">
        <v>103</v>
      </c>
      <c r="G688" s="1">
        <v>11.4</v>
      </c>
      <c r="H688" s="1">
        <v>1</v>
      </c>
      <c r="I688">
        <v>3</v>
      </c>
      <c r="J688">
        <v>11</v>
      </c>
      <c r="K688" cm="1">
        <f t="array" ref="K688">IFERROR(_xlfn.XLOOKUP(D688&amp;A688, RBWR!A:A&amp;RBWR!C:C, RBWR!B:B), "N/A")</f>
        <v>74</v>
      </c>
      <c r="L688" t="str" cm="1">
        <f t="array" ref="L688">IFERROR(_xlfn.XLOOKUP(C688&amp;A688, RYOE!A:A&amp;RYOE!F:F, RYOE!C:C), "N/A")</f>
        <v>N/A</v>
      </c>
      <c r="M688" t="str" cm="1">
        <f t="array" ref="M688">IFERROR(_xlfn.XLOOKUP(C688&amp;A688, RYOE!A:A&amp;RYOE!F:F, RYOE!D:D), "N/A")</f>
        <v>N/A</v>
      </c>
      <c r="N688" t="str" cm="1">
        <f t="array" ref="N688">IFERROR(_xlfn.XLOOKUP(C688&amp;A688, RYOE!A:A&amp;RYOE!F:F, RYOE!E:E), "N/A")</f>
        <v>N/A</v>
      </c>
    </row>
    <row r="689" spans="1:14" ht="15" customHeight="1" x14ac:dyDescent="0.45">
      <c r="A689" s="8">
        <v>2022</v>
      </c>
      <c r="B689" s="6" t="s">
        <v>141</v>
      </c>
      <c r="C689" s="2" t="str">
        <f t="shared" si="20"/>
        <v>Connor Heyward</v>
      </c>
      <c r="D689" s="2" t="str">
        <f t="shared" si="21"/>
        <v>PIT</v>
      </c>
      <c r="E689" s="2">
        <v>2</v>
      </c>
      <c r="F689" s="2">
        <v>27</v>
      </c>
      <c r="G689" s="2">
        <v>13.5</v>
      </c>
      <c r="H689" s="2">
        <v>0</v>
      </c>
      <c r="I689">
        <v>0</v>
      </c>
      <c r="J689">
        <v>17</v>
      </c>
      <c r="K689" cm="1">
        <f t="array" ref="K689">IFERROR(_xlfn.XLOOKUP(D689&amp;A689, RBWR!A:A&amp;RBWR!C:C, RBWR!B:B), "N/A")</f>
        <v>72</v>
      </c>
      <c r="L689" t="str" cm="1">
        <f t="array" ref="L689">IFERROR(_xlfn.XLOOKUP(C689&amp;A689, RYOE!A:A&amp;RYOE!F:F, RYOE!C:C), "N/A")</f>
        <v>N/A</v>
      </c>
      <c r="M689" t="str" cm="1">
        <f t="array" ref="M689">IFERROR(_xlfn.XLOOKUP(C689&amp;A689, RYOE!A:A&amp;RYOE!F:F, RYOE!D:D), "N/A")</f>
        <v>N/A</v>
      </c>
      <c r="N689" t="str" cm="1">
        <f t="array" ref="N689">IFERROR(_xlfn.XLOOKUP(C689&amp;A689, RYOE!A:A&amp;RYOE!F:F, RYOE!E:E), "N/A")</f>
        <v>N/A</v>
      </c>
    </row>
    <row r="690" spans="1:14" ht="15" customHeight="1" x14ac:dyDescent="0.45">
      <c r="A690" s="7">
        <v>2022</v>
      </c>
      <c r="B690" s="5" t="s">
        <v>364</v>
      </c>
      <c r="C690" s="1" t="str">
        <f t="shared" si="20"/>
        <v>Brittain Brown</v>
      </c>
      <c r="D690" s="1" t="str">
        <f t="shared" si="21"/>
        <v>LV</v>
      </c>
      <c r="E690" s="1">
        <v>0</v>
      </c>
      <c r="F690" s="1">
        <v>0</v>
      </c>
      <c r="G690" s="1">
        <v>0</v>
      </c>
      <c r="H690" s="1">
        <v>0</v>
      </c>
      <c r="I690">
        <v>0</v>
      </c>
      <c r="J690">
        <v>1</v>
      </c>
      <c r="K690" cm="1">
        <f t="array" ref="K690">IFERROR(_xlfn.XLOOKUP(D690&amp;A690, RBWR!A:A&amp;RBWR!C:C, RBWR!B:B), "N/A")</f>
        <v>72</v>
      </c>
      <c r="L690" t="str" cm="1">
        <f t="array" ref="L690">IFERROR(_xlfn.XLOOKUP(C690&amp;A690, RYOE!A:A&amp;RYOE!F:F, RYOE!C:C), "N/A")</f>
        <v>N/A</v>
      </c>
      <c r="M690" t="str" cm="1">
        <f t="array" ref="M690">IFERROR(_xlfn.XLOOKUP(C690&amp;A690, RYOE!A:A&amp;RYOE!F:F, RYOE!D:D), "N/A")</f>
        <v>N/A</v>
      </c>
      <c r="N690" t="str" cm="1">
        <f t="array" ref="N690">IFERROR(_xlfn.XLOOKUP(C690&amp;A690, RYOE!A:A&amp;RYOE!F:F, RYOE!E:E), "N/A")</f>
        <v>N/A</v>
      </c>
    </row>
    <row r="691" spans="1:14" ht="15" customHeight="1" x14ac:dyDescent="0.45">
      <c r="A691" s="8">
        <v>2022</v>
      </c>
      <c r="B691" s="6" t="s">
        <v>450</v>
      </c>
      <c r="C691" s="2" t="str">
        <f t="shared" si="20"/>
        <v>John Lovett</v>
      </c>
      <c r="D691" s="2" t="str">
        <f t="shared" si="21"/>
        <v>CAR</v>
      </c>
      <c r="E691" s="2">
        <v>0</v>
      </c>
      <c r="F691" s="2">
        <v>0</v>
      </c>
      <c r="G691" s="2">
        <v>0</v>
      </c>
      <c r="H691" s="2">
        <v>0</v>
      </c>
      <c r="I691">
        <v>0</v>
      </c>
      <c r="J691">
        <v>1</v>
      </c>
      <c r="K691" cm="1">
        <f t="array" ref="K691">IFERROR(_xlfn.XLOOKUP(D691&amp;A691, RBWR!A:A&amp;RBWR!C:C, RBWR!B:B), "N/A")</f>
        <v>72</v>
      </c>
      <c r="L691" t="str" cm="1">
        <f t="array" ref="L691">IFERROR(_xlfn.XLOOKUP(C691&amp;A691, RYOE!A:A&amp;RYOE!F:F, RYOE!C:C), "N/A")</f>
        <v>N/A</v>
      </c>
      <c r="M691" t="str" cm="1">
        <f t="array" ref="M691">IFERROR(_xlfn.XLOOKUP(C691&amp;A691, RYOE!A:A&amp;RYOE!F:F, RYOE!D:D), "N/A")</f>
        <v>N/A</v>
      </c>
      <c r="N691" t="str" cm="1">
        <f t="array" ref="N691">IFERROR(_xlfn.XLOOKUP(C691&amp;A691, RYOE!A:A&amp;RYOE!F:F, RYOE!E:E), "N/A")</f>
        <v>N/A</v>
      </c>
    </row>
    <row r="692" spans="1:14" ht="15" customHeight="1" x14ac:dyDescent="0.45">
      <c r="A692" s="7">
        <v>2022</v>
      </c>
      <c r="B692" s="5" t="s">
        <v>451</v>
      </c>
      <c r="C692" s="1" t="str">
        <f t="shared" si="20"/>
        <v>Taiwan Jones</v>
      </c>
      <c r="D692" s="1" t="str">
        <f t="shared" si="21"/>
        <v>BUF</v>
      </c>
      <c r="E692" s="1">
        <v>0</v>
      </c>
      <c r="F692" s="1">
        <v>0</v>
      </c>
      <c r="G692" s="1">
        <v>0</v>
      </c>
      <c r="H692" s="1">
        <v>0</v>
      </c>
      <c r="I692">
        <v>1</v>
      </c>
      <c r="J692">
        <v>7</v>
      </c>
      <c r="K692" cm="1">
        <f t="array" ref="K692">IFERROR(_xlfn.XLOOKUP(D692&amp;A692, RBWR!A:A&amp;RBWR!C:C, RBWR!B:B), "N/A")</f>
        <v>71</v>
      </c>
      <c r="L692" t="str" cm="1">
        <f t="array" ref="L692">IFERROR(_xlfn.XLOOKUP(C692&amp;A692, RYOE!A:A&amp;RYOE!F:F, RYOE!C:C), "N/A")</f>
        <v>N/A</v>
      </c>
      <c r="M692" t="str" cm="1">
        <f t="array" ref="M692">IFERROR(_xlfn.XLOOKUP(C692&amp;A692, RYOE!A:A&amp;RYOE!F:F, RYOE!D:D), "N/A")</f>
        <v>N/A</v>
      </c>
      <c r="N692" t="str" cm="1">
        <f t="array" ref="N692">IFERROR(_xlfn.XLOOKUP(C692&amp;A692, RYOE!A:A&amp;RYOE!F:F, RYOE!E:E), "N/A")</f>
        <v>N/A</v>
      </c>
    </row>
    <row r="693" spans="1:14" ht="15" customHeight="1" x14ac:dyDescent="0.45">
      <c r="A693" s="8">
        <v>2021</v>
      </c>
      <c r="B693" s="6" t="s">
        <v>35</v>
      </c>
      <c r="C693" s="2" t="str">
        <f t="shared" si="20"/>
        <v>Jonathan Taylor</v>
      </c>
      <c r="D693" s="2" t="str">
        <f t="shared" si="21"/>
        <v>IND</v>
      </c>
      <c r="E693" s="2">
        <v>332</v>
      </c>
      <c r="F693" s="2">
        <v>1811</v>
      </c>
      <c r="G693" s="2">
        <v>5.5</v>
      </c>
      <c r="H693" s="2">
        <v>18</v>
      </c>
      <c r="I693">
        <v>2</v>
      </c>
      <c r="J693">
        <v>17</v>
      </c>
      <c r="K693" cm="1">
        <f t="array" ref="K693">IFERROR(_xlfn.XLOOKUP(D693&amp;A693, RBWR!A:A&amp;RBWR!C:C, RBWR!B:B), "N/A")</f>
        <v>72</v>
      </c>
      <c r="L693" cm="1">
        <f t="array" ref="L693">IFERROR(_xlfn.XLOOKUP(C693&amp;A693, RYOE!A:A&amp;RYOE!F:F, RYOE!C:C), "N/A")</f>
        <v>390</v>
      </c>
      <c r="M693" cm="1">
        <f t="array" ref="M693">IFERROR(_xlfn.XLOOKUP(C693&amp;A693, RYOE!A:A&amp;RYOE!F:F, RYOE!D:D), "N/A")</f>
        <v>1.19</v>
      </c>
      <c r="N693" cm="1">
        <f t="array" ref="N693">IFERROR(_xlfn.XLOOKUP(C693&amp;A693, RYOE!A:A&amp;RYOE!F:F, RYOE!E:E), "N/A")</f>
        <v>41.9</v>
      </c>
    </row>
    <row r="694" spans="1:14" ht="15" customHeight="1" x14ac:dyDescent="0.45">
      <c r="A694" s="7">
        <v>2021</v>
      </c>
      <c r="B694" s="5" t="s">
        <v>290</v>
      </c>
      <c r="C694" s="1" t="str">
        <f t="shared" si="20"/>
        <v>Austin Ekeler</v>
      </c>
      <c r="D694" s="1" t="str">
        <f t="shared" si="21"/>
        <v>LAC</v>
      </c>
      <c r="E694" s="1">
        <v>206</v>
      </c>
      <c r="F694" s="1">
        <v>911</v>
      </c>
      <c r="G694" s="1">
        <v>4.4000000000000004</v>
      </c>
      <c r="H694" s="1">
        <v>12</v>
      </c>
      <c r="I694">
        <v>3</v>
      </c>
      <c r="J694">
        <v>16</v>
      </c>
      <c r="K694" cm="1">
        <f t="array" ref="K694">IFERROR(_xlfn.XLOOKUP(D694&amp;A694, RBWR!A:A&amp;RBWR!C:C, RBWR!B:B), "N/A")</f>
        <v>70</v>
      </c>
      <c r="L694" cm="1">
        <f t="array" ref="L694">IFERROR(_xlfn.XLOOKUP(C694&amp;A694, RYOE!A:A&amp;RYOE!F:F, RYOE!C:C), "N/A")</f>
        <v>-11</v>
      </c>
      <c r="M694" cm="1">
        <f t="array" ref="M694">IFERROR(_xlfn.XLOOKUP(C694&amp;A694, RYOE!A:A&amp;RYOE!F:F, RYOE!D:D), "N/A")</f>
        <v>-0.06</v>
      </c>
      <c r="N694" cm="1">
        <f t="array" ref="N694">IFERROR(_xlfn.XLOOKUP(C694&amp;A694, RYOE!A:A&amp;RYOE!F:F, RYOE!E:E), "N/A")</f>
        <v>38</v>
      </c>
    </row>
    <row r="695" spans="1:14" ht="15" customHeight="1" x14ac:dyDescent="0.45">
      <c r="A695" s="8">
        <v>2021</v>
      </c>
      <c r="B695" s="6" t="s">
        <v>282</v>
      </c>
      <c r="C695" s="2" t="str">
        <f t="shared" si="20"/>
        <v>Joe Mixon</v>
      </c>
      <c r="D695" s="2" t="str">
        <f t="shared" si="21"/>
        <v>CIN</v>
      </c>
      <c r="E695" s="2">
        <v>292</v>
      </c>
      <c r="F695" s="2">
        <v>1205</v>
      </c>
      <c r="G695" s="2">
        <v>4.0999999999999996</v>
      </c>
      <c r="H695" s="2">
        <v>13</v>
      </c>
      <c r="I695">
        <v>1</v>
      </c>
      <c r="J695">
        <v>16</v>
      </c>
      <c r="K695" cm="1">
        <f t="array" ref="K695">IFERROR(_xlfn.XLOOKUP(D695&amp;A695, RBWR!A:A&amp;RBWR!C:C, RBWR!B:B), "N/A")</f>
        <v>71</v>
      </c>
      <c r="L695" cm="1">
        <f t="array" ref="L695">IFERROR(_xlfn.XLOOKUP(C695&amp;A695, RYOE!A:A&amp;RYOE!F:F, RYOE!C:C), "N/A")</f>
        <v>-21</v>
      </c>
      <c r="M695" cm="1">
        <f t="array" ref="M695">IFERROR(_xlfn.XLOOKUP(C695&amp;A695, RYOE!A:A&amp;RYOE!F:F, RYOE!D:D), "N/A")</f>
        <v>-7.0000000000000007E-2</v>
      </c>
      <c r="N695" cm="1">
        <f t="array" ref="N695">IFERROR(_xlfn.XLOOKUP(C695&amp;A695, RYOE!A:A&amp;RYOE!F:F, RYOE!E:E), "N/A")</f>
        <v>35.9</v>
      </c>
    </row>
    <row r="696" spans="1:14" ht="15" customHeight="1" x14ac:dyDescent="0.45">
      <c r="A696" s="7">
        <v>2021</v>
      </c>
      <c r="B696" s="5" t="s">
        <v>207</v>
      </c>
      <c r="C696" s="1" t="str">
        <f t="shared" si="20"/>
        <v>Najee Harris</v>
      </c>
      <c r="D696" s="1" t="str">
        <f t="shared" si="21"/>
        <v>PIT</v>
      </c>
      <c r="E696" s="1">
        <v>307</v>
      </c>
      <c r="F696" s="1">
        <v>1200</v>
      </c>
      <c r="G696" s="1">
        <v>3.9</v>
      </c>
      <c r="H696" s="1">
        <v>7</v>
      </c>
      <c r="I696">
        <v>0</v>
      </c>
      <c r="J696">
        <v>17</v>
      </c>
      <c r="K696" cm="1">
        <f t="array" ref="K696">IFERROR(_xlfn.XLOOKUP(D696&amp;A696, RBWR!A:A&amp;RBWR!C:C, RBWR!B:B), "N/A")</f>
        <v>67</v>
      </c>
      <c r="L696" cm="1">
        <f t="array" ref="L696">IFERROR(_xlfn.XLOOKUP(C696&amp;A696, RYOE!A:A&amp;RYOE!F:F, RYOE!C:C), "N/A")</f>
        <v>-81</v>
      </c>
      <c r="M696" cm="1">
        <f t="array" ref="M696">IFERROR(_xlfn.XLOOKUP(C696&amp;A696, RYOE!A:A&amp;RYOE!F:F, RYOE!D:D), "N/A")</f>
        <v>-0.27</v>
      </c>
      <c r="N696" cm="1">
        <f t="array" ref="N696">IFERROR(_xlfn.XLOOKUP(C696&amp;A696, RYOE!A:A&amp;RYOE!F:F, RYOE!E:E), "N/A")</f>
        <v>33.6</v>
      </c>
    </row>
    <row r="697" spans="1:14" ht="15" customHeight="1" x14ac:dyDescent="0.45">
      <c r="A697" s="8">
        <v>2021</v>
      </c>
      <c r="B697" s="6" t="s">
        <v>115</v>
      </c>
      <c r="C697" s="2" t="str">
        <f t="shared" si="20"/>
        <v>James Conner</v>
      </c>
      <c r="D697" s="2" t="str">
        <f t="shared" si="21"/>
        <v>ARI</v>
      </c>
      <c r="E697" s="2">
        <v>202</v>
      </c>
      <c r="F697" s="2">
        <v>752</v>
      </c>
      <c r="G697" s="2">
        <v>3.7</v>
      </c>
      <c r="H697" s="2">
        <v>15</v>
      </c>
      <c r="I697">
        <v>0</v>
      </c>
      <c r="J697">
        <v>15</v>
      </c>
      <c r="K697" cm="1">
        <f t="array" ref="K697">IFERROR(_xlfn.XLOOKUP(D697&amp;A697, RBWR!A:A&amp;RBWR!C:C, RBWR!B:B), "N/A")</f>
        <v>70</v>
      </c>
      <c r="L697" cm="1">
        <f t="array" ref="L697">IFERROR(_xlfn.XLOOKUP(C697&amp;A697, RYOE!A:A&amp;RYOE!F:F, RYOE!C:C), "N/A")</f>
        <v>-66</v>
      </c>
      <c r="M697" cm="1">
        <f t="array" ref="M697">IFERROR(_xlfn.XLOOKUP(C697&amp;A697, RYOE!A:A&amp;RYOE!F:F, RYOE!D:D), "N/A")</f>
        <v>-0.33</v>
      </c>
      <c r="N697" cm="1">
        <f t="array" ref="N697">IFERROR(_xlfn.XLOOKUP(C697&amp;A697, RYOE!A:A&amp;RYOE!F:F, RYOE!E:E), "N/A")</f>
        <v>36.799999999999997</v>
      </c>
    </row>
    <row r="698" spans="1:14" ht="15" customHeight="1" x14ac:dyDescent="0.45">
      <c r="A698" s="7">
        <v>2021</v>
      </c>
      <c r="B698" s="5" t="s">
        <v>224</v>
      </c>
      <c r="C698" s="1" t="str">
        <f t="shared" si="20"/>
        <v>Ezekiel Elliott</v>
      </c>
      <c r="D698" s="1" t="str">
        <f t="shared" si="21"/>
        <v>DAL</v>
      </c>
      <c r="E698" s="1">
        <v>237</v>
      </c>
      <c r="F698" s="1">
        <v>1002</v>
      </c>
      <c r="G698" s="1">
        <v>4.2</v>
      </c>
      <c r="H698" s="1">
        <v>10</v>
      </c>
      <c r="I698">
        <v>1</v>
      </c>
      <c r="J698">
        <v>17</v>
      </c>
      <c r="K698" cm="1">
        <f t="array" ref="K698">IFERROR(_xlfn.XLOOKUP(D698&amp;A698, RBWR!A:A&amp;RBWR!C:C, RBWR!B:B), "N/A")</f>
        <v>73</v>
      </c>
      <c r="L698" cm="1">
        <f t="array" ref="L698">IFERROR(_xlfn.XLOOKUP(C698&amp;A698, RYOE!A:A&amp;RYOE!F:F, RYOE!C:C), "N/A")</f>
        <v>-45</v>
      </c>
      <c r="M698" cm="1">
        <f t="array" ref="M698">IFERROR(_xlfn.XLOOKUP(C698&amp;A698, RYOE!A:A&amp;RYOE!F:F, RYOE!D:D), "N/A")</f>
        <v>-0.19</v>
      </c>
      <c r="N698" cm="1">
        <f t="array" ref="N698">IFERROR(_xlfn.XLOOKUP(C698&amp;A698, RYOE!A:A&amp;RYOE!F:F, RYOE!E:E), "N/A")</f>
        <v>38</v>
      </c>
    </row>
    <row r="699" spans="1:14" ht="15" customHeight="1" x14ac:dyDescent="0.45">
      <c r="A699" s="8">
        <v>2021</v>
      </c>
      <c r="B699" s="6" t="s">
        <v>219</v>
      </c>
      <c r="C699" s="2" t="str">
        <f t="shared" si="20"/>
        <v>Nick Chubb</v>
      </c>
      <c r="D699" s="2" t="str">
        <f t="shared" si="21"/>
        <v>CLE</v>
      </c>
      <c r="E699" s="2">
        <v>228</v>
      </c>
      <c r="F699" s="2">
        <v>1259</v>
      </c>
      <c r="G699" s="2">
        <v>5.5</v>
      </c>
      <c r="H699" s="2">
        <v>8</v>
      </c>
      <c r="I699">
        <v>1</v>
      </c>
      <c r="J699">
        <v>14</v>
      </c>
      <c r="K699" cm="1">
        <f t="array" ref="K699">IFERROR(_xlfn.XLOOKUP(D699&amp;A699, RBWR!A:A&amp;RBWR!C:C, RBWR!B:B), "N/A")</f>
        <v>72</v>
      </c>
      <c r="L699" cm="1">
        <f t="array" ref="L699">IFERROR(_xlfn.XLOOKUP(C699&amp;A699, RYOE!A:A&amp;RYOE!F:F, RYOE!C:C), "N/A")</f>
        <v>255</v>
      </c>
      <c r="M699" cm="1">
        <f t="array" ref="M699">IFERROR(_xlfn.XLOOKUP(C699&amp;A699, RYOE!A:A&amp;RYOE!F:F, RYOE!D:D), "N/A")</f>
        <v>1.1299999999999999</v>
      </c>
      <c r="N699" cm="1">
        <f t="array" ref="N699">IFERROR(_xlfn.XLOOKUP(C699&amp;A699, RYOE!A:A&amp;RYOE!F:F, RYOE!E:E), "N/A")</f>
        <v>42</v>
      </c>
    </row>
    <row r="700" spans="1:14" ht="15" customHeight="1" x14ac:dyDescent="0.45">
      <c r="A700" s="7">
        <v>2021</v>
      </c>
      <c r="B700" s="5" t="s">
        <v>383</v>
      </c>
      <c r="C700" s="1" t="str">
        <f t="shared" si="20"/>
        <v>Damien Harris</v>
      </c>
      <c r="D700" s="1" t="str">
        <f t="shared" si="21"/>
        <v>NE</v>
      </c>
      <c r="E700" s="1">
        <v>203</v>
      </c>
      <c r="F700" s="1">
        <v>929</v>
      </c>
      <c r="G700" s="1">
        <v>4.5999999999999996</v>
      </c>
      <c r="H700" s="1">
        <v>15</v>
      </c>
      <c r="I700">
        <v>2</v>
      </c>
      <c r="J700">
        <v>15</v>
      </c>
      <c r="K700" cm="1">
        <f t="array" ref="K700">IFERROR(_xlfn.XLOOKUP(D700&amp;A700, RBWR!A:A&amp;RBWR!C:C, RBWR!B:B), "N/A")</f>
        <v>70</v>
      </c>
      <c r="L700" cm="1">
        <f t="array" ref="L700">IFERROR(_xlfn.XLOOKUP(C700&amp;A700, RYOE!A:A&amp;RYOE!F:F, RYOE!C:C), "N/A")</f>
        <v>111</v>
      </c>
      <c r="M700" cm="1">
        <f t="array" ref="M700">IFERROR(_xlfn.XLOOKUP(C700&amp;A700, RYOE!A:A&amp;RYOE!F:F, RYOE!D:D), "N/A")</f>
        <v>0.56999999999999995</v>
      </c>
      <c r="N700" cm="1">
        <f t="array" ref="N700">IFERROR(_xlfn.XLOOKUP(C700&amp;A700, RYOE!A:A&amp;RYOE!F:F, RYOE!E:E), "N/A")</f>
        <v>42.3</v>
      </c>
    </row>
    <row r="701" spans="1:14" ht="15" customHeight="1" x14ac:dyDescent="0.45">
      <c r="A701" s="8">
        <v>2021</v>
      </c>
      <c r="B701" s="6" t="s">
        <v>78</v>
      </c>
      <c r="C701" s="2" t="str">
        <f t="shared" si="20"/>
        <v>Alvin Kamara</v>
      </c>
      <c r="D701" s="2" t="str">
        <f t="shared" si="21"/>
        <v>NO</v>
      </c>
      <c r="E701" s="2">
        <v>240</v>
      </c>
      <c r="F701" s="2">
        <v>898</v>
      </c>
      <c r="G701" s="2">
        <v>3.7</v>
      </c>
      <c r="H701" s="2">
        <v>4</v>
      </c>
      <c r="I701">
        <v>0</v>
      </c>
      <c r="J701">
        <v>13</v>
      </c>
      <c r="K701" cm="1">
        <f t="array" ref="K701">IFERROR(_xlfn.XLOOKUP(D701&amp;A701, RBWR!A:A&amp;RBWR!C:C, RBWR!B:B), "N/A")</f>
        <v>69</v>
      </c>
      <c r="L701" cm="1">
        <f t="array" ref="L701">IFERROR(_xlfn.XLOOKUP(C701&amp;A701, RYOE!A:A&amp;RYOE!F:F, RYOE!C:C), "N/A")</f>
        <v>-140</v>
      </c>
      <c r="M701" cm="1">
        <f t="array" ref="M701">IFERROR(_xlfn.XLOOKUP(C701&amp;A701, RYOE!A:A&amp;RYOE!F:F, RYOE!D:D), "N/A")</f>
        <v>-0.59</v>
      </c>
      <c r="N701" cm="1">
        <f t="array" ref="N701">IFERROR(_xlfn.XLOOKUP(C701&amp;A701, RYOE!A:A&amp;RYOE!F:F, RYOE!E:E), "N/A")</f>
        <v>31.5</v>
      </c>
    </row>
    <row r="702" spans="1:14" ht="15" customHeight="1" x14ac:dyDescent="0.45">
      <c r="A702" s="7">
        <v>2021</v>
      </c>
      <c r="B702" s="5" t="s">
        <v>298</v>
      </c>
      <c r="C702" s="1" t="str">
        <f t="shared" si="20"/>
        <v>Antonio Gibson</v>
      </c>
      <c r="D702" s="1" t="str">
        <f t="shared" si="21"/>
        <v>WAS</v>
      </c>
      <c r="E702" s="1">
        <v>258</v>
      </c>
      <c r="F702" s="1">
        <v>1037</v>
      </c>
      <c r="G702" s="1">
        <v>4</v>
      </c>
      <c r="H702" s="1">
        <v>7</v>
      </c>
      <c r="I702">
        <v>4</v>
      </c>
      <c r="J702">
        <v>16</v>
      </c>
      <c r="K702" cm="1">
        <f t="array" ref="K702">IFERROR(_xlfn.XLOOKUP(D702&amp;A702, RBWR!A:A&amp;RBWR!C:C, RBWR!B:B), "N/A")</f>
        <v>75</v>
      </c>
      <c r="L702" cm="1">
        <f t="array" ref="L702">IFERROR(_xlfn.XLOOKUP(C702&amp;A702, RYOE!A:A&amp;RYOE!F:F, RYOE!C:C), "N/A")</f>
        <v>1</v>
      </c>
      <c r="M702" cm="1">
        <f t="array" ref="M702">IFERROR(_xlfn.XLOOKUP(C702&amp;A702, RYOE!A:A&amp;RYOE!F:F, RYOE!D:D), "N/A")</f>
        <v>0.01</v>
      </c>
      <c r="N702" cm="1">
        <f t="array" ref="N702">IFERROR(_xlfn.XLOOKUP(C702&amp;A702, RYOE!A:A&amp;RYOE!F:F, RYOE!E:E), "N/A")</f>
        <v>38.799999999999997</v>
      </c>
    </row>
    <row r="703" spans="1:14" ht="15" customHeight="1" x14ac:dyDescent="0.45">
      <c r="A703" s="8">
        <v>2021</v>
      </c>
      <c r="B703" s="6" t="s">
        <v>373</v>
      </c>
      <c r="C703" s="2" t="str">
        <f t="shared" si="20"/>
        <v>Leonard Fournette</v>
      </c>
      <c r="D703" s="2" t="str">
        <f t="shared" si="21"/>
        <v>TB</v>
      </c>
      <c r="E703" s="2">
        <v>180</v>
      </c>
      <c r="F703" s="2">
        <v>812</v>
      </c>
      <c r="G703" s="2">
        <v>4.5</v>
      </c>
      <c r="H703" s="2">
        <v>8</v>
      </c>
      <c r="I703">
        <v>0</v>
      </c>
      <c r="J703">
        <v>14</v>
      </c>
      <c r="K703" cm="1">
        <f t="array" ref="K703">IFERROR(_xlfn.XLOOKUP(D703&amp;A703, RBWR!A:A&amp;RBWR!C:C, RBWR!B:B), "N/A")</f>
        <v>70</v>
      </c>
      <c r="L703" cm="1">
        <f t="array" ref="L703">IFERROR(_xlfn.XLOOKUP(C703&amp;A703, RYOE!A:A&amp;RYOE!F:F, RYOE!C:C), "N/A")</f>
        <v>48</v>
      </c>
      <c r="M703" cm="1">
        <f t="array" ref="M703">IFERROR(_xlfn.XLOOKUP(C703&amp;A703, RYOE!A:A&amp;RYOE!F:F, RYOE!D:D), "N/A")</f>
        <v>0.27</v>
      </c>
      <c r="N703" cm="1">
        <f t="array" ref="N703">IFERROR(_xlfn.XLOOKUP(C703&amp;A703, RYOE!A:A&amp;RYOE!F:F, RYOE!E:E), "N/A")</f>
        <v>42.1</v>
      </c>
    </row>
    <row r="704" spans="1:14" ht="15" customHeight="1" x14ac:dyDescent="0.45">
      <c r="A704" s="7">
        <v>2021</v>
      </c>
      <c r="B704" s="5" t="s">
        <v>307</v>
      </c>
      <c r="C704" s="1" t="str">
        <f t="shared" si="20"/>
        <v>Cordarrelle Patterson</v>
      </c>
      <c r="D704" s="1" t="str">
        <f t="shared" si="21"/>
        <v>ATL</v>
      </c>
      <c r="E704" s="1">
        <v>153</v>
      </c>
      <c r="F704" s="1">
        <v>618</v>
      </c>
      <c r="G704" s="1">
        <v>4</v>
      </c>
      <c r="H704" s="1">
        <v>6</v>
      </c>
      <c r="I704">
        <v>0</v>
      </c>
      <c r="J704">
        <v>16</v>
      </c>
      <c r="K704" cm="1">
        <f t="array" ref="K704">IFERROR(_xlfn.XLOOKUP(D704&amp;A704, RBWR!A:A&amp;RBWR!C:C, RBWR!B:B), "N/A")</f>
        <v>67</v>
      </c>
      <c r="L704" cm="1">
        <f t="array" ref="L704">IFERROR(_xlfn.XLOOKUP(C704&amp;A704, RYOE!A:A&amp;RYOE!F:F, RYOE!C:C), "N/A")</f>
        <v>-9</v>
      </c>
      <c r="M704" cm="1">
        <f t="array" ref="M704">IFERROR(_xlfn.XLOOKUP(C704&amp;A704, RYOE!A:A&amp;RYOE!F:F, RYOE!D:D), "N/A")</f>
        <v>-0.06</v>
      </c>
      <c r="N704" cm="1">
        <f t="array" ref="N704">IFERROR(_xlfn.XLOOKUP(C704&amp;A704, RYOE!A:A&amp;RYOE!F:F, RYOE!E:E), "N/A")</f>
        <v>35.799999999999997</v>
      </c>
    </row>
    <row r="705" spans="1:14" ht="15" customHeight="1" x14ac:dyDescent="0.45">
      <c r="A705" s="8">
        <v>2021</v>
      </c>
      <c r="B705" s="6" t="s">
        <v>292</v>
      </c>
      <c r="C705" s="2" t="str">
        <f t="shared" si="20"/>
        <v>Aaron Jones Sr.</v>
      </c>
      <c r="D705" s="2" t="str">
        <f t="shared" si="21"/>
        <v>GB</v>
      </c>
      <c r="E705" s="2">
        <v>171</v>
      </c>
      <c r="F705" s="2">
        <v>799</v>
      </c>
      <c r="G705" s="2">
        <v>4.7</v>
      </c>
      <c r="H705" s="2">
        <v>4</v>
      </c>
      <c r="I705">
        <v>1</v>
      </c>
      <c r="J705">
        <v>15</v>
      </c>
      <c r="K705" cm="1">
        <f t="array" ref="K705">IFERROR(_xlfn.XLOOKUP(D705&amp;A705, RBWR!A:A&amp;RBWR!C:C, RBWR!B:B), "N/A")</f>
        <v>73</v>
      </c>
      <c r="L705" cm="1">
        <f t="array" ref="L705">IFERROR(_xlfn.XLOOKUP(C705&amp;A705, RYOE!A:A&amp;RYOE!F:F, RYOE!C:C), "N/A")</f>
        <v>49</v>
      </c>
      <c r="M705" cm="1">
        <f t="array" ref="M705">IFERROR(_xlfn.XLOOKUP(C705&amp;A705, RYOE!A:A&amp;RYOE!F:F, RYOE!D:D), "N/A")</f>
        <v>0.28999999999999998</v>
      </c>
      <c r="N705" cm="1">
        <f t="array" ref="N705">IFERROR(_xlfn.XLOOKUP(C705&amp;A705, RYOE!A:A&amp;RYOE!F:F, RYOE!E:E), "N/A")</f>
        <v>38.200000000000003</v>
      </c>
    </row>
    <row r="706" spans="1:14" ht="15" customHeight="1" x14ac:dyDescent="0.45">
      <c r="A706" s="7">
        <v>2021</v>
      </c>
      <c r="B706" s="5" t="s">
        <v>281</v>
      </c>
      <c r="C706" s="1" t="str">
        <f t="shared" ref="C706:C769" si="22">TRIM(LEFT(B706, LEN(B706) - LEN(TRIM(RIGHT(SUBSTITUTE(TRIM(B706)," ",REPT(" ",100)),100)))))</f>
        <v>Derrick Henry</v>
      </c>
      <c r="D706" s="1" t="str">
        <f t="shared" ref="D706:D769" si="23">MID(B706, FIND("(", B706) + 1, FIND(")", B706) - FIND("(", B706) - 1)</f>
        <v>TEN</v>
      </c>
      <c r="E706" s="1">
        <v>219</v>
      </c>
      <c r="F706" s="1">
        <v>937</v>
      </c>
      <c r="G706" s="1">
        <v>4.3</v>
      </c>
      <c r="H706" s="1">
        <v>10</v>
      </c>
      <c r="I706">
        <v>0</v>
      </c>
      <c r="J706">
        <v>8</v>
      </c>
      <c r="K706" cm="1">
        <f t="array" ref="K706">IFERROR(_xlfn.XLOOKUP(D706&amp;A706, RBWR!A:A&amp;RBWR!C:C, RBWR!B:B), "N/A")</f>
        <v>69</v>
      </c>
      <c r="L706" cm="1">
        <f t="array" ref="L706">IFERROR(_xlfn.XLOOKUP(C706&amp;A706, RYOE!A:A&amp;RYOE!F:F, RYOE!C:C), "N/A")</f>
        <v>25</v>
      </c>
      <c r="M706" cm="1">
        <f t="array" ref="M706">IFERROR(_xlfn.XLOOKUP(C706&amp;A706, RYOE!A:A&amp;RYOE!F:F, RYOE!D:D), "N/A")</f>
        <v>0.11</v>
      </c>
      <c r="N706" cm="1">
        <f t="array" ref="N706">IFERROR(_xlfn.XLOOKUP(C706&amp;A706, RYOE!A:A&amp;RYOE!F:F, RYOE!E:E), "N/A")</f>
        <v>36.4</v>
      </c>
    </row>
    <row r="707" spans="1:14" ht="15" customHeight="1" x14ac:dyDescent="0.45">
      <c r="A707" s="8">
        <v>2021</v>
      </c>
      <c r="B707" s="6" t="s">
        <v>371</v>
      </c>
      <c r="C707" s="2" t="str">
        <f t="shared" si="22"/>
        <v>Dalvin Cook</v>
      </c>
      <c r="D707" s="2" t="str">
        <f t="shared" si="23"/>
        <v>MIN</v>
      </c>
      <c r="E707" s="2">
        <v>249</v>
      </c>
      <c r="F707" s="2">
        <v>1159</v>
      </c>
      <c r="G707" s="2">
        <v>4.7</v>
      </c>
      <c r="H707" s="2">
        <v>6</v>
      </c>
      <c r="I707">
        <v>2</v>
      </c>
      <c r="J707">
        <v>13</v>
      </c>
      <c r="K707" cm="1">
        <f t="array" ref="K707">IFERROR(_xlfn.XLOOKUP(D707&amp;A707, RBWR!A:A&amp;RBWR!C:C, RBWR!B:B), "N/A")</f>
        <v>71</v>
      </c>
      <c r="L707" cm="1">
        <f t="array" ref="L707">IFERROR(_xlfn.XLOOKUP(C707&amp;A707, RYOE!A:A&amp;RYOE!F:F, RYOE!C:C), "N/A")</f>
        <v>38</v>
      </c>
      <c r="M707" cm="1">
        <f t="array" ref="M707">IFERROR(_xlfn.XLOOKUP(C707&amp;A707, RYOE!A:A&amp;RYOE!F:F, RYOE!D:D), "N/A")</f>
        <v>0.16</v>
      </c>
      <c r="N707" cm="1">
        <f t="array" ref="N707">IFERROR(_xlfn.XLOOKUP(C707&amp;A707, RYOE!A:A&amp;RYOE!F:F, RYOE!E:E), "N/A")</f>
        <v>38</v>
      </c>
    </row>
    <row r="708" spans="1:14" ht="15" customHeight="1" x14ac:dyDescent="0.45">
      <c r="A708" s="7">
        <v>2021</v>
      </c>
      <c r="B708" s="5" t="s">
        <v>287</v>
      </c>
      <c r="C708" s="1" t="str">
        <f t="shared" si="22"/>
        <v>Josh Jacobs</v>
      </c>
      <c r="D708" s="1" t="str">
        <f t="shared" si="23"/>
        <v>LV</v>
      </c>
      <c r="E708" s="1">
        <v>217</v>
      </c>
      <c r="F708" s="1">
        <v>872</v>
      </c>
      <c r="G708" s="1">
        <v>4</v>
      </c>
      <c r="H708" s="1">
        <v>9</v>
      </c>
      <c r="I708">
        <v>2</v>
      </c>
      <c r="J708">
        <v>15</v>
      </c>
      <c r="K708" cm="1">
        <f t="array" ref="K708">IFERROR(_xlfn.XLOOKUP(D708&amp;A708, RBWR!A:A&amp;RBWR!C:C, RBWR!B:B), "N/A")</f>
        <v>67</v>
      </c>
      <c r="L708" cm="1">
        <f t="array" ref="L708">IFERROR(_xlfn.XLOOKUP(C708&amp;A708, RYOE!A:A&amp;RYOE!F:F, RYOE!C:C), "N/A")</f>
        <v>-13</v>
      </c>
      <c r="M708" cm="1">
        <f t="array" ref="M708">IFERROR(_xlfn.XLOOKUP(C708&amp;A708, RYOE!A:A&amp;RYOE!F:F, RYOE!D:D), "N/A")</f>
        <v>-0.06</v>
      </c>
      <c r="N708" cm="1">
        <f t="array" ref="N708">IFERROR(_xlfn.XLOOKUP(C708&amp;A708, RYOE!A:A&amp;RYOE!F:F, RYOE!E:E), "N/A")</f>
        <v>41.8</v>
      </c>
    </row>
    <row r="709" spans="1:14" ht="15" customHeight="1" x14ac:dyDescent="0.45">
      <c r="A709" s="8">
        <v>2021</v>
      </c>
      <c r="B709" s="6" t="s">
        <v>385</v>
      </c>
      <c r="C709" s="2" t="str">
        <f t="shared" si="22"/>
        <v>Melvin Gordon III</v>
      </c>
      <c r="D709" s="2" t="str">
        <f t="shared" si="23"/>
        <v>DEN</v>
      </c>
      <c r="E709" s="2">
        <v>203</v>
      </c>
      <c r="F709" s="2">
        <v>918</v>
      </c>
      <c r="G709" s="2">
        <v>4.5</v>
      </c>
      <c r="H709" s="2">
        <v>8</v>
      </c>
      <c r="I709">
        <v>3</v>
      </c>
      <c r="J709">
        <v>16</v>
      </c>
      <c r="K709" cm="1">
        <f t="array" ref="K709">IFERROR(_xlfn.XLOOKUP(D709&amp;A709, RBWR!A:A&amp;RBWR!C:C, RBWR!B:B), "N/A")</f>
        <v>70</v>
      </c>
      <c r="L709" cm="1">
        <f t="array" ref="L709">IFERROR(_xlfn.XLOOKUP(C709&amp;A709, RYOE!A:A&amp;RYOE!F:F, RYOE!C:C), "N/A")</f>
        <v>74</v>
      </c>
      <c r="M709" cm="1">
        <f t="array" ref="M709">IFERROR(_xlfn.XLOOKUP(C709&amp;A709, RYOE!A:A&amp;RYOE!F:F, RYOE!D:D), "N/A")</f>
        <v>0.37</v>
      </c>
      <c r="N709" cm="1">
        <f t="array" ref="N709">IFERROR(_xlfn.XLOOKUP(C709&amp;A709, RYOE!A:A&amp;RYOE!F:F, RYOE!E:E), "N/A")</f>
        <v>38.1</v>
      </c>
    </row>
    <row r="710" spans="1:14" ht="15" customHeight="1" x14ac:dyDescent="0.45">
      <c r="A710" s="7">
        <v>2021</v>
      </c>
      <c r="B710" s="5" t="s">
        <v>212</v>
      </c>
      <c r="C710" s="1" t="str">
        <f t="shared" si="22"/>
        <v>Javonte Williams</v>
      </c>
      <c r="D710" s="1" t="str">
        <f t="shared" si="23"/>
        <v>DEN</v>
      </c>
      <c r="E710" s="1">
        <v>203</v>
      </c>
      <c r="F710" s="1">
        <v>903</v>
      </c>
      <c r="G710" s="1">
        <v>4.4000000000000004</v>
      </c>
      <c r="H710" s="1">
        <v>4</v>
      </c>
      <c r="I710">
        <v>1</v>
      </c>
      <c r="J710">
        <v>17</v>
      </c>
      <c r="K710" cm="1">
        <f t="array" ref="K710">IFERROR(_xlfn.XLOOKUP(D710&amp;A710, RBWR!A:A&amp;RBWR!C:C, RBWR!B:B), "N/A")</f>
        <v>70</v>
      </c>
      <c r="L710" cm="1">
        <f t="array" ref="L710">IFERROR(_xlfn.XLOOKUP(C710&amp;A710, RYOE!A:A&amp;RYOE!F:F, RYOE!C:C), "N/A")</f>
        <v>11</v>
      </c>
      <c r="M710" cm="1">
        <f t="array" ref="M710">IFERROR(_xlfn.XLOOKUP(C710&amp;A710, RYOE!A:A&amp;RYOE!F:F, RYOE!D:D), "N/A")</f>
        <v>0.06</v>
      </c>
      <c r="N710" cm="1">
        <f t="array" ref="N710">IFERROR(_xlfn.XLOOKUP(C710&amp;A710, RYOE!A:A&amp;RYOE!F:F, RYOE!E:E), "N/A")</f>
        <v>36.299999999999997</v>
      </c>
    </row>
    <row r="711" spans="1:14" ht="15" customHeight="1" x14ac:dyDescent="0.45">
      <c r="A711" s="8">
        <v>2021</v>
      </c>
      <c r="B711" s="6" t="s">
        <v>376</v>
      </c>
      <c r="C711" s="2" t="str">
        <f t="shared" si="22"/>
        <v>Devin Singletary</v>
      </c>
      <c r="D711" s="2" t="str">
        <f t="shared" si="23"/>
        <v>BUF</v>
      </c>
      <c r="E711" s="2">
        <v>188</v>
      </c>
      <c r="F711" s="2">
        <v>870</v>
      </c>
      <c r="G711" s="2">
        <v>4.5999999999999996</v>
      </c>
      <c r="H711" s="2">
        <v>7</v>
      </c>
      <c r="I711">
        <v>0</v>
      </c>
      <c r="J711">
        <v>17</v>
      </c>
      <c r="K711" cm="1">
        <f t="array" ref="K711">IFERROR(_xlfn.XLOOKUP(D711&amp;A711, RBWR!A:A&amp;RBWR!C:C, RBWR!B:B), "N/A")</f>
        <v>69</v>
      </c>
      <c r="L711" cm="1">
        <f t="array" ref="L711">IFERROR(_xlfn.XLOOKUP(C711&amp;A711, RYOE!A:A&amp;RYOE!F:F, RYOE!C:C), "N/A")</f>
        <v>17</v>
      </c>
      <c r="M711" cm="1">
        <f t="array" ref="M711">IFERROR(_xlfn.XLOOKUP(C711&amp;A711, RYOE!A:A&amp;RYOE!F:F, RYOE!D:D), "N/A")</f>
        <v>0.09</v>
      </c>
      <c r="N711" cm="1">
        <f t="array" ref="N711">IFERROR(_xlfn.XLOOKUP(C711&amp;A711, RYOE!A:A&amp;RYOE!F:F, RYOE!E:E), "N/A")</f>
        <v>36.799999999999997</v>
      </c>
    </row>
    <row r="712" spans="1:14" ht="15" customHeight="1" x14ac:dyDescent="0.45">
      <c r="A712" s="7">
        <v>2021</v>
      </c>
      <c r="B712" s="5" t="s">
        <v>374</v>
      </c>
      <c r="C712" s="1" t="str">
        <f t="shared" si="22"/>
        <v>David Montgomery</v>
      </c>
      <c r="D712" s="1" t="str">
        <f t="shared" si="23"/>
        <v>CHI</v>
      </c>
      <c r="E712" s="1">
        <v>225</v>
      </c>
      <c r="F712" s="1">
        <v>849</v>
      </c>
      <c r="G712" s="1">
        <v>3.8</v>
      </c>
      <c r="H712" s="1">
        <v>7</v>
      </c>
      <c r="I712">
        <v>1</v>
      </c>
      <c r="J712">
        <v>14</v>
      </c>
      <c r="K712" cm="1">
        <f t="array" ref="K712">IFERROR(_xlfn.XLOOKUP(D712&amp;A712, RBWR!A:A&amp;RBWR!C:C, RBWR!B:B), "N/A")</f>
        <v>71</v>
      </c>
      <c r="L712" cm="1">
        <f t="array" ref="L712">IFERROR(_xlfn.XLOOKUP(C712&amp;A712, RYOE!A:A&amp;RYOE!F:F, RYOE!C:C), "N/A")</f>
        <v>-80</v>
      </c>
      <c r="M712" cm="1">
        <f t="array" ref="M712">IFERROR(_xlfn.XLOOKUP(C712&amp;A712, RYOE!A:A&amp;RYOE!F:F, RYOE!D:D), "N/A")</f>
        <v>-0.36</v>
      </c>
      <c r="N712" cm="1">
        <f t="array" ref="N712">IFERROR(_xlfn.XLOOKUP(C712&amp;A712, RYOE!A:A&amp;RYOE!F:F, RYOE!E:E), "N/A")</f>
        <v>34.5</v>
      </c>
    </row>
    <row r="713" spans="1:14" ht="15" customHeight="1" x14ac:dyDescent="0.45">
      <c r="A713" s="8">
        <v>2021</v>
      </c>
      <c r="B713" s="6" t="s">
        <v>295</v>
      </c>
      <c r="C713" s="2" t="str">
        <f t="shared" si="22"/>
        <v>AJ Dillon</v>
      </c>
      <c r="D713" s="2" t="str">
        <f t="shared" si="23"/>
        <v>GB</v>
      </c>
      <c r="E713" s="2">
        <v>187</v>
      </c>
      <c r="F713" s="2">
        <v>803</v>
      </c>
      <c r="G713" s="2">
        <v>4.3</v>
      </c>
      <c r="H713" s="2">
        <v>5</v>
      </c>
      <c r="I713">
        <v>1</v>
      </c>
      <c r="J713">
        <v>17</v>
      </c>
      <c r="K713" cm="1">
        <f t="array" ref="K713">IFERROR(_xlfn.XLOOKUP(D713&amp;A713, RBWR!A:A&amp;RBWR!C:C, RBWR!B:B), "N/A")</f>
        <v>73</v>
      </c>
      <c r="L713" cm="1">
        <f t="array" ref="L713">IFERROR(_xlfn.XLOOKUP(C713&amp;A713, RYOE!A:A&amp;RYOE!F:F, RYOE!C:C), "N/A")</f>
        <v>47</v>
      </c>
      <c r="M713" cm="1">
        <f t="array" ref="M713">IFERROR(_xlfn.XLOOKUP(C713&amp;A713, RYOE!A:A&amp;RYOE!F:F, RYOE!D:D), "N/A")</f>
        <v>0.25</v>
      </c>
      <c r="N713" cm="1">
        <f t="array" ref="N713">IFERROR(_xlfn.XLOOKUP(C713&amp;A713, RYOE!A:A&amp;RYOE!F:F, RYOE!E:E), "N/A")</f>
        <v>45.2</v>
      </c>
    </row>
    <row r="714" spans="1:14" ht="15" customHeight="1" x14ac:dyDescent="0.45">
      <c r="A714" s="7">
        <v>2021</v>
      </c>
      <c r="B714" s="5" t="s">
        <v>452</v>
      </c>
      <c r="C714" s="1" t="str">
        <f t="shared" si="22"/>
        <v>Darrel Williams</v>
      </c>
      <c r="D714" s="1" t="str">
        <f t="shared" si="23"/>
        <v>KC</v>
      </c>
      <c r="E714" s="1">
        <v>144</v>
      </c>
      <c r="F714" s="1">
        <v>558</v>
      </c>
      <c r="G714" s="1">
        <v>3.9</v>
      </c>
      <c r="H714" s="1">
        <v>6</v>
      </c>
      <c r="I714">
        <v>0</v>
      </c>
      <c r="J714">
        <v>17</v>
      </c>
      <c r="K714" cm="1">
        <f t="array" ref="K714">IFERROR(_xlfn.XLOOKUP(D714&amp;A714, RBWR!A:A&amp;RBWR!C:C, RBWR!B:B), "N/A")</f>
        <v>74</v>
      </c>
      <c r="L714" cm="1">
        <f t="array" ref="L714">IFERROR(_xlfn.XLOOKUP(C714&amp;A714, RYOE!A:A&amp;RYOE!F:F, RYOE!C:C), "N/A")</f>
        <v>-82</v>
      </c>
      <c r="M714" cm="1">
        <f t="array" ref="M714">IFERROR(_xlfn.XLOOKUP(C714&amp;A714, RYOE!A:A&amp;RYOE!F:F, RYOE!D:D), "N/A")</f>
        <v>-0.59</v>
      </c>
      <c r="N714" cm="1">
        <f t="array" ref="N714">IFERROR(_xlfn.XLOOKUP(C714&amp;A714, RYOE!A:A&amp;RYOE!F:F, RYOE!E:E), "N/A")</f>
        <v>36.700000000000003</v>
      </c>
    </row>
    <row r="715" spans="1:14" ht="15" customHeight="1" x14ac:dyDescent="0.45">
      <c r="A715" s="8">
        <v>2021</v>
      </c>
      <c r="B715" s="6" t="s">
        <v>375</v>
      </c>
      <c r="C715" s="2" t="str">
        <f t="shared" si="22"/>
        <v>D'Andre Swift</v>
      </c>
      <c r="D715" s="2" t="str">
        <f t="shared" si="23"/>
        <v>DET</v>
      </c>
      <c r="E715" s="2">
        <v>151</v>
      </c>
      <c r="F715" s="2">
        <v>617</v>
      </c>
      <c r="G715" s="2">
        <v>4.0999999999999996</v>
      </c>
      <c r="H715" s="2">
        <v>5</v>
      </c>
      <c r="I715">
        <v>1</v>
      </c>
      <c r="J715">
        <v>13</v>
      </c>
      <c r="K715" cm="1">
        <f t="array" ref="K715">IFERROR(_xlfn.XLOOKUP(D715&amp;A715, RBWR!A:A&amp;RBWR!C:C, RBWR!B:B), "N/A")</f>
        <v>70</v>
      </c>
      <c r="L715" cm="1">
        <f t="array" ref="L715">IFERROR(_xlfn.XLOOKUP(C715&amp;A715, RYOE!A:A&amp;RYOE!F:F, RYOE!C:C), "N/A")</f>
        <v>-59</v>
      </c>
      <c r="M715" cm="1">
        <f t="array" ref="M715">IFERROR(_xlfn.XLOOKUP(C715&amp;A715, RYOE!A:A&amp;RYOE!F:F, RYOE!D:D), "N/A")</f>
        <v>-0.39</v>
      </c>
      <c r="N715" cm="1">
        <f t="array" ref="N715">IFERROR(_xlfn.XLOOKUP(C715&amp;A715, RYOE!A:A&amp;RYOE!F:F, RYOE!E:E), "N/A")</f>
        <v>31.1</v>
      </c>
    </row>
    <row r="716" spans="1:14" ht="15" customHeight="1" x14ac:dyDescent="0.45">
      <c r="A716" s="7">
        <v>2021</v>
      </c>
      <c r="B716" s="5" t="s">
        <v>304</v>
      </c>
      <c r="C716" s="1" t="str">
        <f t="shared" si="22"/>
        <v>Elijah Mitchell</v>
      </c>
      <c r="D716" s="1" t="str">
        <f t="shared" si="23"/>
        <v>SF</v>
      </c>
      <c r="E716" s="1">
        <v>207</v>
      </c>
      <c r="F716" s="1">
        <v>963</v>
      </c>
      <c r="G716" s="1">
        <v>4.7</v>
      </c>
      <c r="H716" s="1">
        <v>5</v>
      </c>
      <c r="I716">
        <v>0</v>
      </c>
      <c r="J716">
        <v>12</v>
      </c>
      <c r="K716" cm="1">
        <f t="array" ref="K716">IFERROR(_xlfn.XLOOKUP(D716&amp;A716, RBWR!A:A&amp;RBWR!C:C, RBWR!B:B), "N/A")</f>
        <v>70</v>
      </c>
      <c r="L716" cm="1">
        <f t="array" ref="L716">IFERROR(_xlfn.XLOOKUP(C716&amp;A716, RYOE!A:A&amp;RYOE!F:F, RYOE!C:C), "N/A")</f>
        <v>57</v>
      </c>
      <c r="M716" cm="1">
        <f t="array" ref="M716">IFERROR(_xlfn.XLOOKUP(C716&amp;A716, RYOE!A:A&amp;RYOE!F:F, RYOE!D:D), "N/A")</f>
        <v>0.28000000000000003</v>
      </c>
      <c r="N716" cm="1">
        <f t="array" ref="N716">IFERROR(_xlfn.XLOOKUP(C716&amp;A716, RYOE!A:A&amp;RYOE!F:F, RYOE!E:E), "N/A")</f>
        <v>39</v>
      </c>
    </row>
    <row r="717" spans="1:14" ht="15" customHeight="1" x14ac:dyDescent="0.45">
      <c r="A717" s="8">
        <v>2021</v>
      </c>
      <c r="B717" s="6" t="s">
        <v>453</v>
      </c>
      <c r="C717" s="2" t="str">
        <f t="shared" si="22"/>
        <v>James Robinson</v>
      </c>
      <c r="D717" s="2" t="str">
        <f t="shared" si="23"/>
        <v>JAC</v>
      </c>
      <c r="E717" s="2">
        <v>164</v>
      </c>
      <c r="F717" s="2">
        <v>767</v>
      </c>
      <c r="G717" s="2">
        <v>4.7</v>
      </c>
      <c r="H717" s="2">
        <v>8</v>
      </c>
      <c r="I717">
        <v>2</v>
      </c>
      <c r="J717">
        <v>14</v>
      </c>
      <c r="K717" cm="1">
        <f t="array" ref="K717">IFERROR(_xlfn.XLOOKUP(D717&amp;A717, RBWR!A:A&amp;RBWR!C:C, RBWR!B:B), "N/A")</f>
        <v>70</v>
      </c>
      <c r="L717" cm="1">
        <f t="array" ref="L717">IFERROR(_xlfn.XLOOKUP(C717&amp;A717, RYOE!A:A&amp;RYOE!F:F, RYOE!C:C), "N/A")</f>
        <v>-16</v>
      </c>
      <c r="M717" cm="1">
        <f t="array" ref="M717">IFERROR(_xlfn.XLOOKUP(C717&amp;A717, RYOE!A:A&amp;RYOE!F:F, RYOE!D:D), "N/A")</f>
        <v>-0.1</v>
      </c>
      <c r="N717" cm="1">
        <f t="array" ref="N717">IFERROR(_xlfn.XLOOKUP(C717&amp;A717, RYOE!A:A&amp;RYOE!F:F, RYOE!E:E), "N/A")</f>
        <v>35.200000000000003</v>
      </c>
    </row>
    <row r="718" spans="1:14" ht="15" customHeight="1" x14ac:dyDescent="0.45">
      <c r="A718" s="7">
        <v>2021</v>
      </c>
      <c r="B718" s="5" t="s">
        <v>305</v>
      </c>
      <c r="C718" s="1" t="str">
        <f t="shared" si="22"/>
        <v>Darrell Henderson Jr.</v>
      </c>
      <c r="D718" s="1" t="str">
        <f t="shared" si="23"/>
        <v>LAR</v>
      </c>
      <c r="E718" s="1">
        <v>149</v>
      </c>
      <c r="F718" s="1">
        <v>688</v>
      </c>
      <c r="G718" s="1">
        <v>4.5999999999999996</v>
      </c>
      <c r="H718" s="1">
        <v>5</v>
      </c>
      <c r="I718">
        <v>0</v>
      </c>
      <c r="J718">
        <v>12</v>
      </c>
      <c r="K718" cm="1">
        <f t="array" ref="K718">IFERROR(_xlfn.XLOOKUP(D718&amp;A718, RBWR!A:A&amp;RBWR!C:C, RBWR!B:B), "N/A")</f>
        <v>71</v>
      </c>
      <c r="L718" cm="1">
        <f t="array" ref="L718">IFERROR(_xlfn.XLOOKUP(C718&amp;A718, RYOE!A:A&amp;RYOE!F:F, RYOE!C:C), "N/A")</f>
        <v>-47</v>
      </c>
      <c r="M718" cm="1">
        <f t="array" ref="M718">IFERROR(_xlfn.XLOOKUP(C718&amp;A718, RYOE!A:A&amp;RYOE!F:F, RYOE!D:D), "N/A")</f>
        <v>-0.32</v>
      </c>
      <c r="N718" cm="1">
        <f t="array" ref="N718">IFERROR(_xlfn.XLOOKUP(C718&amp;A718, RYOE!A:A&amp;RYOE!F:F, RYOE!E:E), "N/A")</f>
        <v>33.799999999999997</v>
      </c>
    </row>
    <row r="719" spans="1:14" ht="15" customHeight="1" x14ac:dyDescent="0.45">
      <c r="A719" s="8">
        <v>2021</v>
      </c>
      <c r="B719" s="6" t="s">
        <v>454</v>
      </c>
      <c r="C719" s="2" t="str">
        <f t="shared" si="22"/>
        <v>Sony Michel</v>
      </c>
      <c r="D719" s="2" t="str">
        <f t="shared" si="23"/>
        <v>LAR</v>
      </c>
      <c r="E719" s="2">
        <v>208</v>
      </c>
      <c r="F719" s="2">
        <v>845</v>
      </c>
      <c r="G719" s="2">
        <v>4.0999999999999996</v>
      </c>
      <c r="H719" s="2">
        <v>4</v>
      </c>
      <c r="I719">
        <v>1</v>
      </c>
      <c r="J719">
        <v>17</v>
      </c>
      <c r="K719" cm="1">
        <f t="array" ref="K719">IFERROR(_xlfn.XLOOKUP(D719&amp;A719, RBWR!A:A&amp;RBWR!C:C, RBWR!B:B), "N/A")</f>
        <v>71</v>
      </c>
      <c r="L719" cm="1">
        <f t="array" ref="L719">IFERROR(_xlfn.XLOOKUP(C719&amp;A719, RYOE!A:A&amp;RYOE!F:F, RYOE!C:C), "N/A")</f>
        <v>-54</v>
      </c>
      <c r="M719" cm="1">
        <f t="array" ref="M719">IFERROR(_xlfn.XLOOKUP(C719&amp;A719, RYOE!A:A&amp;RYOE!F:F, RYOE!D:D), "N/A")</f>
        <v>-0.26</v>
      </c>
      <c r="N719" cm="1">
        <f t="array" ref="N719">IFERROR(_xlfn.XLOOKUP(C719&amp;A719, RYOE!A:A&amp;RYOE!F:F, RYOE!E:E), "N/A")</f>
        <v>33.299999999999997</v>
      </c>
    </row>
    <row r="720" spans="1:14" ht="15" customHeight="1" x14ac:dyDescent="0.45">
      <c r="A720" s="7">
        <v>2021</v>
      </c>
      <c r="B720" s="5" t="s">
        <v>416</v>
      </c>
      <c r="C720" s="1" t="str">
        <f t="shared" si="22"/>
        <v>Myles Gaskin</v>
      </c>
      <c r="D720" s="1" t="str">
        <f t="shared" si="23"/>
        <v>MIA</v>
      </c>
      <c r="E720" s="1">
        <v>173</v>
      </c>
      <c r="F720" s="1">
        <v>612</v>
      </c>
      <c r="G720" s="1">
        <v>3.5</v>
      </c>
      <c r="H720" s="1">
        <v>3</v>
      </c>
      <c r="I720">
        <v>1</v>
      </c>
      <c r="J720">
        <v>17</v>
      </c>
      <c r="K720" cm="1">
        <f t="array" ref="K720">IFERROR(_xlfn.XLOOKUP(D720&amp;A720, RBWR!A:A&amp;RBWR!C:C, RBWR!B:B), "N/A")</f>
        <v>71</v>
      </c>
      <c r="L720" cm="1">
        <f t="array" ref="L720">IFERROR(_xlfn.XLOOKUP(C720&amp;A720, RYOE!A:A&amp;RYOE!F:F, RYOE!C:C), "N/A")</f>
        <v>-115</v>
      </c>
      <c r="M720" cm="1">
        <f t="array" ref="M720">IFERROR(_xlfn.XLOOKUP(C720&amp;A720, RYOE!A:A&amp;RYOE!F:F, RYOE!D:D), "N/A")</f>
        <v>-0.67</v>
      </c>
      <c r="N720" cm="1">
        <f t="array" ref="N720">IFERROR(_xlfn.XLOOKUP(C720&amp;A720, RYOE!A:A&amp;RYOE!F:F, RYOE!E:E), "N/A")</f>
        <v>31</v>
      </c>
    </row>
    <row r="721" spans="1:14" ht="15" customHeight="1" x14ac:dyDescent="0.45">
      <c r="A721" s="8">
        <v>2021</v>
      </c>
      <c r="B721" s="6" t="s">
        <v>285</v>
      </c>
      <c r="C721" s="2" t="str">
        <f t="shared" si="22"/>
        <v>Tony Pollard</v>
      </c>
      <c r="D721" s="2" t="str">
        <f t="shared" si="23"/>
        <v>DAL</v>
      </c>
      <c r="E721" s="2">
        <v>130</v>
      </c>
      <c r="F721" s="2">
        <v>719</v>
      </c>
      <c r="G721" s="2">
        <v>5.5</v>
      </c>
      <c r="H721" s="2">
        <v>2</v>
      </c>
      <c r="I721">
        <v>0</v>
      </c>
      <c r="J721">
        <v>15</v>
      </c>
      <c r="K721" cm="1">
        <f t="array" ref="K721">IFERROR(_xlfn.XLOOKUP(D721&amp;A721, RBWR!A:A&amp;RBWR!C:C, RBWR!B:B), "N/A")</f>
        <v>73</v>
      </c>
      <c r="L721" cm="1">
        <f t="array" ref="L721">IFERROR(_xlfn.XLOOKUP(C721&amp;A721, RYOE!A:A&amp;RYOE!F:F, RYOE!C:C), "N/A")</f>
        <v>103</v>
      </c>
      <c r="M721" cm="1">
        <f t="array" ref="M721">IFERROR(_xlfn.XLOOKUP(C721&amp;A721, RYOE!A:A&amp;RYOE!F:F, RYOE!D:D), "N/A")</f>
        <v>0.81</v>
      </c>
      <c r="N721" cm="1">
        <f t="array" ref="N721">IFERROR(_xlfn.XLOOKUP(C721&amp;A721, RYOE!A:A&amp;RYOE!F:F, RYOE!E:E), "N/A")</f>
        <v>41.3</v>
      </c>
    </row>
    <row r="722" spans="1:14" ht="15" customHeight="1" x14ac:dyDescent="0.45">
      <c r="A722" s="7">
        <v>2021</v>
      </c>
      <c r="B722" s="5" t="s">
        <v>381</v>
      </c>
      <c r="C722" s="1" t="str">
        <f t="shared" si="22"/>
        <v>Michael Carter</v>
      </c>
      <c r="D722" s="1" t="str">
        <f t="shared" si="23"/>
        <v>NYJ</v>
      </c>
      <c r="E722" s="1">
        <v>147</v>
      </c>
      <c r="F722" s="1">
        <v>639</v>
      </c>
      <c r="G722" s="1">
        <v>4.3</v>
      </c>
      <c r="H722" s="1">
        <v>4</v>
      </c>
      <c r="I722">
        <v>1</v>
      </c>
      <c r="J722">
        <v>14</v>
      </c>
      <c r="K722" cm="1">
        <f t="array" ref="K722">IFERROR(_xlfn.XLOOKUP(D722&amp;A722, RBWR!A:A&amp;RBWR!C:C, RBWR!B:B), "N/A")</f>
        <v>68</v>
      </c>
      <c r="L722" cm="1">
        <f t="array" ref="L722">IFERROR(_xlfn.XLOOKUP(C722&amp;A722, RYOE!A:A&amp;RYOE!F:F, RYOE!C:C), "N/A")</f>
        <v>70</v>
      </c>
      <c r="M722" cm="1">
        <f t="array" ref="M722">IFERROR(_xlfn.XLOOKUP(C722&amp;A722, RYOE!A:A&amp;RYOE!F:F, RYOE!D:D), "N/A")</f>
        <v>0.48</v>
      </c>
      <c r="N722" cm="1">
        <f t="array" ref="N722">IFERROR(_xlfn.XLOOKUP(C722&amp;A722, RYOE!A:A&amp;RYOE!F:F, RYOE!E:E), "N/A")</f>
        <v>44.9</v>
      </c>
    </row>
    <row r="723" spans="1:14" ht="15" customHeight="1" x14ac:dyDescent="0.45">
      <c r="A723" s="8">
        <v>2021</v>
      </c>
      <c r="B723" s="6" t="s">
        <v>390</v>
      </c>
      <c r="C723" s="2" t="str">
        <f t="shared" si="22"/>
        <v>Rashaad Penny</v>
      </c>
      <c r="D723" s="2" t="str">
        <f t="shared" si="23"/>
        <v>SEA</v>
      </c>
      <c r="E723" s="2">
        <v>119</v>
      </c>
      <c r="F723" s="2">
        <v>749</v>
      </c>
      <c r="G723" s="2">
        <v>6.3</v>
      </c>
      <c r="H723" s="2">
        <v>6</v>
      </c>
      <c r="I723">
        <v>0</v>
      </c>
      <c r="J723">
        <v>10</v>
      </c>
      <c r="K723" cm="1">
        <f t="array" ref="K723">IFERROR(_xlfn.XLOOKUP(D723&amp;A723, RBWR!A:A&amp;RBWR!C:C, RBWR!B:B), "N/A")</f>
        <v>68</v>
      </c>
      <c r="L723" cm="1">
        <f t="array" ref="L723">IFERROR(_xlfn.XLOOKUP(C723&amp;A723, RYOE!A:A&amp;RYOE!F:F, RYOE!C:C), "N/A")</f>
        <v>217</v>
      </c>
      <c r="M723" cm="1">
        <f t="array" ref="M723">IFERROR(_xlfn.XLOOKUP(C723&amp;A723, RYOE!A:A&amp;RYOE!F:F, RYOE!D:D), "N/A")</f>
        <v>1.86</v>
      </c>
      <c r="N723" cm="1">
        <f t="array" ref="N723">IFERROR(_xlfn.XLOOKUP(C723&amp;A723, RYOE!A:A&amp;RYOE!F:F, RYOE!E:E), "N/A")</f>
        <v>39.299999999999997</v>
      </c>
    </row>
    <row r="724" spans="1:14" ht="15" customHeight="1" x14ac:dyDescent="0.45">
      <c r="A724" s="7">
        <v>2021</v>
      </c>
      <c r="B724" s="5" t="s">
        <v>455</v>
      </c>
      <c r="C724" s="1" t="str">
        <f t="shared" si="22"/>
        <v>Devonta Freeman</v>
      </c>
      <c r="D724" s="1" t="str">
        <f t="shared" si="23"/>
        <v>BAL</v>
      </c>
      <c r="E724" s="1">
        <v>133</v>
      </c>
      <c r="F724" s="1">
        <v>576</v>
      </c>
      <c r="G724" s="1">
        <v>4.3</v>
      </c>
      <c r="H724" s="1">
        <v>5</v>
      </c>
      <c r="I724">
        <v>0</v>
      </c>
      <c r="J724">
        <v>16</v>
      </c>
      <c r="K724" cm="1">
        <f t="array" ref="K724">IFERROR(_xlfn.XLOOKUP(D724&amp;A724, RBWR!A:A&amp;RBWR!C:C, RBWR!B:B), "N/A")</f>
        <v>73</v>
      </c>
      <c r="L724" cm="1">
        <f t="array" ref="L724">IFERROR(_xlfn.XLOOKUP(C724&amp;A724, RYOE!A:A&amp;RYOE!F:F, RYOE!C:C), "N/A")</f>
        <v>-65</v>
      </c>
      <c r="M724" cm="1">
        <f t="array" ref="M724">IFERROR(_xlfn.XLOOKUP(C724&amp;A724, RYOE!A:A&amp;RYOE!F:F, RYOE!D:D), "N/A")</f>
        <v>-0.49</v>
      </c>
      <c r="N724" cm="1">
        <f t="array" ref="N724">IFERROR(_xlfn.XLOOKUP(C724&amp;A724, RYOE!A:A&amp;RYOE!F:F, RYOE!E:E), "N/A")</f>
        <v>36.6</v>
      </c>
    </row>
    <row r="725" spans="1:14" ht="15" customHeight="1" x14ac:dyDescent="0.45">
      <c r="A725" s="8">
        <v>2021</v>
      </c>
      <c r="B725" s="6" t="s">
        <v>74</v>
      </c>
      <c r="C725" s="2" t="str">
        <f t="shared" si="22"/>
        <v>Chuba Hubbard</v>
      </c>
      <c r="D725" s="2" t="str">
        <f t="shared" si="23"/>
        <v>CAR</v>
      </c>
      <c r="E725" s="2">
        <v>172</v>
      </c>
      <c r="F725" s="2">
        <v>612</v>
      </c>
      <c r="G725" s="2">
        <v>3.6</v>
      </c>
      <c r="H725" s="2">
        <v>5</v>
      </c>
      <c r="I725">
        <v>1</v>
      </c>
      <c r="J725">
        <v>16</v>
      </c>
      <c r="K725" cm="1">
        <f t="array" ref="K725">IFERROR(_xlfn.XLOOKUP(D725&amp;A725, RBWR!A:A&amp;RBWR!C:C, RBWR!B:B), "N/A")</f>
        <v>68</v>
      </c>
      <c r="L725" cm="1">
        <f t="array" ref="L725">IFERROR(_xlfn.XLOOKUP(C725&amp;A725, RYOE!A:A&amp;RYOE!F:F, RYOE!C:C), "N/A")</f>
        <v>-101</v>
      </c>
      <c r="M725" cm="1">
        <f t="array" ref="M725">IFERROR(_xlfn.XLOOKUP(C725&amp;A725, RYOE!A:A&amp;RYOE!F:F, RYOE!D:D), "N/A")</f>
        <v>-0.6</v>
      </c>
      <c r="N725" cm="1">
        <f t="array" ref="N725">IFERROR(_xlfn.XLOOKUP(C725&amp;A725, RYOE!A:A&amp;RYOE!F:F, RYOE!E:E), "N/A")</f>
        <v>35.1</v>
      </c>
    </row>
    <row r="726" spans="1:14" ht="15" customHeight="1" x14ac:dyDescent="0.45">
      <c r="A726" s="7">
        <v>2021</v>
      </c>
      <c r="B726" s="5" t="s">
        <v>283</v>
      </c>
      <c r="C726" s="1" t="str">
        <f t="shared" si="22"/>
        <v>Saquon Barkley</v>
      </c>
      <c r="D726" s="1" t="str">
        <f t="shared" si="23"/>
        <v>NYG</v>
      </c>
      <c r="E726" s="1">
        <v>162</v>
      </c>
      <c r="F726" s="1">
        <v>593</v>
      </c>
      <c r="G726" s="1">
        <v>3.7</v>
      </c>
      <c r="H726" s="1">
        <v>2</v>
      </c>
      <c r="I726">
        <v>1</v>
      </c>
      <c r="J726">
        <v>14</v>
      </c>
      <c r="K726" cm="1">
        <f t="array" ref="K726">IFERROR(_xlfn.XLOOKUP(D726&amp;A726, RBWR!A:A&amp;RBWR!C:C, RBWR!B:B), "N/A")</f>
        <v>71</v>
      </c>
      <c r="L726" cm="1">
        <f t="array" ref="L726">IFERROR(_xlfn.XLOOKUP(C726&amp;A726, RYOE!A:A&amp;RYOE!F:F, RYOE!C:C), "N/A")</f>
        <v>-45</v>
      </c>
      <c r="M726" cm="1">
        <f t="array" ref="M726">IFERROR(_xlfn.XLOOKUP(C726&amp;A726, RYOE!A:A&amp;RYOE!F:F, RYOE!D:D), "N/A")</f>
        <v>-0.28000000000000003</v>
      </c>
      <c r="N726" cm="1">
        <f t="array" ref="N726">IFERROR(_xlfn.XLOOKUP(C726&amp;A726, RYOE!A:A&amp;RYOE!F:F, RYOE!E:E), "N/A")</f>
        <v>32.299999999999997</v>
      </c>
    </row>
    <row r="727" spans="1:14" ht="15" customHeight="1" x14ac:dyDescent="0.45">
      <c r="A727" s="8">
        <v>2021</v>
      </c>
      <c r="B727" s="6" t="s">
        <v>456</v>
      </c>
      <c r="C727" s="2" t="str">
        <f t="shared" si="22"/>
        <v>Devontae Booker</v>
      </c>
      <c r="D727" s="2" t="str">
        <f t="shared" si="23"/>
        <v>NYG</v>
      </c>
      <c r="E727" s="2">
        <v>145</v>
      </c>
      <c r="F727" s="2">
        <v>593</v>
      </c>
      <c r="G727" s="2">
        <v>4.0999999999999996</v>
      </c>
      <c r="H727" s="2">
        <v>2</v>
      </c>
      <c r="I727">
        <v>0</v>
      </c>
      <c r="J727">
        <v>16</v>
      </c>
      <c r="K727" cm="1">
        <f t="array" ref="K727">IFERROR(_xlfn.XLOOKUP(D727&amp;A727, RBWR!A:A&amp;RBWR!C:C, RBWR!B:B), "N/A")</f>
        <v>71</v>
      </c>
      <c r="L727" cm="1">
        <f t="array" ref="L727">IFERROR(_xlfn.XLOOKUP(C727&amp;A727, RYOE!A:A&amp;RYOE!F:F, RYOE!C:C), "N/A")</f>
        <v>-35</v>
      </c>
      <c r="M727" cm="1">
        <f t="array" ref="M727">IFERROR(_xlfn.XLOOKUP(C727&amp;A727, RYOE!A:A&amp;RYOE!F:F, RYOE!D:D), "N/A")</f>
        <v>-0.24</v>
      </c>
      <c r="N727" cm="1">
        <f t="array" ref="N727">IFERROR(_xlfn.XLOOKUP(C727&amp;A727, RYOE!A:A&amp;RYOE!F:F, RYOE!E:E), "N/A")</f>
        <v>39.200000000000003</v>
      </c>
    </row>
    <row r="728" spans="1:14" ht="15" customHeight="1" x14ac:dyDescent="0.45">
      <c r="A728" s="7">
        <v>2021</v>
      </c>
      <c r="B728" s="5" t="s">
        <v>66</v>
      </c>
      <c r="C728" s="1" t="str">
        <f t="shared" si="22"/>
        <v>Rhamondre Stevenson</v>
      </c>
      <c r="D728" s="1" t="str">
        <f t="shared" si="23"/>
        <v>NE</v>
      </c>
      <c r="E728" s="1">
        <v>133</v>
      </c>
      <c r="F728" s="1">
        <v>606</v>
      </c>
      <c r="G728" s="1">
        <v>4.5999999999999996</v>
      </c>
      <c r="H728" s="1">
        <v>5</v>
      </c>
      <c r="I728">
        <v>1</v>
      </c>
      <c r="J728">
        <v>12</v>
      </c>
      <c r="K728" cm="1">
        <f t="array" ref="K728">IFERROR(_xlfn.XLOOKUP(D728&amp;A728, RBWR!A:A&amp;RBWR!C:C, RBWR!B:B), "N/A")</f>
        <v>70</v>
      </c>
      <c r="L728" cm="1">
        <f t="array" ref="L728">IFERROR(_xlfn.XLOOKUP(C728&amp;A728, RYOE!A:A&amp;RYOE!F:F, RYOE!C:C), "N/A")</f>
        <v>68</v>
      </c>
      <c r="M728" cm="1">
        <f t="array" ref="M728">IFERROR(_xlfn.XLOOKUP(C728&amp;A728, RYOE!A:A&amp;RYOE!F:F, RYOE!D:D), "N/A")</f>
        <v>0.51</v>
      </c>
      <c r="N728" cm="1">
        <f t="array" ref="N728">IFERROR(_xlfn.XLOOKUP(C728&amp;A728, RYOE!A:A&amp;RYOE!F:F, RYOE!E:E), "N/A")</f>
        <v>43.9</v>
      </c>
    </row>
    <row r="729" spans="1:14" ht="15" customHeight="1" x14ac:dyDescent="0.45">
      <c r="A729" s="8">
        <v>2021</v>
      </c>
      <c r="B729" s="6" t="s">
        <v>457</v>
      </c>
      <c r="C729" s="2" t="str">
        <f t="shared" si="22"/>
        <v>Chase Edmonds</v>
      </c>
      <c r="D729" s="2" t="str">
        <f t="shared" si="23"/>
        <v>ARI</v>
      </c>
      <c r="E729" s="2">
        <v>116</v>
      </c>
      <c r="F729" s="2">
        <v>592</v>
      </c>
      <c r="G729" s="2">
        <v>5.0999999999999996</v>
      </c>
      <c r="H729" s="2">
        <v>2</v>
      </c>
      <c r="I729">
        <v>1</v>
      </c>
      <c r="J729">
        <v>12</v>
      </c>
      <c r="K729" cm="1">
        <f t="array" ref="K729">IFERROR(_xlfn.XLOOKUP(D729&amp;A729, RBWR!A:A&amp;RBWR!C:C, RBWR!B:B), "N/A")</f>
        <v>70</v>
      </c>
      <c r="L729" cm="1">
        <f t="array" ref="L729">IFERROR(_xlfn.XLOOKUP(C729&amp;A729, RYOE!A:A&amp;RYOE!F:F, RYOE!C:C), "N/A")</f>
        <v>8</v>
      </c>
      <c r="M729" cm="1">
        <f t="array" ref="M729">IFERROR(_xlfn.XLOOKUP(C729&amp;A729, RYOE!A:A&amp;RYOE!F:F, RYOE!D:D), "N/A")</f>
        <v>7.0000000000000007E-2</v>
      </c>
      <c r="N729" cm="1">
        <f t="array" ref="N729">IFERROR(_xlfn.XLOOKUP(C729&amp;A729, RYOE!A:A&amp;RYOE!F:F, RYOE!E:E), "N/A")</f>
        <v>33.9</v>
      </c>
    </row>
    <row r="730" spans="1:14" ht="15" customHeight="1" x14ac:dyDescent="0.45">
      <c r="A730" s="7">
        <v>2021</v>
      </c>
      <c r="B730" s="5" t="s">
        <v>159</v>
      </c>
      <c r="C730" s="1" t="str">
        <f t="shared" si="22"/>
        <v>Clyde Edwards-Helaire</v>
      </c>
      <c r="D730" s="1" t="str">
        <f t="shared" si="23"/>
        <v>KC</v>
      </c>
      <c r="E730" s="1">
        <v>119</v>
      </c>
      <c r="F730" s="1">
        <v>517</v>
      </c>
      <c r="G730" s="1">
        <v>4.3</v>
      </c>
      <c r="H730" s="1">
        <v>4</v>
      </c>
      <c r="I730">
        <v>2</v>
      </c>
      <c r="J730">
        <v>10</v>
      </c>
      <c r="K730" cm="1">
        <f t="array" ref="K730">IFERROR(_xlfn.XLOOKUP(D730&amp;A730, RBWR!A:A&amp;RBWR!C:C, RBWR!B:B), "N/A")</f>
        <v>74</v>
      </c>
      <c r="L730" cm="1">
        <f t="array" ref="L730">IFERROR(_xlfn.XLOOKUP(C730&amp;A730, RYOE!A:A&amp;RYOE!F:F, RYOE!C:C), "N/A")</f>
        <v>-40</v>
      </c>
      <c r="M730" cm="1">
        <f t="array" ref="M730">IFERROR(_xlfn.XLOOKUP(C730&amp;A730, RYOE!A:A&amp;RYOE!F:F, RYOE!D:D), "N/A")</f>
        <v>-0.34</v>
      </c>
      <c r="N730" cm="1">
        <f t="array" ref="N730">IFERROR(_xlfn.XLOOKUP(C730&amp;A730, RYOE!A:A&amp;RYOE!F:F, RYOE!E:E), "N/A")</f>
        <v>39.799999999999997</v>
      </c>
    </row>
    <row r="731" spans="1:14" ht="15" customHeight="1" x14ac:dyDescent="0.45">
      <c r="A731" s="8">
        <v>2021</v>
      </c>
      <c r="B731" s="6" t="s">
        <v>458</v>
      </c>
      <c r="C731" s="2" t="str">
        <f t="shared" si="22"/>
        <v>Mike Davis</v>
      </c>
      <c r="D731" s="2" t="str">
        <f t="shared" si="23"/>
        <v>ATL</v>
      </c>
      <c r="E731" s="2">
        <v>138</v>
      </c>
      <c r="F731" s="2">
        <v>503</v>
      </c>
      <c r="G731" s="2">
        <v>3.6</v>
      </c>
      <c r="H731" s="2">
        <v>3</v>
      </c>
      <c r="I731">
        <v>3</v>
      </c>
      <c r="J731">
        <v>17</v>
      </c>
      <c r="K731" cm="1">
        <f t="array" ref="K731">IFERROR(_xlfn.XLOOKUP(D731&amp;A731, RBWR!A:A&amp;RBWR!C:C, RBWR!B:B), "N/A")</f>
        <v>67</v>
      </c>
      <c r="L731" cm="1">
        <f t="array" ref="L731">IFERROR(_xlfn.XLOOKUP(C731&amp;A731, RYOE!A:A&amp;RYOE!F:F, RYOE!C:C), "N/A")</f>
        <v>-85</v>
      </c>
      <c r="M731" cm="1">
        <f t="array" ref="M731">IFERROR(_xlfn.XLOOKUP(C731&amp;A731, RYOE!A:A&amp;RYOE!F:F, RYOE!D:D), "N/A")</f>
        <v>-0.62</v>
      </c>
      <c r="N731" cm="1">
        <f t="array" ref="N731">IFERROR(_xlfn.XLOOKUP(C731&amp;A731, RYOE!A:A&amp;RYOE!F:F, RYOE!E:E), "N/A")</f>
        <v>28.5</v>
      </c>
    </row>
    <row r="732" spans="1:14" ht="15" customHeight="1" x14ac:dyDescent="0.45">
      <c r="A732" s="7">
        <v>2021</v>
      </c>
      <c r="B732" s="5" t="s">
        <v>294</v>
      </c>
      <c r="C732" s="1" t="str">
        <f t="shared" si="22"/>
        <v>Alexander Mattison</v>
      </c>
      <c r="D732" s="1" t="str">
        <f t="shared" si="23"/>
        <v>MIN</v>
      </c>
      <c r="E732" s="1">
        <v>134</v>
      </c>
      <c r="F732" s="1">
        <v>491</v>
      </c>
      <c r="G732" s="1">
        <v>3.7</v>
      </c>
      <c r="H732" s="1">
        <v>3</v>
      </c>
      <c r="I732">
        <v>1</v>
      </c>
      <c r="J732">
        <v>16</v>
      </c>
      <c r="K732" cm="1">
        <f t="array" ref="K732">IFERROR(_xlfn.XLOOKUP(D732&amp;A732, RBWR!A:A&amp;RBWR!C:C, RBWR!B:B), "N/A")</f>
        <v>71</v>
      </c>
      <c r="L732" cm="1">
        <f t="array" ref="L732">IFERROR(_xlfn.XLOOKUP(C732&amp;A732, RYOE!A:A&amp;RYOE!F:F, RYOE!C:C), "N/A")</f>
        <v>-74</v>
      </c>
      <c r="M732" cm="1">
        <f t="array" ref="M732">IFERROR(_xlfn.XLOOKUP(C732&amp;A732, RYOE!A:A&amp;RYOE!F:F, RYOE!D:D), "N/A")</f>
        <v>-0.55000000000000004</v>
      </c>
      <c r="N732" cm="1">
        <f t="array" ref="N732">IFERROR(_xlfn.XLOOKUP(C732&amp;A732, RYOE!A:A&amp;RYOE!F:F, RYOE!E:E), "N/A")</f>
        <v>32.299999999999997</v>
      </c>
    </row>
    <row r="733" spans="1:14" ht="15" customHeight="1" x14ac:dyDescent="0.45">
      <c r="A733" s="8">
        <v>2021</v>
      </c>
      <c r="B733" s="6" t="s">
        <v>370</v>
      </c>
      <c r="C733" s="2" t="str">
        <f t="shared" si="22"/>
        <v>Jamaal Williams</v>
      </c>
      <c r="D733" s="2" t="str">
        <f t="shared" si="23"/>
        <v>DET</v>
      </c>
      <c r="E733" s="2">
        <v>153</v>
      </c>
      <c r="F733" s="2">
        <v>601</v>
      </c>
      <c r="G733" s="2">
        <v>3.9</v>
      </c>
      <c r="H733" s="2">
        <v>3</v>
      </c>
      <c r="I733">
        <v>0</v>
      </c>
      <c r="J733">
        <v>13</v>
      </c>
      <c r="K733" cm="1">
        <f t="array" ref="K733">IFERROR(_xlfn.XLOOKUP(D733&amp;A733, RBWR!A:A&amp;RBWR!C:C, RBWR!B:B), "N/A")</f>
        <v>70</v>
      </c>
      <c r="L733" cm="1">
        <f t="array" ref="L733">IFERROR(_xlfn.XLOOKUP(C733&amp;A733, RYOE!A:A&amp;RYOE!F:F, RYOE!C:C), "N/A")</f>
        <v>-50</v>
      </c>
      <c r="M733" cm="1">
        <f t="array" ref="M733">IFERROR(_xlfn.XLOOKUP(C733&amp;A733, RYOE!A:A&amp;RYOE!F:F, RYOE!D:D), "N/A")</f>
        <v>-0.33</v>
      </c>
      <c r="N733" cm="1">
        <f t="array" ref="N733">IFERROR(_xlfn.XLOOKUP(C733&amp;A733, RYOE!A:A&amp;RYOE!F:F, RYOE!E:E), "N/A")</f>
        <v>36.799999999999997</v>
      </c>
    </row>
    <row r="734" spans="1:14" ht="15" customHeight="1" x14ac:dyDescent="0.45">
      <c r="A734" s="7">
        <v>2021</v>
      </c>
      <c r="B734" s="5" t="s">
        <v>459</v>
      </c>
      <c r="C734" s="1" t="str">
        <f t="shared" si="22"/>
        <v>Latavius Murray</v>
      </c>
      <c r="D734" s="1" t="str">
        <f t="shared" si="23"/>
        <v>BAL</v>
      </c>
      <c r="E734" s="1">
        <v>119</v>
      </c>
      <c r="F734" s="1">
        <v>501</v>
      </c>
      <c r="G734" s="1">
        <v>4.2</v>
      </c>
      <c r="H734" s="1">
        <v>6</v>
      </c>
      <c r="I734">
        <v>0</v>
      </c>
      <c r="J734">
        <v>14</v>
      </c>
      <c r="K734" cm="1">
        <f t="array" ref="K734">IFERROR(_xlfn.XLOOKUP(D734&amp;A734, RBWR!A:A&amp;RBWR!C:C, RBWR!B:B), "N/A")</f>
        <v>73</v>
      </c>
      <c r="L734" cm="1">
        <f t="array" ref="L734">IFERROR(_xlfn.XLOOKUP(C734&amp;A734, RYOE!A:A&amp;RYOE!F:F, RYOE!C:C), "N/A")</f>
        <v>8</v>
      </c>
      <c r="M734" cm="1">
        <f t="array" ref="M734">IFERROR(_xlfn.XLOOKUP(C734&amp;A734, RYOE!A:A&amp;RYOE!F:F, RYOE!D:D), "N/A")</f>
        <v>7.0000000000000007E-2</v>
      </c>
      <c r="N734" cm="1">
        <f t="array" ref="N734">IFERROR(_xlfn.XLOOKUP(C734&amp;A734, RYOE!A:A&amp;RYOE!F:F, RYOE!E:E), "N/A")</f>
        <v>33.6</v>
      </c>
    </row>
    <row r="735" spans="1:14" ht="15" customHeight="1" x14ac:dyDescent="0.45">
      <c r="A735" s="8">
        <v>2021</v>
      </c>
      <c r="B735" s="6" t="s">
        <v>372</v>
      </c>
      <c r="C735" s="2" t="str">
        <f t="shared" si="22"/>
        <v>Miles Sanders</v>
      </c>
      <c r="D735" s="2" t="str">
        <f t="shared" si="23"/>
        <v>PHI</v>
      </c>
      <c r="E735" s="2">
        <v>137</v>
      </c>
      <c r="F735" s="2">
        <v>754</v>
      </c>
      <c r="G735" s="2">
        <v>5.5</v>
      </c>
      <c r="H735" s="2">
        <v>0</v>
      </c>
      <c r="I735">
        <v>1</v>
      </c>
      <c r="J735">
        <v>12</v>
      </c>
      <c r="K735" cm="1">
        <f t="array" ref="K735">IFERROR(_xlfn.XLOOKUP(D735&amp;A735, RBWR!A:A&amp;RBWR!C:C, RBWR!B:B), "N/A")</f>
        <v>74</v>
      </c>
      <c r="L735" cm="1">
        <f t="array" ref="L735">IFERROR(_xlfn.XLOOKUP(C735&amp;A735, RYOE!A:A&amp;RYOE!F:F, RYOE!C:C), "N/A")</f>
        <v>37</v>
      </c>
      <c r="M735" cm="1">
        <f t="array" ref="M735">IFERROR(_xlfn.XLOOKUP(C735&amp;A735, RYOE!A:A&amp;RYOE!F:F, RYOE!D:D), "N/A")</f>
        <v>0.27</v>
      </c>
      <c r="N735" cm="1">
        <f t="array" ref="N735">IFERROR(_xlfn.XLOOKUP(C735&amp;A735, RYOE!A:A&amp;RYOE!F:F, RYOE!E:E), "N/A")</f>
        <v>38.200000000000003</v>
      </c>
    </row>
    <row r="736" spans="1:14" ht="15" customHeight="1" x14ac:dyDescent="0.45">
      <c r="A736" s="7">
        <v>2021</v>
      </c>
      <c r="B736" s="5" t="s">
        <v>460</v>
      </c>
      <c r="C736" s="1" t="str">
        <f t="shared" si="22"/>
        <v>Christian McCaffrey</v>
      </c>
      <c r="D736" s="1" t="str">
        <f t="shared" si="23"/>
        <v>CAR</v>
      </c>
      <c r="E736" s="1">
        <v>99</v>
      </c>
      <c r="F736" s="1">
        <v>442</v>
      </c>
      <c r="G736" s="1">
        <v>4.5</v>
      </c>
      <c r="H736" s="1">
        <v>1</v>
      </c>
      <c r="I736">
        <v>0</v>
      </c>
      <c r="J736">
        <v>7</v>
      </c>
      <c r="K736" cm="1">
        <f t="array" ref="K736">IFERROR(_xlfn.XLOOKUP(D736&amp;A736, RBWR!A:A&amp;RBWR!C:C, RBWR!B:B), "N/A")</f>
        <v>68</v>
      </c>
      <c r="L736" cm="1">
        <f t="array" ref="L736">IFERROR(_xlfn.XLOOKUP(C736&amp;A736, RYOE!A:A&amp;RYOE!F:F, RYOE!C:C), "N/A")</f>
        <v>-6</v>
      </c>
      <c r="M736" cm="1">
        <f t="array" ref="M736">IFERROR(_xlfn.XLOOKUP(C736&amp;A736, RYOE!A:A&amp;RYOE!F:F, RYOE!D:D), "N/A")</f>
        <v>-0.06</v>
      </c>
      <c r="N736" cm="1">
        <f t="array" ref="N736">IFERROR(_xlfn.XLOOKUP(C736&amp;A736, RYOE!A:A&amp;RYOE!F:F, RYOE!E:E), "N/A")</f>
        <v>41.1</v>
      </c>
    </row>
    <row r="737" spans="1:14" ht="15" customHeight="1" x14ac:dyDescent="0.45">
      <c r="A737" s="8">
        <v>2021</v>
      </c>
      <c r="B737" s="6" t="s">
        <v>223</v>
      </c>
      <c r="C737" s="2" t="str">
        <f t="shared" si="22"/>
        <v>Kenny Gainwell</v>
      </c>
      <c r="D737" s="2" t="str">
        <f t="shared" si="23"/>
        <v>PHI</v>
      </c>
      <c r="E737" s="2">
        <v>68</v>
      </c>
      <c r="F737" s="2">
        <v>291</v>
      </c>
      <c r="G737" s="2">
        <v>4.3</v>
      </c>
      <c r="H737" s="2">
        <v>5</v>
      </c>
      <c r="I737">
        <v>1</v>
      </c>
      <c r="J737">
        <v>16</v>
      </c>
      <c r="K737" cm="1">
        <f t="array" ref="K737">IFERROR(_xlfn.XLOOKUP(D737&amp;A737, RBWR!A:A&amp;RBWR!C:C, RBWR!B:B), "N/A")</f>
        <v>74</v>
      </c>
      <c r="L737" t="str" cm="1">
        <f t="array" ref="L737">IFERROR(_xlfn.XLOOKUP(C737&amp;A737, RYOE!A:A&amp;RYOE!F:F, RYOE!C:C), "N/A")</f>
        <v>N/A</v>
      </c>
      <c r="M737" t="str" cm="1">
        <f t="array" ref="M737">IFERROR(_xlfn.XLOOKUP(C737&amp;A737, RYOE!A:A&amp;RYOE!F:F, RYOE!D:D), "N/A")</f>
        <v>N/A</v>
      </c>
      <c r="N737" t="str" cm="1">
        <f t="array" ref="N737">IFERROR(_xlfn.XLOOKUP(C737&amp;A737, RYOE!A:A&amp;RYOE!F:F, RYOE!E:E), "N/A")</f>
        <v>N/A</v>
      </c>
    </row>
    <row r="738" spans="1:14" ht="15" customHeight="1" x14ac:dyDescent="0.45">
      <c r="A738" s="7">
        <v>2021</v>
      </c>
      <c r="B738" s="5" t="s">
        <v>293</v>
      </c>
      <c r="C738" s="1" t="str">
        <f t="shared" si="22"/>
        <v>Kareem Hunt</v>
      </c>
      <c r="D738" s="1" t="str">
        <f t="shared" si="23"/>
        <v>CLE</v>
      </c>
      <c r="E738" s="1">
        <v>78</v>
      </c>
      <c r="F738" s="1">
        <v>386</v>
      </c>
      <c r="G738" s="1">
        <v>4.9000000000000004</v>
      </c>
      <c r="H738" s="1">
        <v>5</v>
      </c>
      <c r="I738">
        <v>0</v>
      </c>
      <c r="J738">
        <v>8</v>
      </c>
      <c r="K738" cm="1">
        <f t="array" ref="K738">IFERROR(_xlfn.XLOOKUP(D738&amp;A738, RBWR!A:A&amp;RBWR!C:C, RBWR!B:B), "N/A")</f>
        <v>72</v>
      </c>
      <c r="L738" t="str" cm="1">
        <f t="array" ref="L738">IFERROR(_xlfn.XLOOKUP(C738&amp;A738, RYOE!A:A&amp;RYOE!F:F, RYOE!C:C), "N/A")</f>
        <v>N/A</v>
      </c>
      <c r="M738" t="str" cm="1">
        <f t="array" ref="M738">IFERROR(_xlfn.XLOOKUP(C738&amp;A738, RYOE!A:A&amp;RYOE!F:F, RYOE!D:D), "N/A")</f>
        <v>N/A</v>
      </c>
      <c r="N738" t="str" cm="1">
        <f t="array" ref="N738">IFERROR(_xlfn.XLOOKUP(C738&amp;A738, RYOE!A:A&amp;RYOE!F:F, RYOE!E:E), "N/A")</f>
        <v>N/A</v>
      </c>
    </row>
    <row r="739" spans="1:14" ht="15" customHeight="1" x14ac:dyDescent="0.45">
      <c r="A739" s="8">
        <v>2021</v>
      </c>
      <c r="B739" s="6" t="s">
        <v>317</v>
      </c>
      <c r="C739" s="2" t="str">
        <f t="shared" si="22"/>
        <v>Boston Scott</v>
      </c>
      <c r="D739" s="2" t="str">
        <f t="shared" si="23"/>
        <v>PHI</v>
      </c>
      <c r="E739" s="2">
        <v>87</v>
      </c>
      <c r="F739" s="2">
        <v>373</v>
      </c>
      <c r="G739" s="2">
        <v>4.3</v>
      </c>
      <c r="H739" s="2">
        <v>7</v>
      </c>
      <c r="I739">
        <v>1</v>
      </c>
      <c r="J739">
        <v>11</v>
      </c>
      <c r="K739" cm="1">
        <f t="array" ref="K739">IFERROR(_xlfn.XLOOKUP(D739&amp;A739, RBWR!A:A&amp;RBWR!C:C, RBWR!B:B), "N/A")</f>
        <v>74</v>
      </c>
      <c r="L739" t="str" cm="1">
        <f t="array" ref="L739">IFERROR(_xlfn.XLOOKUP(C739&amp;A739, RYOE!A:A&amp;RYOE!F:F, RYOE!C:C), "N/A")</f>
        <v>N/A</v>
      </c>
      <c r="M739" t="str" cm="1">
        <f t="array" ref="M739">IFERROR(_xlfn.XLOOKUP(C739&amp;A739, RYOE!A:A&amp;RYOE!F:F, RYOE!D:D), "N/A")</f>
        <v>N/A</v>
      </c>
      <c r="N739" t="str" cm="1">
        <f t="array" ref="N739">IFERROR(_xlfn.XLOOKUP(C739&amp;A739, RYOE!A:A&amp;RYOE!F:F, RYOE!E:E), "N/A")</f>
        <v>N/A</v>
      </c>
    </row>
    <row r="740" spans="1:14" ht="15" customHeight="1" x14ac:dyDescent="0.45">
      <c r="A740" s="7">
        <v>2021</v>
      </c>
      <c r="B740" s="5" t="s">
        <v>424</v>
      </c>
      <c r="C740" s="1" t="str">
        <f t="shared" si="22"/>
        <v>D'Ernest Johnson</v>
      </c>
      <c r="D740" s="1" t="str">
        <f t="shared" si="23"/>
        <v>CLE</v>
      </c>
      <c r="E740" s="1">
        <v>100</v>
      </c>
      <c r="F740" s="1">
        <v>534</v>
      </c>
      <c r="G740" s="1">
        <v>5.3</v>
      </c>
      <c r="H740" s="1">
        <v>3</v>
      </c>
      <c r="I740">
        <v>0</v>
      </c>
      <c r="J740">
        <v>13</v>
      </c>
      <c r="K740" cm="1">
        <f t="array" ref="K740">IFERROR(_xlfn.XLOOKUP(D740&amp;A740, RBWR!A:A&amp;RBWR!C:C, RBWR!B:B), "N/A")</f>
        <v>72</v>
      </c>
      <c r="L740" cm="1">
        <f t="array" ref="L740">IFERROR(_xlfn.XLOOKUP(C740&amp;A740, RYOE!A:A&amp;RYOE!F:F, RYOE!C:C), "N/A")</f>
        <v>140</v>
      </c>
      <c r="M740" cm="1">
        <f t="array" ref="M740">IFERROR(_xlfn.XLOOKUP(C740&amp;A740, RYOE!A:A&amp;RYOE!F:F, RYOE!D:D), "N/A")</f>
        <v>1.42</v>
      </c>
      <c r="N740" cm="1">
        <f t="array" ref="N740">IFERROR(_xlfn.XLOOKUP(C740&amp;A740, RYOE!A:A&amp;RYOE!F:F, RYOE!E:E), "N/A")</f>
        <v>58.6</v>
      </c>
    </row>
    <row r="741" spans="1:14" ht="15" customHeight="1" x14ac:dyDescent="0.45">
      <c r="A741" s="8">
        <v>2021</v>
      </c>
      <c r="B741" s="6" t="s">
        <v>398</v>
      </c>
      <c r="C741" s="2" t="str">
        <f t="shared" si="22"/>
        <v>J.D. McKissic</v>
      </c>
      <c r="D741" s="2" t="str">
        <f t="shared" si="23"/>
        <v>WAS</v>
      </c>
      <c r="E741" s="2">
        <v>48</v>
      </c>
      <c r="F741" s="2">
        <v>212</v>
      </c>
      <c r="G741" s="2">
        <v>4.4000000000000004</v>
      </c>
      <c r="H741" s="2">
        <v>2</v>
      </c>
      <c r="I741">
        <v>0</v>
      </c>
      <c r="J741">
        <v>11</v>
      </c>
      <c r="K741" cm="1">
        <f t="array" ref="K741">IFERROR(_xlfn.XLOOKUP(D741&amp;A741, RBWR!A:A&amp;RBWR!C:C, RBWR!B:B), "N/A")</f>
        <v>75</v>
      </c>
      <c r="L741" t="str" cm="1">
        <f t="array" ref="L741">IFERROR(_xlfn.XLOOKUP(C741&amp;A741, RYOE!A:A&amp;RYOE!F:F, RYOE!C:C), "N/A")</f>
        <v>N/A</v>
      </c>
      <c r="M741" t="str" cm="1">
        <f t="array" ref="M741">IFERROR(_xlfn.XLOOKUP(C741&amp;A741, RYOE!A:A&amp;RYOE!F:F, RYOE!D:D), "N/A")</f>
        <v>N/A</v>
      </c>
      <c r="N741" t="str" cm="1">
        <f t="array" ref="N741">IFERROR(_xlfn.XLOOKUP(C741&amp;A741, RYOE!A:A&amp;RYOE!F:F, RYOE!E:E), "N/A")</f>
        <v>N/A</v>
      </c>
    </row>
    <row r="742" spans="1:14" ht="15" customHeight="1" x14ac:dyDescent="0.45">
      <c r="A742" s="7">
        <v>2021</v>
      </c>
      <c r="B742" s="5" t="s">
        <v>461</v>
      </c>
      <c r="C742" s="1" t="str">
        <f t="shared" si="22"/>
        <v>D'Onta Foreman</v>
      </c>
      <c r="D742" s="1" t="str">
        <f t="shared" si="23"/>
        <v>TEN</v>
      </c>
      <c r="E742" s="1">
        <v>133</v>
      </c>
      <c r="F742" s="1">
        <v>566</v>
      </c>
      <c r="G742" s="1">
        <v>4.3</v>
      </c>
      <c r="H742" s="1">
        <v>3</v>
      </c>
      <c r="I742">
        <v>1</v>
      </c>
      <c r="J742">
        <v>9</v>
      </c>
      <c r="K742" cm="1">
        <f t="array" ref="K742">IFERROR(_xlfn.XLOOKUP(D742&amp;A742, RBWR!A:A&amp;RBWR!C:C, RBWR!B:B), "N/A")</f>
        <v>69</v>
      </c>
      <c r="L742" cm="1">
        <f t="array" ref="L742">IFERROR(_xlfn.XLOOKUP(C742&amp;A742, RYOE!A:A&amp;RYOE!F:F, RYOE!C:C), "N/A")</f>
        <v>11</v>
      </c>
      <c r="M742" cm="1">
        <f t="array" ref="M742">IFERROR(_xlfn.XLOOKUP(C742&amp;A742, RYOE!A:A&amp;RYOE!F:F, RYOE!D:D), "N/A")</f>
        <v>0.08</v>
      </c>
      <c r="N742" cm="1">
        <f t="array" ref="N742">IFERROR(_xlfn.XLOOKUP(C742&amp;A742, RYOE!A:A&amp;RYOE!F:F, RYOE!E:E), "N/A")</f>
        <v>33.1</v>
      </c>
    </row>
    <row r="743" spans="1:14" ht="15" customHeight="1" x14ac:dyDescent="0.45">
      <c r="A743" s="8">
        <v>2021</v>
      </c>
      <c r="B743" s="6" t="s">
        <v>462</v>
      </c>
      <c r="C743" s="2" t="str">
        <f t="shared" si="22"/>
        <v>Brandon Bolden</v>
      </c>
      <c r="D743" s="2" t="str">
        <f t="shared" si="23"/>
        <v>NE</v>
      </c>
      <c r="E743" s="2">
        <v>44</v>
      </c>
      <c r="F743" s="2">
        <v>226</v>
      </c>
      <c r="G743" s="2">
        <v>5.0999999999999996</v>
      </c>
      <c r="H743" s="2">
        <v>1</v>
      </c>
      <c r="I743">
        <v>0</v>
      </c>
      <c r="J743">
        <v>16</v>
      </c>
      <c r="K743" cm="1">
        <f t="array" ref="K743">IFERROR(_xlfn.XLOOKUP(D743&amp;A743, RBWR!A:A&amp;RBWR!C:C, RBWR!B:B), "N/A")</f>
        <v>70</v>
      </c>
      <c r="L743" t="str" cm="1">
        <f t="array" ref="L743">IFERROR(_xlfn.XLOOKUP(C743&amp;A743, RYOE!A:A&amp;RYOE!F:F, RYOE!C:C), "N/A")</f>
        <v>N/A</v>
      </c>
      <c r="M743" t="str" cm="1">
        <f t="array" ref="M743">IFERROR(_xlfn.XLOOKUP(C743&amp;A743, RYOE!A:A&amp;RYOE!F:F, RYOE!D:D), "N/A")</f>
        <v>N/A</v>
      </c>
      <c r="N743" t="str" cm="1">
        <f t="array" ref="N743">IFERROR(_xlfn.XLOOKUP(C743&amp;A743, RYOE!A:A&amp;RYOE!F:F, RYOE!E:E), "N/A")</f>
        <v>N/A</v>
      </c>
    </row>
    <row r="744" spans="1:14" ht="15" customHeight="1" x14ac:dyDescent="0.45">
      <c r="A744" s="7">
        <v>2021</v>
      </c>
      <c r="B744" s="5" t="s">
        <v>396</v>
      </c>
      <c r="C744" s="1" t="str">
        <f t="shared" si="22"/>
        <v>Ty Johnson</v>
      </c>
      <c r="D744" s="1" t="str">
        <f t="shared" si="23"/>
        <v>NYJ</v>
      </c>
      <c r="E744" s="1">
        <v>61</v>
      </c>
      <c r="F744" s="1">
        <v>238</v>
      </c>
      <c r="G744" s="1">
        <v>3.9</v>
      </c>
      <c r="H744" s="1">
        <v>2</v>
      </c>
      <c r="I744">
        <v>1</v>
      </c>
      <c r="J744">
        <v>15</v>
      </c>
      <c r="K744" cm="1">
        <f t="array" ref="K744">IFERROR(_xlfn.XLOOKUP(D744&amp;A744, RBWR!A:A&amp;RBWR!C:C, RBWR!B:B), "N/A")</f>
        <v>68</v>
      </c>
      <c r="L744" t="str" cm="1">
        <f t="array" ref="L744">IFERROR(_xlfn.XLOOKUP(C744&amp;A744, RYOE!A:A&amp;RYOE!F:F, RYOE!C:C), "N/A")</f>
        <v>N/A</v>
      </c>
      <c r="M744" t="str" cm="1">
        <f t="array" ref="M744">IFERROR(_xlfn.XLOOKUP(C744&amp;A744, RYOE!A:A&amp;RYOE!F:F, RYOE!D:D), "N/A")</f>
        <v>N/A</v>
      </c>
      <c r="N744" t="str" cm="1">
        <f t="array" ref="N744">IFERROR(_xlfn.XLOOKUP(C744&amp;A744, RYOE!A:A&amp;RYOE!F:F, RYOE!E:E), "N/A")</f>
        <v>N/A</v>
      </c>
    </row>
    <row r="745" spans="1:14" ht="15" customHeight="1" x14ac:dyDescent="0.45">
      <c r="A745" s="8">
        <v>2021</v>
      </c>
      <c r="B745" s="6" t="s">
        <v>463</v>
      </c>
      <c r="C745" s="2" t="str">
        <f t="shared" si="22"/>
        <v>Zack Moss</v>
      </c>
      <c r="D745" s="2" t="str">
        <f t="shared" si="23"/>
        <v>BUF</v>
      </c>
      <c r="E745" s="2">
        <v>96</v>
      </c>
      <c r="F745" s="2">
        <v>345</v>
      </c>
      <c r="G745" s="2">
        <v>3.6</v>
      </c>
      <c r="H745" s="2">
        <v>4</v>
      </c>
      <c r="I745">
        <v>1</v>
      </c>
      <c r="J745">
        <v>13</v>
      </c>
      <c r="K745" cm="1">
        <f t="array" ref="K745">IFERROR(_xlfn.XLOOKUP(D745&amp;A745, RBWR!A:A&amp;RBWR!C:C, RBWR!B:B), "N/A")</f>
        <v>69</v>
      </c>
      <c r="L745" cm="1">
        <f t="array" ref="L745">IFERROR(_xlfn.XLOOKUP(C745&amp;A745, RYOE!A:A&amp;RYOE!F:F, RYOE!C:C), "N/A")</f>
        <v>-75</v>
      </c>
      <c r="M745" cm="1">
        <f t="array" ref="M745">IFERROR(_xlfn.XLOOKUP(C745&amp;A745, RYOE!A:A&amp;RYOE!F:F, RYOE!D:D), "N/A")</f>
        <v>-0.78</v>
      </c>
      <c r="N745" cm="1">
        <f t="array" ref="N745">IFERROR(_xlfn.XLOOKUP(C745&amp;A745, RYOE!A:A&amp;RYOE!F:F, RYOE!E:E), "N/A")</f>
        <v>35.4</v>
      </c>
    </row>
    <row r="746" spans="1:14" ht="15" customHeight="1" x14ac:dyDescent="0.45">
      <c r="A746" s="7">
        <v>2021</v>
      </c>
      <c r="B746" s="5" t="s">
        <v>395</v>
      </c>
      <c r="C746" s="1" t="str">
        <f t="shared" si="22"/>
        <v>Mark Ingram II</v>
      </c>
      <c r="D746" s="1" t="str">
        <f t="shared" si="23"/>
        <v>NO</v>
      </c>
      <c r="E746" s="1">
        <v>160</v>
      </c>
      <c r="F746" s="1">
        <v>554</v>
      </c>
      <c r="G746" s="1">
        <v>3.5</v>
      </c>
      <c r="H746" s="1">
        <v>2</v>
      </c>
      <c r="I746">
        <v>1</v>
      </c>
      <c r="J746">
        <v>14</v>
      </c>
      <c r="K746" cm="1">
        <f t="array" ref="K746">IFERROR(_xlfn.XLOOKUP(D746&amp;A746, RBWR!A:A&amp;RBWR!C:C, RBWR!B:B), "N/A")</f>
        <v>69</v>
      </c>
      <c r="L746" cm="1">
        <f t="array" ref="L746">IFERROR(_xlfn.XLOOKUP(C746&amp;A746, RYOE!A:A&amp;RYOE!F:F, RYOE!C:C), "N/A")</f>
        <v>-55</v>
      </c>
      <c r="M746" cm="1">
        <f t="array" ref="M746">IFERROR(_xlfn.XLOOKUP(C746&amp;A746, RYOE!A:A&amp;RYOE!F:F, RYOE!D:D), "N/A")</f>
        <v>-0.35</v>
      </c>
      <c r="N746" cm="1">
        <f t="array" ref="N746">IFERROR(_xlfn.XLOOKUP(C746&amp;A746, RYOE!A:A&amp;RYOE!F:F, RYOE!E:E), "N/A")</f>
        <v>32.5</v>
      </c>
    </row>
    <row r="747" spans="1:14" ht="15" customHeight="1" x14ac:dyDescent="0.45">
      <c r="A747" s="8">
        <v>2021</v>
      </c>
      <c r="B747" s="6" t="s">
        <v>394</v>
      </c>
      <c r="C747" s="2" t="str">
        <f t="shared" si="22"/>
        <v>Rex Burkhead</v>
      </c>
      <c r="D747" s="2" t="str">
        <f t="shared" si="23"/>
        <v>HOU</v>
      </c>
      <c r="E747" s="2">
        <v>122</v>
      </c>
      <c r="F747" s="2">
        <v>427</v>
      </c>
      <c r="G747" s="2">
        <v>3.5</v>
      </c>
      <c r="H747" s="2">
        <v>3</v>
      </c>
      <c r="I747">
        <v>0</v>
      </c>
      <c r="J747">
        <v>15</v>
      </c>
      <c r="K747" cm="1">
        <f t="array" ref="K747">IFERROR(_xlfn.XLOOKUP(D747&amp;A747, RBWR!A:A&amp;RBWR!C:C, RBWR!B:B), "N/A")</f>
        <v>65</v>
      </c>
      <c r="L747" cm="1">
        <f t="array" ref="L747">IFERROR(_xlfn.XLOOKUP(C747&amp;A747, RYOE!A:A&amp;RYOE!F:F, RYOE!C:C), "N/A")</f>
        <v>-26</v>
      </c>
      <c r="M747" cm="1">
        <f t="array" ref="M747">IFERROR(_xlfn.XLOOKUP(C747&amp;A747, RYOE!A:A&amp;RYOE!F:F, RYOE!D:D), "N/A")</f>
        <v>-0.22</v>
      </c>
      <c r="N747" cm="1">
        <f t="array" ref="N747">IFERROR(_xlfn.XLOOKUP(C747&amp;A747, RYOE!A:A&amp;RYOE!F:F, RYOE!E:E), "N/A")</f>
        <v>33.299999999999997</v>
      </c>
    </row>
    <row r="748" spans="1:14" ht="15" customHeight="1" x14ac:dyDescent="0.45">
      <c r="A748" s="7">
        <v>2021</v>
      </c>
      <c r="B748" s="5" t="s">
        <v>464</v>
      </c>
      <c r="C748" s="1" t="str">
        <f t="shared" si="22"/>
        <v>Nyheim Miller-Hines</v>
      </c>
      <c r="D748" s="1" t="str">
        <f t="shared" si="23"/>
        <v>IND</v>
      </c>
      <c r="E748" s="1">
        <v>56</v>
      </c>
      <c r="F748" s="1">
        <v>276</v>
      </c>
      <c r="G748" s="1">
        <v>4.9000000000000004</v>
      </c>
      <c r="H748" s="1">
        <v>2</v>
      </c>
      <c r="I748">
        <v>2</v>
      </c>
      <c r="J748">
        <v>17</v>
      </c>
      <c r="K748" cm="1">
        <f t="array" ref="K748">IFERROR(_xlfn.XLOOKUP(D748&amp;A748, RBWR!A:A&amp;RBWR!C:C, RBWR!B:B), "N/A")</f>
        <v>72</v>
      </c>
      <c r="L748" t="str" cm="1">
        <f t="array" ref="L748">IFERROR(_xlfn.XLOOKUP(C748&amp;A748, RYOE!A:A&amp;RYOE!F:F, RYOE!C:C), "N/A")</f>
        <v>N/A</v>
      </c>
      <c r="M748" t="str" cm="1">
        <f t="array" ref="M748">IFERROR(_xlfn.XLOOKUP(C748&amp;A748, RYOE!A:A&amp;RYOE!F:F, RYOE!D:D), "N/A")</f>
        <v>N/A</v>
      </c>
      <c r="N748" t="str" cm="1">
        <f t="array" ref="N748">IFERROR(_xlfn.XLOOKUP(C748&amp;A748, RYOE!A:A&amp;RYOE!F:F, RYOE!E:E), "N/A")</f>
        <v>N/A</v>
      </c>
    </row>
    <row r="749" spans="1:14" ht="15" customHeight="1" x14ac:dyDescent="0.45">
      <c r="A749" s="8">
        <v>2021</v>
      </c>
      <c r="B749" s="6" t="s">
        <v>465</v>
      </c>
      <c r="C749" s="2" t="str">
        <f t="shared" si="22"/>
        <v>Kenyan Drake</v>
      </c>
      <c r="D749" s="2" t="str">
        <f t="shared" si="23"/>
        <v>LV</v>
      </c>
      <c r="E749" s="2">
        <v>63</v>
      </c>
      <c r="F749" s="2">
        <v>254</v>
      </c>
      <c r="G749" s="2">
        <v>4</v>
      </c>
      <c r="H749" s="2">
        <v>2</v>
      </c>
      <c r="I749">
        <v>0</v>
      </c>
      <c r="J749">
        <v>12</v>
      </c>
      <c r="K749" cm="1">
        <f t="array" ref="K749">IFERROR(_xlfn.XLOOKUP(D749&amp;A749, RBWR!A:A&amp;RBWR!C:C, RBWR!B:B), "N/A")</f>
        <v>67</v>
      </c>
      <c r="L749" t="str" cm="1">
        <f t="array" ref="L749">IFERROR(_xlfn.XLOOKUP(C749&amp;A749, RYOE!A:A&amp;RYOE!F:F, RYOE!C:C), "N/A")</f>
        <v>N/A</v>
      </c>
      <c r="M749" t="str" cm="1">
        <f t="array" ref="M749">IFERROR(_xlfn.XLOOKUP(C749&amp;A749, RYOE!A:A&amp;RYOE!F:F, RYOE!D:D), "N/A")</f>
        <v>N/A</v>
      </c>
      <c r="N749" t="str" cm="1">
        <f t="array" ref="N749">IFERROR(_xlfn.XLOOKUP(C749&amp;A749, RYOE!A:A&amp;RYOE!F:F, RYOE!E:E), "N/A")</f>
        <v>N/A</v>
      </c>
    </row>
    <row r="750" spans="1:14" ht="15" customHeight="1" x14ac:dyDescent="0.45">
      <c r="A750" s="7">
        <v>2021</v>
      </c>
      <c r="B750" s="5" t="s">
        <v>466</v>
      </c>
      <c r="C750" s="1" t="str">
        <f t="shared" si="22"/>
        <v>Ronald Jones II</v>
      </c>
      <c r="D750" s="1" t="str">
        <f t="shared" si="23"/>
        <v>TB</v>
      </c>
      <c r="E750" s="1">
        <v>101</v>
      </c>
      <c r="F750" s="1">
        <v>428</v>
      </c>
      <c r="G750" s="1">
        <v>4.2</v>
      </c>
      <c r="H750" s="1">
        <v>4</v>
      </c>
      <c r="I750">
        <v>2</v>
      </c>
      <c r="J750">
        <v>15</v>
      </c>
      <c r="K750" cm="1">
        <f t="array" ref="K750">IFERROR(_xlfn.XLOOKUP(D750&amp;A750, RBWR!A:A&amp;RBWR!C:C, RBWR!B:B), "N/A")</f>
        <v>70</v>
      </c>
      <c r="L750" cm="1">
        <f t="array" ref="L750">IFERROR(_xlfn.XLOOKUP(C750&amp;A750, RYOE!A:A&amp;RYOE!F:F, RYOE!C:C), "N/A")</f>
        <v>-18</v>
      </c>
      <c r="M750" cm="1">
        <f t="array" ref="M750">IFERROR(_xlfn.XLOOKUP(C750&amp;A750, RYOE!A:A&amp;RYOE!F:F, RYOE!D:D), "N/A")</f>
        <v>-0.18</v>
      </c>
      <c r="N750" cm="1">
        <f t="array" ref="N750">IFERROR(_xlfn.XLOOKUP(C750&amp;A750, RYOE!A:A&amp;RYOE!F:F, RYOE!E:E), "N/A")</f>
        <v>40</v>
      </c>
    </row>
    <row r="751" spans="1:14" ht="15" customHeight="1" x14ac:dyDescent="0.45">
      <c r="A751" s="8">
        <v>2021</v>
      </c>
      <c r="B751" s="6" t="s">
        <v>296</v>
      </c>
      <c r="C751" s="2" t="str">
        <f t="shared" si="22"/>
        <v>Khalil Herbert</v>
      </c>
      <c r="D751" s="2" t="str">
        <f t="shared" si="23"/>
        <v>CHI</v>
      </c>
      <c r="E751" s="2">
        <v>103</v>
      </c>
      <c r="F751" s="2">
        <v>433</v>
      </c>
      <c r="G751" s="2">
        <v>4.2</v>
      </c>
      <c r="H751" s="2">
        <v>2</v>
      </c>
      <c r="I751">
        <v>0</v>
      </c>
      <c r="J751">
        <v>16</v>
      </c>
      <c r="K751" cm="1">
        <f t="array" ref="K751">IFERROR(_xlfn.XLOOKUP(D751&amp;A751, RBWR!A:A&amp;RBWR!C:C, RBWR!B:B), "N/A")</f>
        <v>71</v>
      </c>
      <c r="L751" cm="1">
        <f t="array" ref="L751">IFERROR(_xlfn.XLOOKUP(C751&amp;A751, RYOE!A:A&amp;RYOE!F:F, RYOE!C:C), "N/A")</f>
        <v>-14</v>
      </c>
      <c r="M751" cm="1">
        <f t="array" ref="M751">IFERROR(_xlfn.XLOOKUP(C751&amp;A751, RYOE!A:A&amp;RYOE!F:F, RYOE!D:D), "N/A")</f>
        <v>-0.14000000000000001</v>
      </c>
      <c r="N751" cm="1">
        <f t="array" ref="N751">IFERROR(_xlfn.XLOOKUP(C751&amp;A751, RYOE!A:A&amp;RYOE!F:F, RYOE!E:E), "N/A")</f>
        <v>38.200000000000003</v>
      </c>
    </row>
    <row r="752" spans="1:14" ht="15" customHeight="1" x14ac:dyDescent="0.45">
      <c r="A752" s="7">
        <v>2021</v>
      </c>
      <c r="B752" s="5" t="s">
        <v>467</v>
      </c>
      <c r="C752" s="1" t="str">
        <f t="shared" si="22"/>
        <v>Justin Jackson</v>
      </c>
      <c r="D752" s="1" t="str">
        <f t="shared" si="23"/>
        <v>LAC</v>
      </c>
      <c r="E752" s="1">
        <v>68</v>
      </c>
      <c r="F752" s="1">
        <v>364</v>
      </c>
      <c r="G752" s="1">
        <v>5.4</v>
      </c>
      <c r="H752" s="1">
        <v>2</v>
      </c>
      <c r="I752">
        <v>1</v>
      </c>
      <c r="J752">
        <v>14</v>
      </c>
      <c r="K752" cm="1">
        <f t="array" ref="K752">IFERROR(_xlfn.XLOOKUP(D752&amp;A752, RBWR!A:A&amp;RBWR!C:C, RBWR!B:B), "N/A")</f>
        <v>70</v>
      </c>
      <c r="L752" t="str" cm="1">
        <f t="array" ref="L752">IFERROR(_xlfn.XLOOKUP(C752&amp;A752, RYOE!A:A&amp;RYOE!F:F, RYOE!C:C), "N/A")</f>
        <v>N/A</v>
      </c>
      <c r="M752" t="str" cm="1">
        <f t="array" ref="M752">IFERROR(_xlfn.XLOOKUP(C752&amp;A752, RYOE!A:A&amp;RYOE!F:F, RYOE!D:D), "N/A")</f>
        <v>N/A</v>
      </c>
      <c r="N752" t="str" cm="1">
        <f t="array" ref="N752">IFERROR(_xlfn.XLOOKUP(C752&amp;A752, RYOE!A:A&amp;RYOE!F:F, RYOE!E:E), "N/A")</f>
        <v>N/A</v>
      </c>
    </row>
    <row r="753" spans="1:14" ht="15" customHeight="1" x14ac:dyDescent="0.45">
      <c r="A753" s="8">
        <v>2021</v>
      </c>
      <c r="B753" s="6" t="s">
        <v>468</v>
      </c>
      <c r="C753" s="2" t="str">
        <f t="shared" si="22"/>
        <v>Jordan Howard</v>
      </c>
      <c r="D753" s="2" t="str">
        <f t="shared" si="23"/>
        <v>PHI</v>
      </c>
      <c r="E753" s="2">
        <v>86</v>
      </c>
      <c r="F753" s="2">
        <v>406</v>
      </c>
      <c r="G753" s="2">
        <v>4.7</v>
      </c>
      <c r="H753" s="2">
        <v>3</v>
      </c>
      <c r="I753">
        <v>0</v>
      </c>
      <c r="J753">
        <v>7</v>
      </c>
      <c r="K753" cm="1">
        <f t="array" ref="K753">IFERROR(_xlfn.XLOOKUP(D753&amp;A753, RBWR!A:A&amp;RBWR!C:C, RBWR!B:B), "N/A")</f>
        <v>74</v>
      </c>
      <c r="L753" t="str" cm="1">
        <f t="array" ref="L753">IFERROR(_xlfn.XLOOKUP(C753&amp;A753, RYOE!A:A&amp;RYOE!F:F, RYOE!C:C), "N/A")</f>
        <v>N/A</v>
      </c>
      <c r="M753" t="str" cm="1">
        <f t="array" ref="M753">IFERROR(_xlfn.XLOOKUP(C753&amp;A753, RYOE!A:A&amp;RYOE!F:F, RYOE!D:D), "N/A")</f>
        <v>N/A</v>
      </c>
      <c r="N753" t="str" cm="1">
        <f t="array" ref="N753">IFERROR(_xlfn.XLOOKUP(C753&amp;A753, RYOE!A:A&amp;RYOE!F:F, RYOE!E:E), "N/A")</f>
        <v>N/A</v>
      </c>
    </row>
    <row r="754" spans="1:14" ht="15" customHeight="1" x14ac:dyDescent="0.45">
      <c r="A754" s="7">
        <v>2021</v>
      </c>
      <c r="B754" s="5" t="s">
        <v>469</v>
      </c>
      <c r="C754" s="1" t="str">
        <f t="shared" si="22"/>
        <v>Alex Collins</v>
      </c>
      <c r="D754" s="1" t="str">
        <f t="shared" si="23"/>
        <v>SEA</v>
      </c>
      <c r="E754" s="1">
        <v>108</v>
      </c>
      <c r="F754" s="1">
        <v>411</v>
      </c>
      <c r="G754" s="1">
        <v>3.8</v>
      </c>
      <c r="H754" s="1">
        <v>2</v>
      </c>
      <c r="I754">
        <v>1</v>
      </c>
      <c r="J754">
        <v>11</v>
      </c>
      <c r="K754" cm="1">
        <f t="array" ref="K754">IFERROR(_xlfn.XLOOKUP(D754&amp;A754, RBWR!A:A&amp;RBWR!C:C, RBWR!B:B), "N/A")</f>
        <v>68</v>
      </c>
      <c r="L754" cm="1">
        <f t="array" ref="L754">IFERROR(_xlfn.XLOOKUP(C754&amp;A754, RYOE!A:A&amp;RYOE!F:F, RYOE!C:C), "N/A")</f>
        <v>-90</v>
      </c>
      <c r="M754" cm="1">
        <f t="array" ref="M754">IFERROR(_xlfn.XLOOKUP(C754&amp;A754, RYOE!A:A&amp;RYOE!F:F, RYOE!D:D), "N/A")</f>
        <v>-0.85</v>
      </c>
      <c r="N754" cm="1">
        <f t="array" ref="N754">IFERROR(_xlfn.XLOOKUP(C754&amp;A754, RYOE!A:A&amp;RYOE!F:F, RYOE!E:E), "N/A")</f>
        <v>27.4</v>
      </c>
    </row>
    <row r="755" spans="1:14" ht="15" customHeight="1" x14ac:dyDescent="0.45">
      <c r="A755" s="8">
        <v>2021</v>
      </c>
      <c r="B755" s="6" t="s">
        <v>83</v>
      </c>
      <c r="C755" s="2" t="str">
        <f t="shared" si="22"/>
        <v>Samaje Perine</v>
      </c>
      <c r="D755" s="2" t="str">
        <f t="shared" si="23"/>
        <v>CIN</v>
      </c>
      <c r="E755" s="2">
        <v>55</v>
      </c>
      <c r="F755" s="2">
        <v>246</v>
      </c>
      <c r="G755" s="2">
        <v>4.5</v>
      </c>
      <c r="H755" s="2">
        <v>1</v>
      </c>
      <c r="I755">
        <v>0</v>
      </c>
      <c r="J755">
        <v>15</v>
      </c>
      <c r="K755" cm="1">
        <f t="array" ref="K755">IFERROR(_xlfn.XLOOKUP(D755&amp;A755, RBWR!A:A&amp;RBWR!C:C, RBWR!B:B), "N/A")</f>
        <v>71</v>
      </c>
      <c r="L755" t="str" cm="1">
        <f t="array" ref="L755">IFERROR(_xlfn.XLOOKUP(C755&amp;A755, RYOE!A:A&amp;RYOE!F:F, RYOE!C:C), "N/A")</f>
        <v>N/A</v>
      </c>
      <c r="M755" t="str" cm="1">
        <f t="array" ref="M755">IFERROR(_xlfn.XLOOKUP(C755&amp;A755, RYOE!A:A&amp;RYOE!F:F, RYOE!D:D), "N/A")</f>
        <v>N/A</v>
      </c>
      <c r="N755" t="str" cm="1">
        <f t="array" ref="N755">IFERROR(_xlfn.XLOOKUP(C755&amp;A755, RYOE!A:A&amp;RYOE!F:F, RYOE!E:E), "N/A")</f>
        <v>N/A</v>
      </c>
    </row>
    <row r="756" spans="1:14" ht="15" customHeight="1" x14ac:dyDescent="0.45">
      <c r="A756" s="7">
        <v>2021</v>
      </c>
      <c r="B756" s="5" t="s">
        <v>470</v>
      </c>
      <c r="C756" s="1" t="str">
        <f t="shared" si="22"/>
        <v>Duke Johnson Jr.</v>
      </c>
      <c r="D756" s="1" t="str">
        <f t="shared" si="23"/>
        <v>MIA</v>
      </c>
      <c r="E756" s="1">
        <v>71</v>
      </c>
      <c r="F756" s="1">
        <v>330</v>
      </c>
      <c r="G756" s="1">
        <v>4.5999999999999996</v>
      </c>
      <c r="H756" s="1">
        <v>3</v>
      </c>
      <c r="I756">
        <v>0</v>
      </c>
      <c r="J756">
        <v>5</v>
      </c>
      <c r="K756" cm="1">
        <f t="array" ref="K756">IFERROR(_xlfn.XLOOKUP(D756&amp;A756, RBWR!A:A&amp;RBWR!C:C, RBWR!B:B), "N/A")</f>
        <v>71</v>
      </c>
      <c r="L756" t="str" cm="1">
        <f t="array" ref="L756">IFERROR(_xlfn.XLOOKUP(C756&amp;A756, RYOE!A:A&amp;RYOE!F:F, RYOE!C:C), "N/A")</f>
        <v>N/A</v>
      </c>
      <c r="M756" t="str" cm="1">
        <f t="array" ref="M756">IFERROR(_xlfn.XLOOKUP(C756&amp;A756, RYOE!A:A&amp;RYOE!F:F, RYOE!D:D), "N/A")</f>
        <v>N/A</v>
      </c>
      <c r="N756" t="str" cm="1">
        <f t="array" ref="N756">IFERROR(_xlfn.XLOOKUP(C756&amp;A756, RYOE!A:A&amp;RYOE!F:F, RYOE!E:E), "N/A")</f>
        <v>N/A</v>
      </c>
    </row>
    <row r="757" spans="1:14" ht="15" customHeight="1" x14ac:dyDescent="0.45">
      <c r="A757" s="8">
        <v>2021</v>
      </c>
      <c r="B757" s="6" t="s">
        <v>387</v>
      </c>
      <c r="C757" s="2" t="str">
        <f t="shared" si="22"/>
        <v>Dontrell Hilliard</v>
      </c>
      <c r="D757" s="2" t="str">
        <f t="shared" si="23"/>
        <v>TEN</v>
      </c>
      <c r="E757" s="2">
        <v>56</v>
      </c>
      <c r="F757" s="2">
        <v>350</v>
      </c>
      <c r="G757" s="2">
        <v>6.3</v>
      </c>
      <c r="H757" s="2">
        <v>2</v>
      </c>
      <c r="I757">
        <v>1</v>
      </c>
      <c r="J757">
        <v>8</v>
      </c>
      <c r="K757" cm="1">
        <f t="array" ref="K757">IFERROR(_xlfn.XLOOKUP(D757&amp;A757, RBWR!A:A&amp;RBWR!C:C, RBWR!B:B), "N/A")</f>
        <v>69</v>
      </c>
      <c r="L757" t="str" cm="1">
        <f t="array" ref="L757">IFERROR(_xlfn.XLOOKUP(C757&amp;A757, RYOE!A:A&amp;RYOE!F:F, RYOE!C:C), "N/A")</f>
        <v>N/A</v>
      </c>
      <c r="M757" t="str" cm="1">
        <f t="array" ref="M757">IFERROR(_xlfn.XLOOKUP(C757&amp;A757, RYOE!A:A&amp;RYOE!F:F, RYOE!D:D), "N/A")</f>
        <v>N/A</v>
      </c>
      <c r="N757" t="str" cm="1">
        <f t="array" ref="N757">IFERROR(_xlfn.XLOOKUP(C757&amp;A757, RYOE!A:A&amp;RYOE!F:F, RYOE!E:E), "N/A")</f>
        <v>N/A</v>
      </c>
    </row>
    <row r="758" spans="1:14" ht="15" customHeight="1" x14ac:dyDescent="0.45">
      <c r="A758" s="7">
        <v>2021</v>
      </c>
      <c r="B758" s="5" t="s">
        <v>471</v>
      </c>
      <c r="C758" s="1" t="str">
        <f t="shared" si="22"/>
        <v>Ameer Abdullah</v>
      </c>
      <c r="D758" s="1" t="str">
        <f t="shared" si="23"/>
        <v>CAR</v>
      </c>
      <c r="E758" s="1">
        <v>51</v>
      </c>
      <c r="F758" s="1">
        <v>166</v>
      </c>
      <c r="G758" s="1">
        <v>3.3</v>
      </c>
      <c r="H758" s="1">
        <v>0</v>
      </c>
      <c r="I758">
        <v>0</v>
      </c>
      <c r="J758">
        <v>17</v>
      </c>
      <c r="K758" cm="1">
        <f t="array" ref="K758">IFERROR(_xlfn.XLOOKUP(D758&amp;A758, RBWR!A:A&amp;RBWR!C:C, RBWR!B:B), "N/A")</f>
        <v>68</v>
      </c>
      <c r="L758" t="str" cm="1">
        <f t="array" ref="L758">IFERROR(_xlfn.XLOOKUP(C758&amp;A758, RYOE!A:A&amp;RYOE!F:F, RYOE!C:C), "N/A")</f>
        <v>N/A</v>
      </c>
      <c r="M758" t="str" cm="1">
        <f t="array" ref="M758">IFERROR(_xlfn.XLOOKUP(C758&amp;A758, RYOE!A:A&amp;RYOE!F:F, RYOE!D:D), "N/A")</f>
        <v>N/A</v>
      </c>
      <c r="N758" t="str" cm="1">
        <f t="array" ref="N758">IFERROR(_xlfn.XLOOKUP(C758&amp;A758, RYOE!A:A&amp;RYOE!F:F, RYOE!E:E), "N/A")</f>
        <v>N/A</v>
      </c>
    </row>
    <row r="759" spans="1:14" ht="15" customHeight="1" x14ac:dyDescent="0.45">
      <c r="A759" s="8">
        <v>2021</v>
      </c>
      <c r="B759" s="6" t="s">
        <v>472</v>
      </c>
      <c r="C759" s="2" t="str">
        <f t="shared" si="22"/>
        <v>David Johnson</v>
      </c>
      <c r="D759" s="2" t="str">
        <f t="shared" si="23"/>
        <v>HOU</v>
      </c>
      <c r="E759" s="2">
        <v>67</v>
      </c>
      <c r="F759" s="2">
        <v>228</v>
      </c>
      <c r="G759" s="2">
        <v>3.4</v>
      </c>
      <c r="H759" s="2">
        <v>0</v>
      </c>
      <c r="I759">
        <v>1</v>
      </c>
      <c r="J759">
        <v>13</v>
      </c>
      <c r="K759" cm="1">
        <f t="array" ref="K759">IFERROR(_xlfn.XLOOKUP(D759&amp;A759, RBWR!A:A&amp;RBWR!C:C, RBWR!B:B), "N/A")</f>
        <v>65</v>
      </c>
      <c r="L759" t="str" cm="1">
        <f t="array" ref="L759">IFERROR(_xlfn.XLOOKUP(C759&amp;A759, RYOE!A:A&amp;RYOE!F:F, RYOE!C:C), "N/A")</f>
        <v>N/A</v>
      </c>
      <c r="M759" t="str" cm="1">
        <f t="array" ref="M759">IFERROR(_xlfn.XLOOKUP(C759&amp;A759, RYOE!A:A&amp;RYOE!F:F, RYOE!D:D), "N/A")</f>
        <v>N/A</v>
      </c>
      <c r="N759" t="str" cm="1">
        <f t="array" ref="N759">IFERROR(_xlfn.XLOOKUP(C759&amp;A759, RYOE!A:A&amp;RYOE!F:F, RYOE!E:E), "N/A")</f>
        <v>N/A</v>
      </c>
    </row>
    <row r="760" spans="1:14" ht="15" customHeight="1" x14ac:dyDescent="0.45">
      <c r="A760" s="7">
        <v>2021</v>
      </c>
      <c r="B760" s="5" t="s">
        <v>473</v>
      </c>
      <c r="C760" s="1" t="str">
        <f t="shared" si="22"/>
        <v>Derrick Gore</v>
      </c>
      <c r="D760" s="1" t="str">
        <f t="shared" si="23"/>
        <v>KC</v>
      </c>
      <c r="E760" s="1">
        <v>51</v>
      </c>
      <c r="F760" s="1">
        <v>256</v>
      </c>
      <c r="G760" s="1">
        <v>5</v>
      </c>
      <c r="H760" s="1">
        <v>2</v>
      </c>
      <c r="I760">
        <v>0</v>
      </c>
      <c r="J760">
        <v>8</v>
      </c>
      <c r="K760" cm="1">
        <f t="array" ref="K760">IFERROR(_xlfn.XLOOKUP(D760&amp;A760, RBWR!A:A&amp;RBWR!C:C, RBWR!B:B), "N/A")</f>
        <v>74</v>
      </c>
      <c r="L760" t="str" cm="1">
        <f t="array" ref="L760">IFERROR(_xlfn.XLOOKUP(C760&amp;A760, RYOE!A:A&amp;RYOE!F:F, RYOE!C:C), "N/A")</f>
        <v>N/A</v>
      </c>
      <c r="M760" t="str" cm="1">
        <f t="array" ref="M760">IFERROR(_xlfn.XLOOKUP(C760&amp;A760, RYOE!A:A&amp;RYOE!F:F, RYOE!D:D), "N/A")</f>
        <v>N/A</v>
      </c>
      <c r="N760" t="str" cm="1">
        <f t="array" ref="N760">IFERROR(_xlfn.XLOOKUP(C760&amp;A760, RYOE!A:A&amp;RYOE!F:F, RYOE!E:E), "N/A")</f>
        <v>N/A</v>
      </c>
    </row>
    <row r="761" spans="1:14" ht="15" customHeight="1" x14ac:dyDescent="0.45">
      <c r="A761" s="8">
        <v>2021</v>
      </c>
      <c r="B761" s="6" t="s">
        <v>415</v>
      </c>
      <c r="C761" s="2" t="str">
        <f t="shared" si="22"/>
        <v>Jaret Patterson</v>
      </c>
      <c r="D761" s="2" t="str">
        <f t="shared" si="23"/>
        <v>WAS</v>
      </c>
      <c r="E761" s="2">
        <v>68</v>
      </c>
      <c r="F761" s="2">
        <v>266</v>
      </c>
      <c r="G761" s="2">
        <v>3.9</v>
      </c>
      <c r="H761" s="2">
        <v>2</v>
      </c>
      <c r="I761">
        <v>0</v>
      </c>
      <c r="J761">
        <v>15</v>
      </c>
      <c r="K761" cm="1">
        <f t="array" ref="K761">IFERROR(_xlfn.XLOOKUP(D761&amp;A761, RBWR!A:A&amp;RBWR!C:C, RBWR!B:B), "N/A")</f>
        <v>75</v>
      </c>
      <c r="L761" t="str" cm="1">
        <f t="array" ref="L761">IFERROR(_xlfn.XLOOKUP(C761&amp;A761, RYOE!A:A&amp;RYOE!F:F, RYOE!C:C), "N/A")</f>
        <v>N/A</v>
      </c>
      <c r="M761" t="str" cm="1">
        <f t="array" ref="M761">IFERROR(_xlfn.XLOOKUP(C761&amp;A761, RYOE!A:A&amp;RYOE!F:F, RYOE!D:D), "N/A")</f>
        <v>N/A</v>
      </c>
      <c r="N761" t="str" cm="1">
        <f t="array" ref="N761">IFERROR(_xlfn.XLOOKUP(C761&amp;A761, RYOE!A:A&amp;RYOE!F:F, RYOE!E:E), "N/A")</f>
        <v>N/A</v>
      </c>
    </row>
    <row r="762" spans="1:14" ht="15" customHeight="1" x14ac:dyDescent="0.45">
      <c r="A762" s="7">
        <v>2021</v>
      </c>
      <c r="B762" s="5" t="s">
        <v>399</v>
      </c>
      <c r="C762" s="1" t="str">
        <f t="shared" si="22"/>
        <v>Travis Homer</v>
      </c>
      <c r="D762" s="1" t="str">
        <f t="shared" si="23"/>
        <v>SEA</v>
      </c>
      <c r="E762" s="1">
        <v>21</v>
      </c>
      <c r="F762" s="1">
        <v>177</v>
      </c>
      <c r="G762" s="1">
        <v>8.4</v>
      </c>
      <c r="H762" s="1">
        <v>1</v>
      </c>
      <c r="I762">
        <v>0</v>
      </c>
      <c r="J762">
        <v>14</v>
      </c>
      <c r="K762" cm="1">
        <f t="array" ref="K762">IFERROR(_xlfn.XLOOKUP(D762&amp;A762, RBWR!A:A&amp;RBWR!C:C, RBWR!B:B), "N/A")</f>
        <v>68</v>
      </c>
      <c r="L762" t="str" cm="1">
        <f t="array" ref="L762">IFERROR(_xlfn.XLOOKUP(C762&amp;A762, RYOE!A:A&amp;RYOE!F:F, RYOE!C:C), "N/A")</f>
        <v>N/A</v>
      </c>
      <c r="M762" t="str" cm="1">
        <f t="array" ref="M762">IFERROR(_xlfn.XLOOKUP(C762&amp;A762, RYOE!A:A&amp;RYOE!F:F, RYOE!D:D), "N/A")</f>
        <v>N/A</v>
      </c>
      <c r="N762" t="str" cm="1">
        <f t="array" ref="N762">IFERROR(_xlfn.XLOOKUP(C762&amp;A762, RYOE!A:A&amp;RYOE!F:F, RYOE!E:E), "N/A")</f>
        <v>N/A</v>
      </c>
    </row>
    <row r="763" spans="1:14" ht="15" customHeight="1" x14ac:dyDescent="0.45">
      <c r="A763" s="8">
        <v>2021</v>
      </c>
      <c r="B763" s="6" t="s">
        <v>474</v>
      </c>
      <c r="C763" s="2" t="str">
        <f t="shared" si="22"/>
        <v>Jeremy McNichols</v>
      </c>
      <c r="D763" s="2" t="str">
        <f t="shared" si="23"/>
        <v>TEN</v>
      </c>
      <c r="E763" s="2">
        <v>41</v>
      </c>
      <c r="F763" s="2">
        <v>156</v>
      </c>
      <c r="G763" s="2">
        <v>3.8</v>
      </c>
      <c r="H763" s="2">
        <v>0</v>
      </c>
      <c r="I763">
        <v>0</v>
      </c>
      <c r="J763">
        <v>13</v>
      </c>
      <c r="K763" cm="1">
        <f t="array" ref="K763">IFERROR(_xlfn.XLOOKUP(D763&amp;A763, RBWR!A:A&amp;RBWR!C:C, RBWR!B:B), "N/A")</f>
        <v>69</v>
      </c>
      <c r="L763" t="str" cm="1">
        <f t="array" ref="L763">IFERROR(_xlfn.XLOOKUP(C763&amp;A763, RYOE!A:A&amp;RYOE!F:F, RYOE!C:C), "N/A")</f>
        <v>N/A</v>
      </c>
      <c r="M763" t="str" cm="1">
        <f t="array" ref="M763">IFERROR(_xlfn.XLOOKUP(C763&amp;A763, RYOE!A:A&amp;RYOE!F:F, RYOE!D:D), "N/A")</f>
        <v>N/A</v>
      </c>
      <c r="N763" t="str" cm="1">
        <f t="array" ref="N763">IFERROR(_xlfn.XLOOKUP(C763&amp;A763, RYOE!A:A&amp;RYOE!F:F, RYOE!E:E), "N/A")</f>
        <v>N/A</v>
      </c>
    </row>
    <row r="764" spans="1:14" ht="15" customHeight="1" x14ac:dyDescent="0.45">
      <c r="A764" s="7">
        <v>2021</v>
      </c>
      <c r="B764" s="5" t="s">
        <v>475</v>
      </c>
      <c r="C764" s="1" t="str">
        <f t="shared" si="22"/>
        <v>Damien Williams</v>
      </c>
      <c r="D764" s="1" t="str">
        <f t="shared" si="23"/>
        <v>CHI</v>
      </c>
      <c r="E764" s="1">
        <v>40</v>
      </c>
      <c r="F764" s="1">
        <v>164</v>
      </c>
      <c r="G764" s="1">
        <v>4.0999999999999996</v>
      </c>
      <c r="H764" s="1">
        <v>2</v>
      </c>
      <c r="I764">
        <v>0</v>
      </c>
      <c r="J764">
        <v>12</v>
      </c>
      <c r="K764" cm="1">
        <f t="array" ref="K764">IFERROR(_xlfn.XLOOKUP(D764&amp;A764, RBWR!A:A&amp;RBWR!C:C, RBWR!B:B), "N/A")</f>
        <v>71</v>
      </c>
      <c r="L764" t="str" cm="1">
        <f t="array" ref="L764">IFERROR(_xlfn.XLOOKUP(C764&amp;A764, RYOE!A:A&amp;RYOE!F:F, RYOE!C:C), "N/A")</f>
        <v>N/A</v>
      </c>
      <c r="M764" t="str" cm="1">
        <f t="array" ref="M764">IFERROR(_xlfn.XLOOKUP(C764&amp;A764, RYOE!A:A&amp;RYOE!F:F, RYOE!D:D), "N/A")</f>
        <v>N/A</v>
      </c>
      <c r="N764" t="str" cm="1">
        <f t="array" ref="N764">IFERROR(_xlfn.XLOOKUP(C764&amp;A764, RYOE!A:A&amp;RYOE!F:F, RYOE!E:E), "N/A")</f>
        <v>N/A</v>
      </c>
    </row>
    <row r="765" spans="1:14" ht="15" customHeight="1" x14ac:dyDescent="0.45">
      <c r="A765" s="8">
        <v>2021</v>
      </c>
      <c r="B765" s="6" t="s">
        <v>476</v>
      </c>
      <c r="C765" s="2" t="str">
        <f t="shared" si="22"/>
        <v>Jeff Wilson Jr.</v>
      </c>
      <c r="D765" s="2" t="str">
        <f t="shared" si="23"/>
        <v>SF</v>
      </c>
      <c r="E765" s="2">
        <v>79</v>
      </c>
      <c r="F765" s="2">
        <v>294</v>
      </c>
      <c r="G765" s="2">
        <v>3.7</v>
      </c>
      <c r="H765" s="2">
        <v>2</v>
      </c>
      <c r="I765">
        <v>0</v>
      </c>
      <c r="J765">
        <v>9</v>
      </c>
      <c r="K765" cm="1">
        <f t="array" ref="K765">IFERROR(_xlfn.XLOOKUP(D765&amp;A765, RBWR!A:A&amp;RBWR!C:C, RBWR!B:B), "N/A")</f>
        <v>70</v>
      </c>
      <c r="L765" t="str" cm="1">
        <f t="array" ref="L765">IFERROR(_xlfn.XLOOKUP(C765&amp;A765, RYOE!A:A&amp;RYOE!F:F, RYOE!C:C), "N/A")</f>
        <v>N/A</v>
      </c>
      <c r="M765" t="str" cm="1">
        <f t="array" ref="M765">IFERROR(_xlfn.XLOOKUP(C765&amp;A765, RYOE!A:A&amp;RYOE!F:F, RYOE!D:D), "N/A")</f>
        <v>N/A</v>
      </c>
      <c r="N765" t="str" cm="1">
        <f t="array" ref="N765">IFERROR(_xlfn.XLOOKUP(C765&amp;A765, RYOE!A:A&amp;RYOE!F:F, RYOE!E:E), "N/A")</f>
        <v>N/A</v>
      </c>
    </row>
    <row r="766" spans="1:14" ht="15" customHeight="1" x14ac:dyDescent="0.45">
      <c r="A766" s="7">
        <v>2021</v>
      </c>
      <c r="B766" s="5" t="s">
        <v>205</v>
      </c>
      <c r="C766" s="1" t="str">
        <f t="shared" si="22"/>
        <v>Kyle Juszczyk</v>
      </c>
      <c r="D766" s="1" t="str">
        <f t="shared" si="23"/>
        <v>SF</v>
      </c>
      <c r="E766" s="1">
        <v>8</v>
      </c>
      <c r="F766" s="1">
        <v>22</v>
      </c>
      <c r="G766" s="1">
        <v>2.8</v>
      </c>
      <c r="H766" s="1">
        <v>1</v>
      </c>
      <c r="I766">
        <v>0</v>
      </c>
      <c r="J766">
        <v>15</v>
      </c>
      <c r="K766" cm="1">
        <f t="array" ref="K766">IFERROR(_xlfn.XLOOKUP(D766&amp;A766, RBWR!A:A&amp;RBWR!C:C, RBWR!B:B), "N/A")</f>
        <v>70</v>
      </c>
      <c r="L766" t="str" cm="1">
        <f t="array" ref="L766">IFERROR(_xlfn.XLOOKUP(C766&amp;A766, RYOE!A:A&amp;RYOE!F:F, RYOE!C:C), "N/A")</f>
        <v>N/A</v>
      </c>
      <c r="M766" t="str" cm="1">
        <f t="array" ref="M766">IFERROR(_xlfn.XLOOKUP(C766&amp;A766, RYOE!A:A&amp;RYOE!F:F, RYOE!D:D), "N/A")</f>
        <v>N/A</v>
      </c>
      <c r="N766" t="str" cm="1">
        <f t="array" ref="N766">IFERROR(_xlfn.XLOOKUP(C766&amp;A766, RYOE!A:A&amp;RYOE!F:F, RYOE!E:E), "N/A")</f>
        <v>N/A</v>
      </c>
    </row>
    <row r="767" spans="1:14" ht="15" customHeight="1" x14ac:dyDescent="0.45">
      <c r="A767" s="8">
        <v>2021</v>
      </c>
      <c r="B767" s="6" t="s">
        <v>477</v>
      </c>
      <c r="C767" s="2" t="str">
        <f t="shared" si="22"/>
        <v>Chris Carson</v>
      </c>
      <c r="D767" s="2" t="str">
        <f t="shared" si="23"/>
        <v>SEA</v>
      </c>
      <c r="E767" s="2">
        <v>54</v>
      </c>
      <c r="F767" s="2">
        <v>232</v>
      </c>
      <c r="G767" s="2">
        <v>4.3</v>
      </c>
      <c r="H767" s="2">
        <v>3</v>
      </c>
      <c r="I767">
        <v>1</v>
      </c>
      <c r="J767">
        <v>4</v>
      </c>
      <c r="K767" cm="1">
        <f t="array" ref="K767">IFERROR(_xlfn.XLOOKUP(D767&amp;A767, RBWR!A:A&amp;RBWR!C:C, RBWR!B:B), "N/A")</f>
        <v>68</v>
      </c>
      <c r="L767" t="str" cm="1">
        <f t="array" ref="L767">IFERROR(_xlfn.XLOOKUP(C767&amp;A767, RYOE!A:A&amp;RYOE!F:F, RYOE!C:C), "N/A")</f>
        <v>N/A</v>
      </c>
      <c r="M767" t="str" cm="1">
        <f t="array" ref="M767">IFERROR(_xlfn.XLOOKUP(C767&amp;A767, RYOE!A:A&amp;RYOE!F:F, RYOE!D:D), "N/A")</f>
        <v>N/A</v>
      </c>
      <c r="N767" t="str" cm="1">
        <f t="array" ref="N767">IFERROR(_xlfn.XLOOKUP(C767&amp;A767, RYOE!A:A&amp;RYOE!F:F, RYOE!E:E), "N/A")</f>
        <v>N/A</v>
      </c>
    </row>
    <row r="768" spans="1:14" ht="15" customHeight="1" x14ac:dyDescent="0.45">
      <c r="A768" s="7">
        <v>2021</v>
      </c>
      <c r="B768" s="5" t="s">
        <v>478</v>
      </c>
      <c r="C768" s="1" t="str">
        <f t="shared" si="22"/>
        <v>Phillip Lindsay</v>
      </c>
      <c r="D768" s="1" t="str">
        <f t="shared" si="23"/>
        <v>MIA</v>
      </c>
      <c r="E768" s="1">
        <v>88</v>
      </c>
      <c r="F768" s="1">
        <v>249</v>
      </c>
      <c r="G768" s="1">
        <v>2.8</v>
      </c>
      <c r="H768" s="1">
        <v>1</v>
      </c>
      <c r="I768">
        <v>0</v>
      </c>
      <c r="J768">
        <v>14</v>
      </c>
      <c r="K768" cm="1">
        <f t="array" ref="K768">IFERROR(_xlfn.XLOOKUP(D768&amp;A768, RBWR!A:A&amp;RBWR!C:C, RBWR!B:B), "N/A")</f>
        <v>71</v>
      </c>
      <c r="L768" t="str" cm="1">
        <f t="array" ref="L768">IFERROR(_xlfn.XLOOKUP(C768&amp;A768, RYOE!A:A&amp;RYOE!F:F, RYOE!C:C), "N/A")</f>
        <v>N/A</v>
      </c>
      <c r="M768" t="str" cm="1">
        <f t="array" ref="M768">IFERROR(_xlfn.XLOOKUP(C768&amp;A768, RYOE!A:A&amp;RYOE!F:F, RYOE!D:D), "N/A")</f>
        <v>N/A</v>
      </c>
      <c r="N768" t="str" cm="1">
        <f t="array" ref="N768">IFERROR(_xlfn.XLOOKUP(C768&amp;A768, RYOE!A:A&amp;RYOE!F:F, RYOE!E:E), "N/A")</f>
        <v>N/A</v>
      </c>
    </row>
    <row r="769" spans="1:14" ht="15" customHeight="1" x14ac:dyDescent="0.45">
      <c r="A769" s="8">
        <v>2021</v>
      </c>
      <c r="B769" s="6" t="s">
        <v>479</v>
      </c>
      <c r="C769" s="2" t="str">
        <f t="shared" si="22"/>
        <v>Tevin Coleman</v>
      </c>
      <c r="D769" s="2" t="str">
        <f t="shared" si="23"/>
        <v>NYJ</v>
      </c>
      <c r="E769" s="2">
        <v>84</v>
      </c>
      <c r="F769" s="2">
        <v>356</v>
      </c>
      <c r="G769" s="2">
        <v>4.2</v>
      </c>
      <c r="H769" s="2">
        <v>0</v>
      </c>
      <c r="I769">
        <v>0</v>
      </c>
      <c r="J769">
        <v>11</v>
      </c>
      <c r="K769" cm="1">
        <f t="array" ref="K769">IFERROR(_xlfn.XLOOKUP(D769&amp;A769, RBWR!A:A&amp;RBWR!C:C, RBWR!B:B), "N/A")</f>
        <v>68</v>
      </c>
      <c r="L769" t="str" cm="1">
        <f t="array" ref="L769">IFERROR(_xlfn.XLOOKUP(C769&amp;A769, RYOE!A:A&amp;RYOE!F:F, RYOE!C:C), "N/A")</f>
        <v>N/A</v>
      </c>
      <c r="M769" t="str" cm="1">
        <f t="array" ref="M769">IFERROR(_xlfn.XLOOKUP(C769&amp;A769, RYOE!A:A&amp;RYOE!F:F, RYOE!D:D), "N/A")</f>
        <v>N/A</v>
      </c>
      <c r="N769" t="str" cm="1">
        <f t="array" ref="N769">IFERROR(_xlfn.XLOOKUP(C769&amp;A769, RYOE!A:A&amp;RYOE!F:F, RYOE!E:E), "N/A")</f>
        <v>N/A</v>
      </c>
    </row>
    <row r="770" spans="1:14" ht="15" customHeight="1" x14ac:dyDescent="0.45">
      <c r="A770" s="7">
        <v>2021</v>
      </c>
      <c r="B770" s="5" t="s">
        <v>480</v>
      </c>
      <c r="C770" s="1" t="str">
        <f t="shared" ref="C770:C833" si="24">TRIM(LEFT(B770, LEN(B770) - LEN(TRIM(RIGHT(SUBSTITUTE(TRIM(B770)," ",REPT(" ",100)),100)))))</f>
        <v>Peyton Barber</v>
      </c>
      <c r="D770" s="1" t="str">
        <f t="shared" ref="D770:D833" si="25">MID(B770, FIND("(", B770) + 1, FIND(")", B770) - FIND("(", B770) - 1)</f>
        <v>LV</v>
      </c>
      <c r="E770" s="1">
        <v>55</v>
      </c>
      <c r="F770" s="1">
        <v>212</v>
      </c>
      <c r="G770" s="1">
        <v>3.9</v>
      </c>
      <c r="H770" s="1">
        <v>2</v>
      </c>
      <c r="I770">
        <v>0</v>
      </c>
      <c r="J770">
        <v>10</v>
      </c>
      <c r="K770" cm="1">
        <f t="array" ref="K770">IFERROR(_xlfn.XLOOKUP(D770&amp;A770, RBWR!A:A&amp;RBWR!C:C, RBWR!B:B), "N/A")</f>
        <v>67</v>
      </c>
      <c r="L770" t="str" cm="1">
        <f t="array" ref="L770">IFERROR(_xlfn.XLOOKUP(C770&amp;A770, RYOE!A:A&amp;RYOE!F:F, RYOE!C:C), "N/A")</f>
        <v>N/A</v>
      </c>
      <c r="M770" t="str" cm="1">
        <f t="array" ref="M770">IFERROR(_xlfn.XLOOKUP(C770&amp;A770, RYOE!A:A&amp;RYOE!F:F, RYOE!D:D), "N/A")</f>
        <v>N/A</v>
      </c>
      <c r="N770" t="str" cm="1">
        <f t="array" ref="N770">IFERROR(_xlfn.XLOOKUP(C770&amp;A770, RYOE!A:A&amp;RYOE!F:F, RYOE!E:E), "N/A")</f>
        <v>N/A</v>
      </c>
    </row>
    <row r="771" spans="1:14" ht="15" customHeight="1" x14ac:dyDescent="0.45">
      <c r="A771" s="8">
        <v>2021</v>
      </c>
      <c r="B771" s="6" t="s">
        <v>334</v>
      </c>
      <c r="C771" s="2" t="str">
        <f t="shared" si="24"/>
        <v>DeeJay Dallas</v>
      </c>
      <c r="D771" s="2" t="str">
        <f t="shared" si="25"/>
        <v>SEA</v>
      </c>
      <c r="E771" s="2">
        <v>33</v>
      </c>
      <c r="F771" s="2">
        <v>138</v>
      </c>
      <c r="G771" s="2">
        <v>4.2</v>
      </c>
      <c r="H771" s="2">
        <v>2</v>
      </c>
      <c r="I771">
        <v>0</v>
      </c>
      <c r="J771">
        <v>17</v>
      </c>
      <c r="K771" cm="1">
        <f t="array" ref="K771">IFERROR(_xlfn.XLOOKUP(D771&amp;A771, RBWR!A:A&amp;RBWR!C:C, RBWR!B:B), "N/A")</f>
        <v>68</v>
      </c>
      <c r="L771" t="str" cm="1">
        <f t="array" ref="L771">IFERROR(_xlfn.XLOOKUP(C771&amp;A771, RYOE!A:A&amp;RYOE!F:F, RYOE!C:C), "N/A")</f>
        <v>N/A</v>
      </c>
      <c r="M771" t="str" cm="1">
        <f t="array" ref="M771">IFERROR(_xlfn.XLOOKUP(C771&amp;A771, RYOE!A:A&amp;RYOE!F:F, RYOE!D:D), "N/A")</f>
        <v>N/A</v>
      </c>
      <c r="N771" t="str" cm="1">
        <f t="array" ref="N771">IFERROR(_xlfn.XLOOKUP(C771&amp;A771, RYOE!A:A&amp;RYOE!F:F, RYOE!E:E), "N/A")</f>
        <v>N/A</v>
      </c>
    </row>
    <row r="772" spans="1:14" ht="15" customHeight="1" x14ac:dyDescent="0.45">
      <c r="A772" s="7">
        <v>2021</v>
      </c>
      <c r="B772" s="5" t="s">
        <v>481</v>
      </c>
      <c r="C772" s="1" t="str">
        <f t="shared" si="24"/>
        <v>Dare Ogunbowale</v>
      </c>
      <c r="D772" s="1" t="str">
        <f t="shared" si="25"/>
        <v>JAC</v>
      </c>
      <c r="E772" s="1">
        <v>43</v>
      </c>
      <c r="F772" s="1">
        <v>137</v>
      </c>
      <c r="G772" s="1">
        <v>3.2</v>
      </c>
      <c r="H772" s="1">
        <v>1</v>
      </c>
      <c r="I772">
        <v>0</v>
      </c>
      <c r="J772">
        <v>13</v>
      </c>
      <c r="K772" cm="1">
        <f t="array" ref="K772">IFERROR(_xlfn.XLOOKUP(D772&amp;A772, RBWR!A:A&amp;RBWR!C:C, RBWR!B:B), "N/A")</f>
        <v>70</v>
      </c>
      <c r="L772" t="str" cm="1">
        <f t="array" ref="L772">IFERROR(_xlfn.XLOOKUP(C772&amp;A772, RYOE!A:A&amp;RYOE!F:F, RYOE!C:C), "N/A")</f>
        <v>N/A</v>
      </c>
      <c r="M772" t="str" cm="1">
        <f t="array" ref="M772">IFERROR(_xlfn.XLOOKUP(C772&amp;A772, RYOE!A:A&amp;RYOE!F:F, RYOE!D:D), "N/A")</f>
        <v>N/A</v>
      </c>
      <c r="N772" t="str" cm="1">
        <f t="array" ref="N772">IFERROR(_xlfn.XLOOKUP(C772&amp;A772, RYOE!A:A&amp;RYOE!F:F, RYOE!E:E), "N/A")</f>
        <v>N/A</v>
      </c>
    </row>
    <row r="773" spans="1:14" ht="15" customHeight="1" x14ac:dyDescent="0.45">
      <c r="A773" s="8">
        <v>2021</v>
      </c>
      <c r="B773" s="6" t="s">
        <v>423</v>
      </c>
      <c r="C773" s="2" t="str">
        <f t="shared" si="24"/>
        <v>Giovani Bernard</v>
      </c>
      <c r="D773" s="2" t="str">
        <f t="shared" si="25"/>
        <v>TB</v>
      </c>
      <c r="E773" s="2">
        <v>8</v>
      </c>
      <c r="F773" s="2">
        <v>58</v>
      </c>
      <c r="G773" s="2">
        <v>7.3</v>
      </c>
      <c r="H773" s="2">
        <v>0</v>
      </c>
      <c r="I773">
        <v>0</v>
      </c>
      <c r="J773">
        <v>10</v>
      </c>
      <c r="K773" cm="1">
        <f t="array" ref="K773">IFERROR(_xlfn.XLOOKUP(D773&amp;A773, RBWR!A:A&amp;RBWR!C:C, RBWR!B:B), "N/A")</f>
        <v>70</v>
      </c>
      <c r="L773" t="str" cm="1">
        <f t="array" ref="L773">IFERROR(_xlfn.XLOOKUP(C773&amp;A773, RYOE!A:A&amp;RYOE!F:F, RYOE!C:C), "N/A")</f>
        <v>N/A</v>
      </c>
      <c r="M773" t="str" cm="1">
        <f t="array" ref="M773">IFERROR(_xlfn.XLOOKUP(C773&amp;A773, RYOE!A:A&amp;RYOE!F:F, RYOE!D:D), "N/A")</f>
        <v>N/A</v>
      </c>
      <c r="N773" t="str" cm="1">
        <f t="array" ref="N773">IFERROR(_xlfn.XLOOKUP(C773&amp;A773, RYOE!A:A&amp;RYOE!F:F, RYOE!E:E), "N/A")</f>
        <v>N/A</v>
      </c>
    </row>
    <row r="774" spans="1:14" ht="15" customHeight="1" x14ac:dyDescent="0.45">
      <c r="A774" s="7">
        <v>2021</v>
      </c>
      <c r="B774" s="5" t="s">
        <v>482</v>
      </c>
      <c r="C774" s="1" t="str">
        <f t="shared" si="24"/>
        <v>Matt Breida</v>
      </c>
      <c r="D774" s="1" t="str">
        <f t="shared" si="25"/>
        <v>BUF</v>
      </c>
      <c r="E774" s="1">
        <v>26</v>
      </c>
      <c r="F774" s="1">
        <v>125</v>
      </c>
      <c r="G774" s="1">
        <v>4.8</v>
      </c>
      <c r="H774" s="1">
        <v>1</v>
      </c>
      <c r="I774">
        <v>1</v>
      </c>
      <c r="J774">
        <v>7</v>
      </c>
      <c r="K774" cm="1">
        <f t="array" ref="K774">IFERROR(_xlfn.XLOOKUP(D774&amp;A774, RBWR!A:A&amp;RBWR!C:C, RBWR!B:B), "N/A")</f>
        <v>69</v>
      </c>
      <c r="L774" t="str" cm="1">
        <f t="array" ref="L774">IFERROR(_xlfn.XLOOKUP(C774&amp;A774, RYOE!A:A&amp;RYOE!F:F, RYOE!C:C), "N/A")</f>
        <v>N/A</v>
      </c>
      <c r="M774" t="str" cm="1">
        <f t="array" ref="M774">IFERROR(_xlfn.XLOOKUP(C774&amp;A774, RYOE!A:A&amp;RYOE!F:F, RYOE!D:D), "N/A")</f>
        <v>N/A</v>
      </c>
      <c r="N774" t="str" cm="1">
        <f t="array" ref="N774">IFERROR(_xlfn.XLOOKUP(C774&amp;A774, RYOE!A:A&amp;RYOE!F:F, RYOE!E:E), "N/A")</f>
        <v>N/A</v>
      </c>
    </row>
    <row r="775" spans="1:14" ht="15" customHeight="1" x14ac:dyDescent="0.45">
      <c r="A775" s="8">
        <v>2021</v>
      </c>
      <c r="B775" s="6" t="s">
        <v>348</v>
      </c>
      <c r="C775" s="2" t="str">
        <f t="shared" si="24"/>
        <v>Chris Evans</v>
      </c>
      <c r="D775" s="2" t="str">
        <f t="shared" si="25"/>
        <v>CIN</v>
      </c>
      <c r="E775" s="2">
        <v>17</v>
      </c>
      <c r="F775" s="2">
        <v>77</v>
      </c>
      <c r="G775" s="2">
        <v>4.5</v>
      </c>
      <c r="H775" s="2">
        <v>0</v>
      </c>
      <c r="I775">
        <v>0</v>
      </c>
      <c r="J775">
        <v>9</v>
      </c>
      <c r="K775" cm="1">
        <f t="array" ref="K775">IFERROR(_xlfn.XLOOKUP(D775&amp;A775, RBWR!A:A&amp;RBWR!C:C, RBWR!B:B), "N/A")</f>
        <v>71</v>
      </c>
      <c r="L775" t="str" cm="1">
        <f t="array" ref="L775">IFERROR(_xlfn.XLOOKUP(C775&amp;A775, RYOE!A:A&amp;RYOE!F:F, RYOE!C:C), "N/A")</f>
        <v>N/A</v>
      </c>
      <c r="M775" t="str" cm="1">
        <f t="array" ref="M775">IFERROR(_xlfn.XLOOKUP(C775&amp;A775, RYOE!A:A&amp;RYOE!F:F, RYOE!D:D), "N/A")</f>
        <v>N/A</v>
      </c>
      <c r="N775" t="str" cm="1">
        <f t="array" ref="N775">IFERROR(_xlfn.XLOOKUP(C775&amp;A775, RYOE!A:A&amp;RYOE!F:F, RYOE!E:E), "N/A")</f>
        <v>N/A</v>
      </c>
    </row>
    <row r="776" spans="1:14" ht="15" customHeight="1" x14ac:dyDescent="0.45">
      <c r="A776" s="7">
        <v>2021</v>
      </c>
      <c r="B776" s="5" t="s">
        <v>483</v>
      </c>
      <c r="C776" s="1" t="str">
        <f t="shared" si="24"/>
        <v>Carlos Hyde</v>
      </c>
      <c r="D776" s="1" t="str">
        <f t="shared" si="25"/>
        <v>JAC</v>
      </c>
      <c r="E776" s="1">
        <v>72</v>
      </c>
      <c r="F776" s="1">
        <v>253</v>
      </c>
      <c r="G776" s="1">
        <v>3.5</v>
      </c>
      <c r="H776" s="1">
        <v>1</v>
      </c>
      <c r="I776">
        <v>2</v>
      </c>
      <c r="J776">
        <v>12</v>
      </c>
      <c r="K776" cm="1">
        <f t="array" ref="K776">IFERROR(_xlfn.XLOOKUP(D776&amp;A776, RBWR!A:A&amp;RBWR!C:C, RBWR!B:B), "N/A")</f>
        <v>70</v>
      </c>
      <c r="L776" t="str" cm="1">
        <f t="array" ref="L776">IFERROR(_xlfn.XLOOKUP(C776&amp;A776, RYOE!A:A&amp;RYOE!F:F, RYOE!C:C), "N/A")</f>
        <v>N/A</v>
      </c>
      <c r="M776" t="str" cm="1">
        <f t="array" ref="M776">IFERROR(_xlfn.XLOOKUP(C776&amp;A776, RYOE!A:A&amp;RYOE!F:F, RYOE!D:D), "N/A")</f>
        <v>N/A</v>
      </c>
      <c r="N776" t="str" cm="1">
        <f t="array" ref="N776">IFERROR(_xlfn.XLOOKUP(C776&amp;A776, RYOE!A:A&amp;RYOE!F:F, RYOE!E:E), "N/A")</f>
        <v>N/A</v>
      </c>
    </row>
    <row r="777" spans="1:14" ht="15" customHeight="1" x14ac:dyDescent="0.45">
      <c r="A777" s="8">
        <v>2021</v>
      </c>
      <c r="B777" s="6" t="s">
        <v>484</v>
      </c>
      <c r="C777" s="2" t="str">
        <f t="shared" si="24"/>
        <v>Le'Veon Bell</v>
      </c>
      <c r="D777" s="2" t="str">
        <f t="shared" si="25"/>
        <v>TB</v>
      </c>
      <c r="E777" s="2">
        <v>39</v>
      </c>
      <c r="F777" s="2">
        <v>101</v>
      </c>
      <c r="G777" s="2">
        <v>2.6</v>
      </c>
      <c r="H777" s="2">
        <v>2</v>
      </c>
      <c r="I777">
        <v>0</v>
      </c>
      <c r="J777">
        <v>8</v>
      </c>
      <c r="K777" cm="1">
        <f t="array" ref="K777">IFERROR(_xlfn.XLOOKUP(D777&amp;A777, RBWR!A:A&amp;RBWR!C:C, RBWR!B:B), "N/A")</f>
        <v>70</v>
      </c>
      <c r="L777" t="str" cm="1">
        <f t="array" ref="L777">IFERROR(_xlfn.XLOOKUP(C777&amp;A777, RYOE!A:A&amp;RYOE!F:F, RYOE!C:C), "N/A")</f>
        <v>N/A</v>
      </c>
      <c r="M777" t="str" cm="1">
        <f t="array" ref="M777">IFERROR(_xlfn.XLOOKUP(C777&amp;A777, RYOE!A:A&amp;RYOE!F:F, RYOE!D:D), "N/A")</f>
        <v>N/A</v>
      </c>
      <c r="N777" t="str" cm="1">
        <f t="array" ref="N777">IFERROR(_xlfn.XLOOKUP(C777&amp;A777, RYOE!A:A&amp;RYOE!F:F, RYOE!E:E), "N/A")</f>
        <v>N/A</v>
      </c>
    </row>
    <row r="778" spans="1:14" ht="15" customHeight="1" x14ac:dyDescent="0.45">
      <c r="A778" s="7">
        <v>2021</v>
      </c>
      <c r="B778" s="5" t="s">
        <v>485</v>
      </c>
      <c r="C778" s="1" t="str">
        <f t="shared" si="24"/>
        <v>Ty'Son Williams</v>
      </c>
      <c r="D778" s="1" t="str">
        <f t="shared" si="25"/>
        <v>BAL</v>
      </c>
      <c r="E778" s="1">
        <v>35</v>
      </c>
      <c r="F778" s="1">
        <v>185</v>
      </c>
      <c r="G778" s="1">
        <v>5.3</v>
      </c>
      <c r="H778" s="1">
        <v>1</v>
      </c>
      <c r="I778">
        <v>0</v>
      </c>
      <c r="J778">
        <v>8</v>
      </c>
      <c r="K778" cm="1">
        <f t="array" ref="K778">IFERROR(_xlfn.XLOOKUP(D778&amp;A778, RBWR!A:A&amp;RBWR!C:C, RBWR!B:B), "N/A")</f>
        <v>73</v>
      </c>
      <c r="L778" t="str" cm="1">
        <f t="array" ref="L778">IFERROR(_xlfn.XLOOKUP(C778&amp;A778, RYOE!A:A&amp;RYOE!F:F, RYOE!C:C), "N/A")</f>
        <v>N/A</v>
      </c>
      <c r="M778" t="str" cm="1">
        <f t="array" ref="M778">IFERROR(_xlfn.XLOOKUP(C778&amp;A778, RYOE!A:A&amp;RYOE!F:F, RYOE!D:D), "N/A")</f>
        <v>N/A</v>
      </c>
      <c r="N778" t="str" cm="1">
        <f t="array" ref="N778">IFERROR(_xlfn.XLOOKUP(C778&amp;A778, RYOE!A:A&amp;RYOE!F:F, RYOE!E:E), "N/A")</f>
        <v>N/A</v>
      </c>
    </row>
    <row r="779" spans="1:14" ht="15" customHeight="1" x14ac:dyDescent="0.45">
      <c r="A779" s="8">
        <v>2021</v>
      </c>
      <c r="B779" s="6" t="s">
        <v>329</v>
      </c>
      <c r="C779" s="2" t="str">
        <f t="shared" si="24"/>
        <v>Ke'Shawn Vaughn</v>
      </c>
      <c r="D779" s="2" t="str">
        <f t="shared" si="25"/>
        <v>TB</v>
      </c>
      <c r="E779" s="2">
        <v>36</v>
      </c>
      <c r="F779" s="2">
        <v>180</v>
      </c>
      <c r="G779" s="2">
        <v>5</v>
      </c>
      <c r="H779" s="2">
        <v>2</v>
      </c>
      <c r="I779">
        <v>0</v>
      </c>
      <c r="J779">
        <v>6</v>
      </c>
      <c r="K779" cm="1">
        <f t="array" ref="K779">IFERROR(_xlfn.XLOOKUP(D779&amp;A779, RBWR!A:A&amp;RBWR!C:C, RBWR!B:B), "N/A")</f>
        <v>70</v>
      </c>
      <c r="L779" t="str" cm="1">
        <f t="array" ref="L779">IFERROR(_xlfn.XLOOKUP(C779&amp;A779, RYOE!A:A&amp;RYOE!F:F, RYOE!C:C), "N/A")</f>
        <v>N/A</v>
      </c>
      <c r="M779" t="str" cm="1">
        <f t="array" ref="M779">IFERROR(_xlfn.XLOOKUP(C779&amp;A779, RYOE!A:A&amp;RYOE!F:F, RYOE!D:D), "N/A")</f>
        <v>N/A</v>
      </c>
      <c r="N779" t="str" cm="1">
        <f t="array" ref="N779">IFERROR(_xlfn.XLOOKUP(C779&amp;A779, RYOE!A:A&amp;RYOE!F:F, RYOE!E:E), "N/A")</f>
        <v>N/A</v>
      </c>
    </row>
    <row r="780" spans="1:14" ht="15" customHeight="1" x14ac:dyDescent="0.45">
      <c r="A780" s="7">
        <v>2021</v>
      </c>
      <c r="B780" s="5" t="s">
        <v>435</v>
      </c>
      <c r="C780" s="1" t="str">
        <f t="shared" si="24"/>
        <v>Demetric Felton Jr.</v>
      </c>
      <c r="D780" s="1" t="str">
        <f t="shared" si="25"/>
        <v>CLE</v>
      </c>
      <c r="E780" s="1">
        <v>7</v>
      </c>
      <c r="F780" s="1">
        <v>24</v>
      </c>
      <c r="G780" s="1">
        <v>3.4</v>
      </c>
      <c r="H780" s="1">
        <v>0</v>
      </c>
      <c r="I780">
        <v>0</v>
      </c>
      <c r="J780">
        <v>15</v>
      </c>
      <c r="K780" cm="1">
        <f t="array" ref="K780">IFERROR(_xlfn.XLOOKUP(D780&amp;A780, RBWR!A:A&amp;RBWR!C:C, RBWR!B:B), "N/A")</f>
        <v>72</v>
      </c>
      <c r="L780" t="str" cm="1">
        <f t="array" ref="L780">IFERROR(_xlfn.XLOOKUP(C780&amp;A780, RYOE!A:A&amp;RYOE!F:F, RYOE!C:C), "N/A")</f>
        <v>N/A</v>
      </c>
      <c r="M780" t="str" cm="1">
        <f t="array" ref="M780">IFERROR(_xlfn.XLOOKUP(C780&amp;A780, RYOE!A:A&amp;RYOE!F:F, RYOE!D:D), "N/A")</f>
        <v>N/A</v>
      </c>
      <c r="N780" t="str" cm="1">
        <f t="array" ref="N780">IFERROR(_xlfn.XLOOKUP(C780&amp;A780, RYOE!A:A&amp;RYOE!F:F, RYOE!E:E), "N/A")</f>
        <v>N/A</v>
      </c>
    </row>
    <row r="781" spans="1:14" ht="15" customHeight="1" x14ac:dyDescent="0.45">
      <c r="A781" s="8">
        <v>2021</v>
      </c>
      <c r="B781" s="6" t="s">
        <v>172</v>
      </c>
      <c r="C781" s="2" t="str">
        <f t="shared" si="24"/>
        <v>Craig Reynolds</v>
      </c>
      <c r="D781" s="2" t="str">
        <f t="shared" si="25"/>
        <v>DET</v>
      </c>
      <c r="E781" s="2">
        <v>55</v>
      </c>
      <c r="F781" s="2">
        <v>230</v>
      </c>
      <c r="G781" s="2">
        <v>4.2</v>
      </c>
      <c r="H781" s="2">
        <v>0</v>
      </c>
      <c r="I781">
        <v>0</v>
      </c>
      <c r="J781">
        <v>5</v>
      </c>
      <c r="K781" cm="1">
        <f t="array" ref="K781">IFERROR(_xlfn.XLOOKUP(D781&amp;A781, RBWR!A:A&amp;RBWR!C:C, RBWR!B:B), "N/A")</f>
        <v>70</v>
      </c>
      <c r="L781" t="str" cm="1">
        <f t="array" ref="L781">IFERROR(_xlfn.XLOOKUP(C781&amp;A781, RYOE!A:A&amp;RYOE!F:F, RYOE!C:C), "N/A")</f>
        <v>N/A</v>
      </c>
      <c r="M781" t="str" cm="1">
        <f t="array" ref="M781">IFERROR(_xlfn.XLOOKUP(C781&amp;A781, RYOE!A:A&amp;RYOE!F:F, RYOE!D:D), "N/A")</f>
        <v>N/A</v>
      </c>
      <c r="N781" t="str" cm="1">
        <f t="array" ref="N781">IFERROR(_xlfn.XLOOKUP(C781&amp;A781, RYOE!A:A&amp;RYOE!F:F, RYOE!E:E), "N/A")</f>
        <v>N/A</v>
      </c>
    </row>
    <row r="782" spans="1:14" ht="15" customHeight="1" x14ac:dyDescent="0.45">
      <c r="A782" s="7">
        <v>2021</v>
      </c>
      <c r="B782" s="5" t="s">
        <v>486</v>
      </c>
      <c r="C782" s="1" t="str">
        <f t="shared" si="24"/>
        <v>Elijhaa Penny</v>
      </c>
      <c r="D782" s="1" t="str">
        <f t="shared" si="25"/>
        <v>NYG</v>
      </c>
      <c r="E782" s="1">
        <v>24</v>
      </c>
      <c r="F782" s="1">
        <v>99</v>
      </c>
      <c r="G782" s="1">
        <v>4.0999999999999996</v>
      </c>
      <c r="H782" s="1">
        <v>1</v>
      </c>
      <c r="I782">
        <v>0</v>
      </c>
      <c r="J782">
        <v>13</v>
      </c>
      <c r="K782" cm="1">
        <f t="array" ref="K782">IFERROR(_xlfn.XLOOKUP(D782&amp;A782, RBWR!A:A&amp;RBWR!C:C, RBWR!B:B), "N/A")</f>
        <v>71</v>
      </c>
      <c r="L782" t="str" cm="1">
        <f t="array" ref="L782">IFERROR(_xlfn.XLOOKUP(C782&amp;A782, RYOE!A:A&amp;RYOE!F:F, RYOE!C:C), "N/A")</f>
        <v>N/A</v>
      </c>
      <c r="M782" t="str" cm="1">
        <f t="array" ref="M782">IFERROR(_xlfn.XLOOKUP(C782&amp;A782, RYOE!A:A&amp;RYOE!F:F, RYOE!D:D), "N/A")</f>
        <v>N/A</v>
      </c>
      <c r="N782" t="str" cm="1">
        <f t="array" ref="N782">IFERROR(_xlfn.XLOOKUP(C782&amp;A782, RYOE!A:A&amp;RYOE!F:F, RYOE!E:E), "N/A")</f>
        <v>N/A</v>
      </c>
    </row>
    <row r="783" spans="1:14" ht="15" customHeight="1" x14ac:dyDescent="0.45">
      <c r="A783" s="8">
        <v>2021</v>
      </c>
      <c r="B783" s="6" t="s">
        <v>308</v>
      </c>
      <c r="C783" s="2" t="str">
        <f t="shared" si="24"/>
        <v>Salvon Ahmed</v>
      </c>
      <c r="D783" s="2" t="str">
        <f t="shared" si="25"/>
        <v>MIA</v>
      </c>
      <c r="E783" s="2">
        <v>54</v>
      </c>
      <c r="F783" s="2">
        <v>149</v>
      </c>
      <c r="G783" s="2">
        <v>2.8</v>
      </c>
      <c r="H783" s="2">
        <v>0</v>
      </c>
      <c r="I783">
        <v>0</v>
      </c>
      <c r="J783">
        <v>11</v>
      </c>
      <c r="K783" cm="1">
        <f t="array" ref="K783">IFERROR(_xlfn.XLOOKUP(D783&amp;A783, RBWR!A:A&amp;RBWR!C:C, RBWR!B:B), "N/A")</f>
        <v>71</v>
      </c>
      <c r="L783" t="str" cm="1">
        <f t="array" ref="L783">IFERROR(_xlfn.XLOOKUP(C783&amp;A783, RYOE!A:A&amp;RYOE!F:F, RYOE!C:C), "N/A")</f>
        <v>N/A</v>
      </c>
      <c r="M783" t="str" cm="1">
        <f t="array" ref="M783">IFERROR(_xlfn.XLOOKUP(C783&amp;A783, RYOE!A:A&amp;RYOE!F:F, RYOE!D:D), "N/A")</f>
        <v>N/A</v>
      </c>
      <c r="N783" t="str" cm="1">
        <f t="array" ref="N783">IFERROR(_xlfn.XLOOKUP(C783&amp;A783, RYOE!A:A&amp;RYOE!F:F, RYOE!E:E), "N/A")</f>
        <v>N/A</v>
      </c>
    </row>
    <row r="784" spans="1:14" ht="15" customHeight="1" x14ac:dyDescent="0.45">
      <c r="A784" s="7">
        <v>2021</v>
      </c>
      <c r="B784" s="5" t="s">
        <v>487</v>
      </c>
      <c r="C784" s="1" t="str">
        <f t="shared" si="24"/>
        <v>JaMycal Hasty</v>
      </c>
      <c r="D784" s="1" t="str">
        <f t="shared" si="25"/>
        <v>SF</v>
      </c>
      <c r="E784" s="1">
        <v>16</v>
      </c>
      <c r="F784" s="1">
        <v>68</v>
      </c>
      <c r="G784" s="1">
        <v>4.3</v>
      </c>
      <c r="H784" s="1">
        <v>1</v>
      </c>
      <c r="I784">
        <v>1</v>
      </c>
      <c r="J784">
        <v>11</v>
      </c>
      <c r="K784" cm="1">
        <f t="array" ref="K784">IFERROR(_xlfn.XLOOKUP(D784&amp;A784, RBWR!A:A&amp;RBWR!C:C, RBWR!B:B), "N/A")</f>
        <v>70</v>
      </c>
      <c r="L784" t="str" cm="1">
        <f t="array" ref="L784">IFERROR(_xlfn.XLOOKUP(C784&amp;A784, RYOE!A:A&amp;RYOE!F:F, RYOE!C:C), "N/A")</f>
        <v>N/A</v>
      </c>
      <c r="M784" t="str" cm="1">
        <f t="array" ref="M784">IFERROR(_xlfn.XLOOKUP(C784&amp;A784, RYOE!A:A&amp;RYOE!F:F, RYOE!D:D), "N/A")</f>
        <v>N/A</v>
      </c>
      <c r="N784" t="str" cm="1">
        <f t="array" ref="N784">IFERROR(_xlfn.XLOOKUP(C784&amp;A784, RYOE!A:A&amp;RYOE!F:F, RYOE!E:E), "N/A")</f>
        <v>N/A</v>
      </c>
    </row>
    <row r="785" spans="1:14" ht="15" customHeight="1" x14ac:dyDescent="0.45">
      <c r="A785" s="8">
        <v>2021</v>
      </c>
      <c r="B785" s="6" t="s">
        <v>488</v>
      </c>
      <c r="C785" s="2" t="str">
        <f t="shared" si="24"/>
        <v>Trey Sermon</v>
      </c>
      <c r="D785" s="2" t="str">
        <f t="shared" si="25"/>
        <v>SF</v>
      </c>
      <c r="E785" s="2">
        <v>41</v>
      </c>
      <c r="F785" s="2">
        <v>167</v>
      </c>
      <c r="G785" s="2">
        <v>4.0999999999999996</v>
      </c>
      <c r="H785" s="2">
        <v>1</v>
      </c>
      <c r="I785">
        <v>0</v>
      </c>
      <c r="J785">
        <v>6</v>
      </c>
      <c r="K785" cm="1">
        <f t="array" ref="K785">IFERROR(_xlfn.XLOOKUP(D785&amp;A785, RBWR!A:A&amp;RBWR!C:C, RBWR!B:B), "N/A")</f>
        <v>70</v>
      </c>
      <c r="L785" t="str" cm="1">
        <f t="array" ref="L785">IFERROR(_xlfn.XLOOKUP(C785&amp;A785, RYOE!A:A&amp;RYOE!F:F, RYOE!C:C), "N/A")</f>
        <v>N/A</v>
      </c>
      <c r="M785" t="str" cm="1">
        <f t="array" ref="M785">IFERROR(_xlfn.XLOOKUP(C785&amp;A785, RYOE!A:A&amp;RYOE!F:F, RYOE!D:D), "N/A")</f>
        <v>N/A</v>
      </c>
      <c r="N785" t="str" cm="1">
        <f t="array" ref="N785">IFERROR(_xlfn.XLOOKUP(C785&amp;A785, RYOE!A:A&amp;RYOE!F:F, RYOE!E:E), "N/A")</f>
        <v>N/A</v>
      </c>
    </row>
    <row r="786" spans="1:14" ht="15" customHeight="1" x14ac:dyDescent="0.45">
      <c r="A786" s="7">
        <v>2021</v>
      </c>
      <c r="B786" s="5" t="s">
        <v>411</v>
      </c>
      <c r="C786" s="1" t="str">
        <f t="shared" si="24"/>
        <v>Royce Freeman</v>
      </c>
      <c r="D786" s="1" t="str">
        <f t="shared" si="25"/>
        <v>HOU</v>
      </c>
      <c r="E786" s="1">
        <v>56</v>
      </c>
      <c r="F786" s="1">
        <v>169</v>
      </c>
      <c r="G786" s="1">
        <v>3</v>
      </c>
      <c r="H786" s="1">
        <v>0</v>
      </c>
      <c r="I786">
        <v>0</v>
      </c>
      <c r="J786">
        <v>12</v>
      </c>
      <c r="K786" cm="1">
        <f t="array" ref="K786">IFERROR(_xlfn.XLOOKUP(D786&amp;A786, RBWR!A:A&amp;RBWR!C:C, RBWR!B:B), "N/A")</f>
        <v>65</v>
      </c>
      <c r="L786" t="str" cm="1">
        <f t="array" ref="L786">IFERROR(_xlfn.XLOOKUP(C786&amp;A786, RYOE!A:A&amp;RYOE!F:F, RYOE!C:C), "N/A")</f>
        <v>N/A</v>
      </c>
      <c r="M786" t="str" cm="1">
        <f t="array" ref="M786">IFERROR(_xlfn.XLOOKUP(C786&amp;A786, RYOE!A:A&amp;RYOE!F:F, RYOE!D:D), "N/A")</f>
        <v>N/A</v>
      </c>
      <c r="N786" t="str" cm="1">
        <f t="array" ref="N786">IFERROR(_xlfn.XLOOKUP(C786&amp;A786, RYOE!A:A&amp;RYOE!F:F, RYOE!E:E), "N/A")</f>
        <v>N/A</v>
      </c>
    </row>
    <row r="787" spans="1:14" ht="15" customHeight="1" x14ac:dyDescent="0.45">
      <c r="A787" s="8">
        <v>2021</v>
      </c>
      <c r="B787" s="6" t="s">
        <v>301</v>
      </c>
      <c r="C787" s="2" t="str">
        <f t="shared" si="24"/>
        <v>Jerick McKinnon</v>
      </c>
      <c r="D787" s="2" t="str">
        <f t="shared" si="25"/>
        <v>KC</v>
      </c>
      <c r="E787" s="2">
        <v>12</v>
      </c>
      <c r="F787" s="2">
        <v>62</v>
      </c>
      <c r="G787" s="2">
        <v>5.2</v>
      </c>
      <c r="H787" s="2">
        <v>0</v>
      </c>
      <c r="I787">
        <v>0</v>
      </c>
      <c r="J787">
        <v>9</v>
      </c>
      <c r="K787" cm="1">
        <f t="array" ref="K787">IFERROR(_xlfn.XLOOKUP(D787&amp;A787, RBWR!A:A&amp;RBWR!C:C, RBWR!B:B), "N/A")</f>
        <v>74</v>
      </c>
      <c r="L787" t="str" cm="1">
        <f t="array" ref="L787">IFERROR(_xlfn.XLOOKUP(C787&amp;A787, RYOE!A:A&amp;RYOE!F:F, RYOE!C:C), "N/A")</f>
        <v>N/A</v>
      </c>
      <c r="M787" t="str" cm="1">
        <f t="array" ref="M787">IFERROR(_xlfn.XLOOKUP(C787&amp;A787, RYOE!A:A&amp;RYOE!F:F, RYOE!D:D), "N/A")</f>
        <v>N/A</v>
      </c>
      <c r="N787" t="str" cm="1">
        <f t="array" ref="N787">IFERROR(_xlfn.XLOOKUP(C787&amp;A787, RYOE!A:A&amp;RYOE!F:F, RYOE!E:E), "N/A")</f>
        <v>N/A</v>
      </c>
    </row>
    <row r="788" spans="1:14" ht="15" customHeight="1" x14ac:dyDescent="0.45">
      <c r="A788" s="7">
        <v>2021</v>
      </c>
      <c r="B788" s="5" t="s">
        <v>489</v>
      </c>
      <c r="C788" s="1" t="str">
        <f t="shared" si="24"/>
        <v>Corey Clement</v>
      </c>
      <c r="D788" s="1" t="str">
        <f t="shared" si="25"/>
        <v>DAL</v>
      </c>
      <c r="E788" s="1">
        <v>33</v>
      </c>
      <c r="F788" s="1">
        <v>140</v>
      </c>
      <c r="G788" s="1">
        <v>4.2</v>
      </c>
      <c r="H788" s="1">
        <v>0</v>
      </c>
      <c r="I788">
        <v>0</v>
      </c>
      <c r="J788">
        <v>11</v>
      </c>
      <c r="K788" cm="1">
        <f t="array" ref="K788">IFERROR(_xlfn.XLOOKUP(D788&amp;A788, RBWR!A:A&amp;RBWR!C:C, RBWR!B:B), "N/A")</f>
        <v>73</v>
      </c>
      <c r="L788" t="str" cm="1">
        <f t="array" ref="L788">IFERROR(_xlfn.XLOOKUP(C788&amp;A788, RYOE!A:A&amp;RYOE!F:F, RYOE!C:C), "N/A")</f>
        <v>N/A</v>
      </c>
      <c r="M788" t="str" cm="1">
        <f t="array" ref="M788">IFERROR(_xlfn.XLOOKUP(C788&amp;A788, RYOE!A:A&amp;RYOE!F:F, RYOE!D:D), "N/A")</f>
        <v>N/A</v>
      </c>
      <c r="N788" t="str" cm="1">
        <f t="array" ref="N788">IFERROR(_xlfn.XLOOKUP(C788&amp;A788, RYOE!A:A&amp;RYOE!F:F, RYOE!E:E), "N/A")</f>
        <v>N/A</v>
      </c>
    </row>
    <row r="789" spans="1:14" ht="15" customHeight="1" x14ac:dyDescent="0.45">
      <c r="A789" s="8">
        <v>2021</v>
      </c>
      <c r="B789" s="6" t="s">
        <v>490</v>
      </c>
      <c r="C789" s="2" t="str">
        <f t="shared" si="24"/>
        <v>Adrian Peterson</v>
      </c>
      <c r="D789" s="2" t="str">
        <f t="shared" si="25"/>
        <v>SEA</v>
      </c>
      <c r="E789" s="2">
        <v>38</v>
      </c>
      <c r="F789" s="2">
        <v>98</v>
      </c>
      <c r="G789" s="2">
        <v>2.6</v>
      </c>
      <c r="H789" s="2">
        <v>2</v>
      </c>
      <c r="I789">
        <v>0</v>
      </c>
      <c r="J789">
        <v>4</v>
      </c>
      <c r="K789" cm="1">
        <f t="array" ref="K789">IFERROR(_xlfn.XLOOKUP(D789&amp;A789, RBWR!A:A&amp;RBWR!C:C, RBWR!B:B), "N/A")</f>
        <v>68</v>
      </c>
      <c r="L789" t="str" cm="1">
        <f t="array" ref="L789">IFERROR(_xlfn.XLOOKUP(C789&amp;A789, RYOE!A:A&amp;RYOE!F:F, RYOE!C:C), "N/A")</f>
        <v>N/A</v>
      </c>
      <c r="M789" t="str" cm="1">
        <f t="array" ref="M789">IFERROR(_xlfn.XLOOKUP(C789&amp;A789, RYOE!A:A&amp;RYOE!F:F, RYOE!D:D), "N/A")</f>
        <v>N/A</v>
      </c>
      <c r="N789" t="str" cm="1">
        <f t="array" ref="N789">IFERROR(_xlfn.XLOOKUP(C789&amp;A789, RYOE!A:A&amp;RYOE!F:F, RYOE!E:E), "N/A")</f>
        <v>N/A</v>
      </c>
    </row>
    <row r="790" spans="1:14" ht="15" customHeight="1" x14ac:dyDescent="0.45">
      <c r="A790" s="7">
        <v>2021</v>
      </c>
      <c r="B790" s="5" t="s">
        <v>491</v>
      </c>
      <c r="C790" s="1" t="str">
        <f t="shared" si="24"/>
        <v>Eno Benjamin</v>
      </c>
      <c r="D790" s="1" t="str">
        <f t="shared" si="25"/>
        <v>ARI</v>
      </c>
      <c r="E790" s="1">
        <v>34</v>
      </c>
      <c r="F790" s="1">
        <v>118</v>
      </c>
      <c r="G790" s="1">
        <v>3.5</v>
      </c>
      <c r="H790" s="1">
        <v>1</v>
      </c>
      <c r="I790">
        <v>0</v>
      </c>
      <c r="J790">
        <v>8</v>
      </c>
      <c r="K790" cm="1">
        <f t="array" ref="K790">IFERROR(_xlfn.XLOOKUP(D790&amp;A790, RBWR!A:A&amp;RBWR!C:C, RBWR!B:B), "N/A")</f>
        <v>70</v>
      </c>
      <c r="L790" t="str" cm="1">
        <f t="array" ref="L790">IFERROR(_xlfn.XLOOKUP(C790&amp;A790, RYOE!A:A&amp;RYOE!F:F, RYOE!C:C), "N/A")</f>
        <v>N/A</v>
      </c>
      <c r="M790" t="str" cm="1">
        <f t="array" ref="M790">IFERROR(_xlfn.XLOOKUP(C790&amp;A790, RYOE!A:A&amp;RYOE!F:F, RYOE!D:D), "N/A")</f>
        <v>N/A</v>
      </c>
      <c r="N790" t="str" cm="1">
        <f t="array" ref="N790">IFERROR(_xlfn.XLOOKUP(C790&amp;A790, RYOE!A:A&amp;RYOE!F:F, RYOE!E:E), "N/A")</f>
        <v>N/A</v>
      </c>
    </row>
    <row r="791" spans="1:14" ht="15" customHeight="1" x14ac:dyDescent="0.45">
      <c r="A791" s="8">
        <v>2021</v>
      </c>
      <c r="B791" s="6" t="s">
        <v>249</v>
      </c>
      <c r="C791" s="2" t="str">
        <f t="shared" si="24"/>
        <v>Jermar Jefferson</v>
      </c>
      <c r="D791" s="2" t="str">
        <f t="shared" si="25"/>
        <v>DET</v>
      </c>
      <c r="E791" s="2">
        <v>15</v>
      </c>
      <c r="F791" s="2">
        <v>74</v>
      </c>
      <c r="G791" s="2">
        <v>4.9000000000000004</v>
      </c>
      <c r="H791" s="2">
        <v>2</v>
      </c>
      <c r="I791">
        <v>0</v>
      </c>
      <c r="J791">
        <v>5</v>
      </c>
      <c r="K791" cm="1">
        <f t="array" ref="K791">IFERROR(_xlfn.XLOOKUP(D791&amp;A791, RBWR!A:A&amp;RBWR!C:C, RBWR!B:B), "N/A")</f>
        <v>70</v>
      </c>
      <c r="L791" t="str" cm="1">
        <f t="array" ref="L791">IFERROR(_xlfn.XLOOKUP(C791&amp;A791, RYOE!A:A&amp;RYOE!F:F, RYOE!C:C), "N/A")</f>
        <v>N/A</v>
      </c>
      <c r="M791" t="str" cm="1">
        <f t="array" ref="M791">IFERROR(_xlfn.XLOOKUP(C791&amp;A791, RYOE!A:A&amp;RYOE!F:F, RYOE!D:D), "N/A")</f>
        <v>N/A</v>
      </c>
      <c r="N791" t="str" cm="1">
        <f t="array" ref="N791">IFERROR(_xlfn.XLOOKUP(C791&amp;A791, RYOE!A:A&amp;RYOE!F:F, RYOE!E:E), "N/A")</f>
        <v>N/A</v>
      </c>
    </row>
    <row r="792" spans="1:14" ht="15" customHeight="1" x14ac:dyDescent="0.45">
      <c r="A792" s="7">
        <v>2021</v>
      </c>
      <c r="B792" s="5" t="s">
        <v>492</v>
      </c>
      <c r="C792" s="1" t="str">
        <f t="shared" si="24"/>
        <v>Godwin Igwebuike</v>
      </c>
      <c r="D792" s="1" t="str">
        <f t="shared" si="25"/>
        <v>DET</v>
      </c>
      <c r="E792" s="1">
        <v>18</v>
      </c>
      <c r="F792" s="1">
        <v>118</v>
      </c>
      <c r="G792" s="1">
        <v>6.6</v>
      </c>
      <c r="H792" s="1">
        <v>1</v>
      </c>
      <c r="I792">
        <v>2</v>
      </c>
      <c r="J792">
        <v>15</v>
      </c>
      <c r="K792" cm="1">
        <f t="array" ref="K792">IFERROR(_xlfn.XLOOKUP(D792&amp;A792, RBWR!A:A&amp;RBWR!C:C, RBWR!B:B), "N/A")</f>
        <v>70</v>
      </c>
      <c r="L792" t="str" cm="1">
        <f t="array" ref="L792">IFERROR(_xlfn.XLOOKUP(C792&amp;A792, RYOE!A:A&amp;RYOE!F:F, RYOE!C:C), "N/A")</f>
        <v>N/A</v>
      </c>
      <c r="M792" t="str" cm="1">
        <f t="array" ref="M792">IFERROR(_xlfn.XLOOKUP(C792&amp;A792, RYOE!A:A&amp;RYOE!F:F, RYOE!D:D), "N/A")</f>
        <v>N/A</v>
      </c>
      <c r="N792" t="str" cm="1">
        <f t="array" ref="N792">IFERROR(_xlfn.XLOOKUP(C792&amp;A792, RYOE!A:A&amp;RYOE!F:F, RYOE!E:E), "N/A")</f>
        <v>N/A</v>
      </c>
    </row>
    <row r="793" spans="1:14" ht="15" customHeight="1" x14ac:dyDescent="0.45">
      <c r="A793" s="8">
        <v>2021</v>
      </c>
      <c r="B793" s="6" t="s">
        <v>493</v>
      </c>
      <c r="C793" s="2" t="str">
        <f t="shared" si="24"/>
        <v>Malcolm Brown</v>
      </c>
      <c r="D793" s="2" t="str">
        <f t="shared" si="25"/>
        <v>MIA</v>
      </c>
      <c r="E793" s="2">
        <v>33</v>
      </c>
      <c r="F793" s="2">
        <v>125</v>
      </c>
      <c r="G793" s="2">
        <v>3.8</v>
      </c>
      <c r="H793" s="2">
        <v>1</v>
      </c>
      <c r="I793">
        <v>0</v>
      </c>
      <c r="J793">
        <v>6</v>
      </c>
      <c r="K793" cm="1">
        <f t="array" ref="K793">IFERROR(_xlfn.XLOOKUP(D793&amp;A793, RBWR!A:A&amp;RBWR!C:C, RBWR!B:B), "N/A")</f>
        <v>71</v>
      </c>
      <c r="L793" t="str" cm="1">
        <f t="array" ref="L793">IFERROR(_xlfn.XLOOKUP(C793&amp;A793, RYOE!A:A&amp;RYOE!F:F, RYOE!C:C), "N/A")</f>
        <v>N/A</v>
      </c>
      <c r="M793" t="str" cm="1">
        <f t="array" ref="M793">IFERROR(_xlfn.XLOOKUP(C793&amp;A793, RYOE!A:A&amp;RYOE!F:F, RYOE!D:D), "N/A")</f>
        <v>N/A</v>
      </c>
      <c r="N793" t="str" cm="1">
        <f t="array" ref="N793">IFERROR(_xlfn.XLOOKUP(C793&amp;A793, RYOE!A:A&amp;RYOE!F:F, RYOE!E:E), "N/A")</f>
        <v>N/A</v>
      </c>
    </row>
    <row r="794" spans="1:14" ht="15" customHeight="1" x14ac:dyDescent="0.45">
      <c r="A794" s="7">
        <v>2021</v>
      </c>
      <c r="B794" s="5" t="s">
        <v>494</v>
      </c>
      <c r="C794" s="1" t="str">
        <f t="shared" si="24"/>
        <v>James White</v>
      </c>
      <c r="D794" s="1" t="str">
        <f t="shared" si="25"/>
        <v>NE</v>
      </c>
      <c r="E794" s="1">
        <v>10</v>
      </c>
      <c r="F794" s="1">
        <v>38</v>
      </c>
      <c r="G794" s="1">
        <v>3.8</v>
      </c>
      <c r="H794" s="1">
        <v>1</v>
      </c>
      <c r="I794">
        <v>0</v>
      </c>
      <c r="J794">
        <v>3</v>
      </c>
      <c r="K794" cm="1">
        <f t="array" ref="K794">IFERROR(_xlfn.XLOOKUP(D794&amp;A794, RBWR!A:A&amp;RBWR!C:C, RBWR!B:B), "N/A")</f>
        <v>70</v>
      </c>
      <c r="L794" t="str" cm="1">
        <f t="array" ref="L794">IFERROR(_xlfn.XLOOKUP(C794&amp;A794, RYOE!A:A&amp;RYOE!F:F, RYOE!C:C), "N/A")</f>
        <v>N/A</v>
      </c>
      <c r="M794" t="str" cm="1">
        <f t="array" ref="M794">IFERROR(_xlfn.XLOOKUP(C794&amp;A794, RYOE!A:A&amp;RYOE!F:F, RYOE!D:D), "N/A")</f>
        <v>N/A</v>
      </c>
      <c r="N794" t="str" cm="1">
        <f t="array" ref="N794">IFERROR(_xlfn.XLOOKUP(C794&amp;A794, RYOE!A:A&amp;RYOE!F:F, RYOE!E:E), "N/A")</f>
        <v>N/A</v>
      </c>
    </row>
    <row r="795" spans="1:14" ht="15" customHeight="1" x14ac:dyDescent="0.45">
      <c r="A795" s="8">
        <v>2021</v>
      </c>
      <c r="B795" s="6" t="s">
        <v>343</v>
      </c>
      <c r="C795" s="2" t="str">
        <f t="shared" si="24"/>
        <v>Kene Nwangwu</v>
      </c>
      <c r="D795" s="2" t="str">
        <f t="shared" si="25"/>
        <v>MIN</v>
      </c>
      <c r="E795" s="2">
        <v>13</v>
      </c>
      <c r="F795" s="2">
        <v>61</v>
      </c>
      <c r="G795" s="2">
        <v>4.7</v>
      </c>
      <c r="H795" s="2">
        <v>0</v>
      </c>
      <c r="I795">
        <v>0</v>
      </c>
      <c r="J795">
        <v>9</v>
      </c>
      <c r="K795" cm="1">
        <f t="array" ref="K795">IFERROR(_xlfn.XLOOKUP(D795&amp;A795, RBWR!A:A&amp;RBWR!C:C, RBWR!B:B), "N/A")</f>
        <v>71</v>
      </c>
      <c r="L795" t="str" cm="1">
        <f t="array" ref="L795">IFERROR(_xlfn.XLOOKUP(C795&amp;A795, RYOE!A:A&amp;RYOE!F:F, RYOE!C:C), "N/A")</f>
        <v>N/A</v>
      </c>
      <c r="M795" t="str" cm="1">
        <f t="array" ref="M795">IFERROR(_xlfn.XLOOKUP(C795&amp;A795, RYOE!A:A&amp;RYOE!F:F, RYOE!D:D), "N/A")</f>
        <v>N/A</v>
      </c>
      <c r="N795" t="str" cm="1">
        <f t="array" ref="N795">IFERROR(_xlfn.XLOOKUP(C795&amp;A795, RYOE!A:A&amp;RYOE!F:F, RYOE!E:E), "N/A")</f>
        <v>N/A</v>
      </c>
    </row>
    <row r="796" spans="1:14" ht="15" customHeight="1" x14ac:dyDescent="0.45">
      <c r="A796" s="7">
        <v>2021</v>
      </c>
      <c r="B796" s="5" t="s">
        <v>495</v>
      </c>
      <c r="C796" s="1" t="str">
        <f t="shared" si="24"/>
        <v>Tony Jones Jr.</v>
      </c>
      <c r="D796" s="1" t="str">
        <f t="shared" si="25"/>
        <v>NO</v>
      </c>
      <c r="E796" s="1">
        <v>54</v>
      </c>
      <c r="F796" s="1">
        <v>142</v>
      </c>
      <c r="G796" s="1">
        <v>2.6</v>
      </c>
      <c r="H796" s="1">
        <v>0</v>
      </c>
      <c r="I796">
        <v>0</v>
      </c>
      <c r="J796">
        <v>10</v>
      </c>
      <c r="K796" cm="1">
        <f t="array" ref="K796">IFERROR(_xlfn.XLOOKUP(D796&amp;A796, RBWR!A:A&amp;RBWR!C:C, RBWR!B:B), "N/A")</f>
        <v>69</v>
      </c>
      <c r="L796" t="str" cm="1">
        <f t="array" ref="L796">IFERROR(_xlfn.XLOOKUP(C796&amp;A796, RYOE!A:A&amp;RYOE!F:F, RYOE!C:C), "N/A")</f>
        <v>N/A</v>
      </c>
      <c r="M796" t="str" cm="1">
        <f t="array" ref="M796">IFERROR(_xlfn.XLOOKUP(C796&amp;A796, RYOE!A:A&amp;RYOE!F:F, RYOE!D:D), "N/A")</f>
        <v>N/A</v>
      </c>
      <c r="N796" t="str" cm="1">
        <f t="array" ref="N796">IFERROR(_xlfn.XLOOKUP(C796&amp;A796, RYOE!A:A&amp;RYOE!F:F, RYOE!E:E), "N/A")</f>
        <v>N/A</v>
      </c>
    </row>
    <row r="797" spans="1:14" ht="15" customHeight="1" x14ac:dyDescent="0.45">
      <c r="A797" s="8">
        <v>2021</v>
      </c>
      <c r="B797" s="6" t="s">
        <v>496</v>
      </c>
      <c r="C797" s="2" t="str">
        <f t="shared" si="24"/>
        <v>Austin Walter</v>
      </c>
      <c r="D797" s="2" t="str">
        <f t="shared" si="25"/>
        <v>NYJ</v>
      </c>
      <c r="E797" s="2">
        <v>26</v>
      </c>
      <c r="F797" s="2">
        <v>101</v>
      </c>
      <c r="G797" s="2">
        <v>3.9</v>
      </c>
      <c r="H797" s="2">
        <v>1</v>
      </c>
      <c r="I797">
        <v>0</v>
      </c>
      <c r="J797">
        <v>4</v>
      </c>
      <c r="K797" cm="1">
        <f t="array" ref="K797">IFERROR(_xlfn.XLOOKUP(D797&amp;A797, RBWR!A:A&amp;RBWR!C:C, RBWR!B:B), "N/A")</f>
        <v>68</v>
      </c>
      <c r="L797" t="str" cm="1">
        <f t="array" ref="L797">IFERROR(_xlfn.XLOOKUP(C797&amp;A797, RYOE!A:A&amp;RYOE!F:F, RYOE!C:C), "N/A")</f>
        <v>N/A</v>
      </c>
      <c r="M797" t="str" cm="1">
        <f t="array" ref="M797">IFERROR(_xlfn.XLOOKUP(C797&amp;A797, RYOE!A:A&amp;RYOE!F:F, RYOE!D:D), "N/A")</f>
        <v>N/A</v>
      </c>
      <c r="N797" t="str" cm="1">
        <f t="array" ref="N797">IFERROR(_xlfn.XLOOKUP(C797&amp;A797, RYOE!A:A&amp;RYOE!F:F, RYOE!E:E), "N/A")</f>
        <v>N/A</v>
      </c>
    </row>
    <row r="798" spans="1:14" ht="15" customHeight="1" x14ac:dyDescent="0.45">
      <c r="A798" s="7">
        <v>2021</v>
      </c>
      <c r="B798" s="5" t="s">
        <v>368</v>
      </c>
      <c r="C798" s="1" t="str">
        <f t="shared" si="24"/>
        <v>Jonathan Williams</v>
      </c>
      <c r="D798" s="1" t="str">
        <f t="shared" si="25"/>
        <v>WAS</v>
      </c>
      <c r="E798" s="1">
        <v>17</v>
      </c>
      <c r="F798" s="1">
        <v>79</v>
      </c>
      <c r="G798" s="1">
        <v>4.5999999999999996</v>
      </c>
      <c r="H798" s="1">
        <v>1</v>
      </c>
      <c r="I798">
        <v>0</v>
      </c>
      <c r="J798">
        <v>5</v>
      </c>
      <c r="K798" cm="1">
        <f t="array" ref="K798">IFERROR(_xlfn.XLOOKUP(D798&amp;A798, RBWR!A:A&amp;RBWR!C:C, RBWR!B:B), "N/A")</f>
        <v>75</v>
      </c>
      <c r="L798" t="str" cm="1">
        <f t="array" ref="L798">IFERROR(_xlfn.XLOOKUP(C798&amp;A798, RYOE!A:A&amp;RYOE!F:F, RYOE!C:C), "N/A")</f>
        <v>N/A</v>
      </c>
      <c r="M798" t="str" cm="1">
        <f t="array" ref="M798">IFERROR(_xlfn.XLOOKUP(C798&amp;A798, RYOE!A:A&amp;RYOE!F:F, RYOE!D:D), "N/A")</f>
        <v>N/A</v>
      </c>
      <c r="N798" t="str" cm="1">
        <f t="array" ref="N798">IFERROR(_xlfn.XLOOKUP(C798&amp;A798, RYOE!A:A&amp;RYOE!F:F, RYOE!E:E), "N/A")</f>
        <v>N/A</v>
      </c>
    </row>
    <row r="799" spans="1:14" ht="15" customHeight="1" x14ac:dyDescent="0.45">
      <c r="A799" s="8">
        <v>2021</v>
      </c>
      <c r="B799" s="6" t="s">
        <v>168</v>
      </c>
      <c r="C799" s="2" t="str">
        <f t="shared" si="24"/>
        <v>C.J. Ham</v>
      </c>
      <c r="D799" s="2" t="str">
        <f t="shared" si="25"/>
        <v>MIN</v>
      </c>
      <c r="E799" s="2">
        <v>7</v>
      </c>
      <c r="F799" s="2">
        <v>34</v>
      </c>
      <c r="G799" s="2">
        <v>4.9000000000000004</v>
      </c>
      <c r="H799" s="2">
        <v>0</v>
      </c>
      <c r="I799">
        <v>0</v>
      </c>
      <c r="J799">
        <v>15</v>
      </c>
      <c r="K799" cm="1">
        <f t="array" ref="K799">IFERROR(_xlfn.XLOOKUP(D799&amp;A799, RBWR!A:A&amp;RBWR!C:C, RBWR!B:B), "N/A")</f>
        <v>71</v>
      </c>
      <c r="L799" t="str" cm="1">
        <f t="array" ref="L799">IFERROR(_xlfn.XLOOKUP(C799&amp;A799, RYOE!A:A&amp;RYOE!F:F, RYOE!C:C), "N/A")</f>
        <v>N/A</v>
      </c>
      <c r="M799" t="str" cm="1">
        <f t="array" ref="M799">IFERROR(_xlfn.XLOOKUP(C799&amp;A799, RYOE!A:A&amp;RYOE!F:F, RYOE!D:D), "N/A")</f>
        <v>N/A</v>
      </c>
      <c r="N799" t="str" cm="1">
        <f t="array" ref="N799">IFERROR(_xlfn.XLOOKUP(C799&amp;A799, RYOE!A:A&amp;RYOE!F:F, RYOE!E:E), "N/A")</f>
        <v>N/A</v>
      </c>
    </row>
    <row r="800" spans="1:14" ht="15" customHeight="1" x14ac:dyDescent="0.45">
      <c r="A800" s="7">
        <v>2021</v>
      </c>
      <c r="B800" s="5" t="s">
        <v>497</v>
      </c>
      <c r="C800" s="1" t="str">
        <f t="shared" si="24"/>
        <v>Qadree Ollison</v>
      </c>
      <c r="D800" s="1" t="str">
        <f t="shared" si="25"/>
        <v>ATL</v>
      </c>
      <c r="E800" s="1">
        <v>21</v>
      </c>
      <c r="F800" s="1">
        <v>105</v>
      </c>
      <c r="G800" s="1">
        <v>5</v>
      </c>
      <c r="H800" s="1">
        <v>1</v>
      </c>
      <c r="I800">
        <v>1</v>
      </c>
      <c r="J800">
        <v>6</v>
      </c>
      <c r="K800" cm="1">
        <f t="array" ref="K800">IFERROR(_xlfn.XLOOKUP(D800&amp;A800, RBWR!A:A&amp;RBWR!C:C, RBWR!B:B), "N/A")</f>
        <v>67</v>
      </c>
      <c r="L800" t="str" cm="1">
        <f t="array" ref="L800">IFERROR(_xlfn.XLOOKUP(C800&amp;A800, RYOE!A:A&amp;RYOE!F:F, RYOE!C:C), "N/A")</f>
        <v>N/A</v>
      </c>
      <c r="M800" t="str" cm="1">
        <f t="array" ref="M800">IFERROR(_xlfn.XLOOKUP(C800&amp;A800, RYOE!A:A&amp;RYOE!F:F, RYOE!D:D), "N/A")</f>
        <v>N/A</v>
      </c>
      <c r="N800" t="str" cm="1">
        <f t="array" ref="N800">IFERROR(_xlfn.XLOOKUP(C800&amp;A800, RYOE!A:A&amp;RYOE!F:F, RYOE!E:E), "N/A")</f>
        <v>N/A</v>
      </c>
    </row>
    <row r="801" spans="1:14" ht="15" customHeight="1" x14ac:dyDescent="0.45">
      <c r="A801" s="8">
        <v>2021</v>
      </c>
      <c r="B801" s="6" t="s">
        <v>312</v>
      </c>
      <c r="C801" s="2" t="str">
        <f t="shared" si="24"/>
        <v>Patrick Taylor Jr.</v>
      </c>
      <c r="D801" s="2" t="str">
        <f t="shared" si="25"/>
        <v>GB</v>
      </c>
      <c r="E801" s="2">
        <v>23</v>
      </c>
      <c r="F801" s="2">
        <v>89</v>
      </c>
      <c r="G801" s="2">
        <v>3.9</v>
      </c>
      <c r="H801" s="2">
        <v>1</v>
      </c>
      <c r="I801">
        <v>0</v>
      </c>
      <c r="J801">
        <v>5</v>
      </c>
      <c r="K801" cm="1">
        <f t="array" ref="K801">IFERROR(_xlfn.XLOOKUP(D801&amp;A801, RBWR!A:A&amp;RBWR!C:C, RBWR!B:B), "N/A")</f>
        <v>73</v>
      </c>
      <c r="L801" t="str" cm="1">
        <f t="array" ref="L801">IFERROR(_xlfn.XLOOKUP(C801&amp;A801, RYOE!A:A&amp;RYOE!F:F, RYOE!C:C), "N/A")</f>
        <v>N/A</v>
      </c>
      <c r="M801" t="str" cm="1">
        <f t="array" ref="M801">IFERROR(_xlfn.XLOOKUP(C801&amp;A801, RYOE!A:A&amp;RYOE!F:F, RYOE!D:D), "N/A")</f>
        <v>N/A</v>
      </c>
      <c r="N801" t="str" cm="1">
        <f t="array" ref="N801">IFERROR(_xlfn.XLOOKUP(C801&amp;A801, RYOE!A:A&amp;RYOE!F:F, RYOE!E:E), "N/A")</f>
        <v>N/A</v>
      </c>
    </row>
    <row r="802" spans="1:14" ht="15" customHeight="1" x14ac:dyDescent="0.45">
      <c r="A802" s="7">
        <v>2021</v>
      </c>
      <c r="B802" s="5" t="s">
        <v>498</v>
      </c>
      <c r="C802" s="1" t="str">
        <f t="shared" si="24"/>
        <v>Alec Ingold</v>
      </c>
      <c r="D802" s="1" t="str">
        <f t="shared" si="25"/>
        <v>LV</v>
      </c>
      <c r="E802" s="1">
        <v>2</v>
      </c>
      <c r="F802" s="1">
        <v>1</v>
      </c>
      <c r="G802" s="1">
        <v>0.5</v>
      </c>
      <c r="H802" s="1">
        <v>0</v>
      </c>
      <c r="I802">
        <v>0</v>
      </c>
      <c r="J802">
        <v>7</v>
      </c>
      <c r="K802" cm="1">
        <f t="array" ref="K802">IFERROR(_xlfn.XLOOKUP(D802&amp;A802, RBWR!A:A&amp;RBWR!C:C, RBWR!B:B), "N/A")</f>
        <v>67</v>
      </c>
      <c r="L802" t="str" cm="1">
        <f t="array" ref="L802">IFERROR(_xlfn.XLOOKUP(C802&amp;A802, RYOE!A:A&amp;RYOE!F:F, RYOE!C:C), "N/A")</f>
        <v>N/A</v>
      </c>
      <c r="M802" t="str" cm="1">
        <f t="array" ref="M802">IFERROR(_xlfn.XLOOKUP(C802&amp;A802, RYOE!A:A&amp;RYOE!F:F, RYOE!D:D), "N/A")</f>
        <v>N/A</v>
      </c>
      <c r="N802" t="str" cm="1">
        <f t="array" ref="N802">IFERROR(_xlfn.XLOOKUP(C802&amp;A802, RYOE!A:A&amp;RYOE!F:F, RYOE!E:E), "N/A")</f>
        <v>N/A</v>
      </c>
    </row>
    <row r="803" spans="1:14" ht="15" customHeight="1" x14ac:dyDescent="0.45">
      <c r="A803" s="8">
        <v>2021</v>
      </c>
      <c r="B803" s="6" t="s">
        <v>422</v>
      </c>
      <c r="C803" s="2" t="str">
        <f t="shared" si="24"/>
        <v>Larry Rountree III</v>
      </c>
      <c r="D803" s="2" t="str">
        <f t="shared" si="25"/>
        <v>LAC</v>
      </c>
      <c r="E803" s="2">
        <v>36</v>
      </c>
      <c r="F803" s="2">
        <v>87</v>
      </c>
      <c r="G803" s="2">
        <v>2.4</v>
      </c>
      <c r="H803" s="2">
        <v>1</v>
      </c>
      <c r="I803">
        <v>0</v>
      </c>
      <c r="J803">
        <v>10</v>
      </c>
      <c r="K803" cm="1">
        <f t="array" ref="K803">IFERROR(_xlfn.XLOOKUP(D803&amp;A803, RBWR!A:A&amp;RBWR!C:C, RBWR!B:B), "N/A")</f>
        <v>70</v>
      </c>
      <c r="L803" t="str" cm="1">
        <f t="array" ref="L803">IFERROR(_xlfn.XLOOKUP(C803&amp;A803, RYOE!A:A&amp;RYOE!F:F, RYOE!C:C), "N/A")</f>
        <v>N/A</v>
      </c>
      <c r="M803" t="str" cm="1">
        <f t="array" ref="M803">IFERROR(_xlfn.XLOOKUP(C803&amp;A803, RYOE!A:A&amp;RYOE!F:F, RYOE!D:D), "N/A")</f>
        <v>N/A</v>
      </c>
      <c r="N803" t="str" cm="1">
        <f t="array" ref="N803">IFERROR(_xlfn.XLOOKUP(C803&amp;A803, RYOE!A:A&amp;RYOE!F:F, RYOE!E:E), "N/A")</f>
        <v>N/A</v>
      </c>
    </row>
    <row r="804" spans="1:14" ht="15" customHeight="1" x14ac:dyDescent="0.45">
      <c r="A804" s="7">
        <v>2021</v>
      </c>
      <c r="B804" s="5" t="s">
        <v>428</v>
      </c>
      <c r="C804" s="1" t="str">
        <f t="shared" si="24"/>
        <v>J.J. Taylor</v>
      </c>
      <c r="D804" s="1" t="str">
        <f t="shared" si="25"/>
        <v>NE</v>
      </c>
      <c r="E804" s="1">
        <v>19</v>
      </c>
      <c r="F804" s="1">
        <v>37</v>
      </c>
      <c r="G804" s="1">
        <v>1.9</v>
      </c>
      <c r="H804" s="1">
        <v>2</v>
      </c>
      <c r="I804">
        <v>1</v>
      </c>
      <c r="J804">
        <v>5</v>
      </c>
      <c r="K804" cm="1">
        <f t="array" ref="K804">IFERROR(_xlfn.XLOOKUP(D804&amp;A804, RBWR!A:A&amp;RBWR!C:C, RBWR!B:B), "N/A")</f>
        <v>70</v>
      </c>
      <c r="L804" t="str" cm="1">
        <f t="array" ref="L804">IFERROR(_xlfn.XLOOKUP(C804&amp;A804, RYOE!A:A&amp;RYOE!F:F, RYOE!C:C), "N/A")</f>
        <v>N/A</v>
      </c>
      <c r="M804" t="str" cm="1">
        <f t="array" ref="M804">IFERROR(_xlfn.XLOOKUP(C804&amp;A804, RYOE!A:A&amp;RYOE!F:F, RYOE!D:D), "N/A")</f>
        <v>N/A</v>
      </c>
      <c r="N804" t="str" cm="1">
        <f t="array" ref="N804">IFERROR(_xlfn.XLOOKUP(C804&amp;A804, RYOE!A:A&amp;RYOE!F:F, RYOE!E:E), "N/A")</f>
        <v>N/A</v>
      </c>
    </row>
    <row r="805" spans="1:14" ht="15" customHeight="1" x14ac:dyDescent="0.45">
      <c r="A805" s="8">
        <v>2021</v>
      </c>
      <c r="B805" s="6" t="s">
        <v>499</v>
      </c>
      <c r="C805" s="2" t="str">
        <f t="shared" si="24"/>
        <v>Ty Montgomery II</v>
      </c>
      <c r="D805" s="2" t="str">
        <f t="shared" si="25"/>
        <v>NO</v>
      </c>
      <c r="E805" s="2">
        <v>15</v>
      </c>
      <c r="F805" s="2">
        <v>44</v>
      </c>
      <c r="G805" s="2">
        <v>2.9</v>
      </c>
      <c r="H805" s="2">
        <v>0</v>
      </c>
      <c r="I805">
        <v>0</v>
      </c>
      <c r="J805">
        <v>14</v>
      </c>
      <c r="K805" cm="1">
        <f t="array" ref="K805">IFERROR(_xlfn.XLOOKUP(D805&amp;A805, RBWR!A:A&amp;RBWR!C:C, RBWR!B:B), "N/A")</f>
        <v>69</v>
      </c>
      <c r="L805" t="str" cm="1">
        <f t="array" ref="L805">IFERROR(_xlfn.XLOOKUP(C805&amp;A805, RYOE!A:A&amp;RYOE!F:F, RYOE!C:C), "N/A")</f>
        <v>N/A</v>
      </c>
      <c r="M805" t="str" cm="1">
        <f t="array" ref="M805">IFERROR(_xlfn.XLOOKUP(C805&amp;A805, RYOE!A:A&amp;RYOE!F:F, RYOE!D:D), "N/A")</f>
        <v>N/A</v>
      </c>
      <c r="N805" t="str" cm="1">
        <f t="array" ref="N805">IFERROR(_xlfn.XLOOKUP(C805&amp;A805, RYOE!A:A&amp;RYOE!F:F, RYOE!E:E), "N/A")</f>
        <v>N/A</v>
      </c>
    </row>
    <row r="806" spans="1:14" ht="15" customHeight="1" x14ac:dyDescent="0.45">
      <c r="A806" s="7">
        <v>2021</v>
      </c>
      <c r="B806" s="5" t="s">
        <v>173</v>
      </c>
      <c r="C806" s="1" t="str">
        <f t="shared" si="24"/>
        <v>Patrick Ricard</v>
      </c>
      <c r="D806" s="1" t="str">
        <f t="shared" si="25"/>
        <v>BAL</v>
      </c>
      <c r="E806" s="1">
        <v>2</v>
      </c>
      <c r="F806" s="1">
        <v>4</v>
      </c>
      <c r="G806" s="1">
        <v>2</v>
      </c>
      <c r="H806" s="1">
        <v>0</v>
      </c>
      <c r="I806">
        <v>0</v>
      </c>
      <c r="J806">
        <v>8</v>
      </c>
      <c r="K806" cm="1">
        <f t="array" ref="K806">IFERROR(_xlfn.XLOOKUP(D806&amp;A806, RBWR!A:A&amp;RBWR!C:C, RBWR!B:B), "N/A")</f>
        <v>73</v>
      </c>
      <c r="L806" t="str" cm="1">
        <f t="array" ref="L806">IFERROR(_xlfn.XLOOKUP(C806&amp;A806, RYOE!A:A&amp;RYOE!F:F, RYOE!C:C), "N/A")</f>
        <v>N/A</v>
      </c>
      <c r="M806" t="str" cm="1">
        <f t="array" ref="M806">IFERROR(_xlfn.XLOOKUP(C806&amp;A806, RYOE!A:A&amp;RYOE!F:F, RYOE!D:D), "N/A")</f>
        <v>N/A</v>
      </c>
      <c r="N806" t="str" cm="1">
        <f t="array" ref="N806">IFERROR(_xlfn.XLOOKUP(C806&amp;A806, RYOE!A:A&amp;RYOE!F:F, RYOE!E:E), "N/A")</f>
        <v>N/A</v>
      </c>
    </row>
    <row r="807" spans="1:14" ht="15" customHeight="1" x14ac:dyDescent="0.45">
      <c r="A807" s="8">
        <v>2021</v>
      </c>
      <c r="B807" s="6" t="s">
        <v>500</v>
      </c>
      <c r="C807" s="2" t="str">
        <f t="shared" si="24"/>
        <v>Wayne Gallman Jr.</v>
      </c>
      <c r="D807" s="2" t="str">
        <f t="shared" si="25"/>
        <v>MIN</v>
      </c>
      <c r="E807" s="2">
        <v>28</v>
      </c>
      <c r="F807" s="2">
        <v>104</v>
      </c>
      <c r="G807" s="2">
        <v>3.7</v>
      </c>
      <c r="H807" s="2">
        <v>0</v>
      </c>
      <c r="I807">
        <v>0</v>
      </c>
      <c r="J807">
        <v>9</v>
      </c>
      <c r="K807" cm="1">
        <f t="array" ref="K807">IFERROR(_xlfn.XLOOKUP(D807&amp;A807, RBWR!A:A&amp;RBWR!C:C, RBWR!B:B), "N/A")</f>
        <v>71</v>
      </c>
      <c r="L807" t="str" cm="1">
        <f t="array" ref="L807">IFERROR(_xlfn.XLOOKUP(C807&amp;A807, RYOE!A:A&amp;RYOE!F:F, RYOE!C:C), "N/A")</f>
        <v>N/A</v>
      </c>
      <c r="M807" t="str" cm="1">
        <f t="array" ref="M807">IFERROR(_xlfn.XLOOKUP(C807&amp;A807, RYOE!A:A&amp;RYOE!F:F, RYOE!D:D), "N/A")</f>
        <v>N/A</v>
      </c>
      <c r="N807" t="str" cm="1">
        <f t="array" ref="N807">IFERROR(_xlfn.XLOOKUP(C807&amp;A807, RYOE!A:A&amp;RYOE!F:F, RYOE!E:E), "N/A")</f>
        <v>N/A</v>
      </c>
    </row>
    <row r="808" spans="1:14" ht="15" customHeight="1" x14ac:dyDescent="0.45">
      <c r="A808" s="7">
        <v>2021</v>
      </c>
      <c r="B808" s="5" t="s">
        <v>302</v>
      </c>
      <c r="C808" s="1" t="str">
        <f t="shared" si="24"/>
        <v>Joshua Kelley</v>
      </c>
      <c r="D808" s="1" t="str">
        <f t="shared" si="25"/>
        <v>LAC</v>
      </c>
      <c r="E808" s="1">
        <v>33</v>
      </c>
      <c r="F808" s="1">
        <v>102</v>
      </c>
      <c r="G808" s="1">
        <v>3.1</v>
      </c>
      <c r="H808" s="1">
        <v>0</v>
      </c>
      <c r="I808">
        <v>1</v>
      </c>
      <c r="J808">
        <v>8</v>
      </c>
      <c r="K808" cm="1">
        <f t="array" ref="K808">IFERROR(_xlfn.XLOOKUP(D808&amp;A808, RBWR!A:A&amp;RBWR!C:C, RBWR!B:B), "N/A")</f>
        <v>70</v>
      </c>
      <c r="L808" t="str" cm="1">
        <f t="array" ref="L808">IFERROR(_xlfn.XLOOKUP(C808&amp;A808, RYOE!A:A&amp;RYOE!F:F, RYOE!C:C), "N/A")</f>
        <v>N/A</v>
      </c>
      <c r="M808" t="str" cm="1">
        <f t="array" ref="M808">IFERROR(_xlfn.XLOOKUP(C808&amp;A808, RYOE!A:A&amp;RYOE!F:F, RYOE!D:D), "N/A")</f>
        <v>N/A</v>
      </c>
      <c r="N808" t="str" cm="1">
        <f t="array" ref="N808">IFERROR(_xlfn.XLOOKUP(C808&amp;A808, RYOE!A:A&amp;RYOE!F:F, RYOE!E:E), "N/A")</f>
        <v>N/A</v>
      </c>
    </row>
    <row r="809" spans="1:14" ht="15" customHeight="1" x14ac:dyDescent="0.45">
      <c r="A809" s="8">
        <v>2021</v>
      </c>
      <c r="B809" s="6" t="s">
        <v>427</v>
      </c>
      <c r="C809" s="2" t="str">
        <f t="shared" si="24"/>
        <v>Michael Burton</v>
      </c>
      <c r="D809" s="2" t="str">
        <f t="shared" si="25"/>
        <v>KC</v>
      </c>
      <c r="E809" s="2">
        <v>8</v>
      </c>
      <c r="F809" s="2">
        <v>26</v>
      </c>
      <c r="G809" s="2">
        <v>3.3</v>
      </c>
      <c r="H809" s="2">
        <v>1</v>
      </c>
      <c r="I809">
        <v>0</v>
      </c>
      <c r="J809">
        <v>10</v>
      </c>
      <c r="K809" cm="1">
        <f t="array" ref="K809">IFERROR(_xlfn.XLOOKUP(D809&amp;A809, RBWR!A:A&amp;RBWR!C:C, RBWR!B:B), "N/A")</f>
        <v>74</v>
      </c>
      <c r="L809" t="str" cm="1">
        <f t="array" ref="L809">IFERROR(_xlfn.XLOOKUP(C809&amp;A809, RYOE!A:A&amp;RYOE!F:F, RYOE!C:C), "N/A")</f>
        <v>N/A</v>
      </c>
      <c r="M809" t="str" cm="1">
        <f t="array" ref="M809">IFERROR(_xlfn.XLOOKUP(C809&amp;A809, RYOE!A:A&amp;RYOE!F:F, RYOE!D:D), "N/A")</f>
        <v>N/A</v>
      </c>
      <c r="N809" t="str" cm="1">
        <f t="array" ref="N809">IFERROR(_xlfn.XLOOKUP(C809&amp;A809, RYOE!A:A&amp;RYOE!F:F, RYOE!E:E), "N/A")</f>
        <v>N/A</v>
      </c>
    </row>
    <row r="810" spans="1:14" ht="15" customHeight="1" x14ac:dyDescent="0.45">
      <c r="A810" s="7">
        <v>2021</v>
      </c>
      <c r="B810" s="5" t="s">
        <v>501</v>
      </c>
      <c r="C810" s="1" t="str">
        <f t="shared" si="24"/>
        <v>Jalen Richard</v>
      </c>
      <c r="D810" s="1" t="str">
        <f t="shared" si="25"/>
        <v>LV</v>
      </c>
      <c r="E810" s="1">
        <v>9</v>
      </c>
      <c r="F810" s="1">
        <v>40</v>
      </c>
      <c r="G810" s="1">
        <v>4.4000000000000004</v>
      </c>
      <c r="H810" s="1">
        <v>0</v>
      </c>
      <c r="I810">
        <v>0</v>
      </c>
      <c r="J810">
        <v>9</v>
      </c>
      <c r="K810" cm="1">
        <f t="array" ref="K810">IFERROR(_xlfn.XLOOKUP(D810&amp;A810, RBWR!A:A&amp;RBWR!C:C, RBWR!B:B), "N/A")</f>
        <v>67</v>
      </c>
      <c r="L810" t="str" cm="1">
        <f t="array" ref="L810">IFERROR(_xlfn.XLOOKUP(C810&amp;A810, RYOE!A:A&amp;RYOE!F:F, RYOE!C:C), "N/A")</f>
        <v>N/A</v>
      </c>
      <c r="M810" t="str" cm="1">
        <f t="array" ref="M810">IFERROR(_xlfn.XLOOKUP(C810&amp;A810, RYOE!A:A&amp;RYOE!F:F, RYOE!D:D), "N/A")</f>
        <v>N/A</v>
      </c>
      <c r="N810" t="str" cm="1">
        <f t="array" ref="N810">IFERROR(_xlfn.XLOOKUP(C810&amp;A810, RYOE!A:A&amp;RYOE!F:F, RYOE!E:E), "N/A")</f>
        <v>N/A</v>
      </c>
    </row>
    <row r="811" spans="1:14" ht="15" customHeight="1" x14ac:dyDescent="0.45">
      <c r="A811" s="8">
        <v>2021</v>
      </c>
      <c r="B811" s="6" t="s">
        <v>405</v>
      </c>
      <c r="C811" s="2" t="str">
        <f t="shared" si="24"/>
        <v>Benny Snell Jr.</v>
      </c>
      <c r="D811" s="2" t="str">
        <f t="shared" si="25"/>
        <v>PIT</v>
      </c>
      <c r="E811" s="2">
        <v>36</v>
      </c>
      <c r="F811" s="2">
        <v>98</v>
      </c>
      <c r="G811" s="2">
        <v>2.7</v>
      </c>
      <c r="H811" s="2">
        <v>0</v>
      </c>
      <c r="I811">
        <v>0</v>
      </c>
      <c r="J811">
        <v>16</v>
      </c>
      <c r="K811" cm="1">
        <f t="array" ref="K811">IFERROR(_xlfn.XLOOKUP(D811&amp;A811, RBWR!A:A&amp;RBWR!C:C, RBWR!B:B), "N/A")</f>
        <v>67</v>
      </c>
      <c r="L811" t="str" cm="1">
        <f t="array" ref="L811">IFERROR(_xlfn.XLOOKUP(C811&amp;A811, RYOE!A:A&amp;RYOE!F:F, RYOE!C:C), "N/A")</f>
        <v>N/A</v>
      </c>
      <c r="M811" t="str" cm="1">
        <f t="array" ref="M811">IFERROR(_xlfn.XLOOKUP(C811&amp;A811, RYOE!A:A&amp;RYOE!F:F, RYOE!D:D), "N/A")</f>
        <v>N/A</v>
      </c>
      <c r="N811" t="str" cm="1">
        <f t="array" ref="N811">IFERROR(_xlfn.XLOOKUP(C811&amp;A811, RYOE!A:A&amp;RYOE!F:F, RYOE!E:E), "N/A")</f>
        <v>N/A</v>
      </c>
    </row>
    <row r="812" spans="1:14" ht="15" customHeight="1" x14ac:dyDescent="0.45">
      <c r="A812" s="7">
        <v>2021</v>
      </c>
      <c r="B812" s="5" t="s">
        <v>502</v>
      </c>
      <c r="C812" s="1" t="str">
        <f t="shared" si="24"/>
        <v>Marlon Mack</v>
      </c>
      <c r="D812" s="1" t="str">
        <f t="shared" si="25"/>
        <v>IND</v>
      </c>
      <c r="E812" s="1">
        <v>28</v>
      </c>
      <c r="F812" s="1">
        <v>101</v>
      </c>
      <c r="G812" s="1">
        <v>3.6</v>
      </c>
      <c r="H812" s="1">
        <v>0</v>
      </c>
      <c r="I812">
        <v>0</v>
      </c>
      <c r="J812">
        <v>6</v>
      </c>
      <c r="K812" cm="1">
        <f t="array" ref="K812">IFERROR(_xlfn.XLOOKUP(D812&amp;A812, RBWR!A:A&amp;RBWR!C:C, RBWR!B:B), "N/A")</f>
        <v>72</v>
      </c>
      <c r="L812" t="str" cm="1">
        <f t="array" ref="L812">IFERROR(_xlfn.XLOOKUP(C812&amp;A812, RYOE!A:A&amp;RYOE!F:F, RYOE!C:C), "N/A")</f>
        <v>N/A</v>
      </c>
      <c r="M812" t="str" cm="1">
        <f t="array" ref="M812">IFERROR(_xlfn.XLOOKUP(C812&amp;A812, RYOE!A:A&amp;RYOE!F:F, RYOE!D:D), "N/A")</f>
        <v>N/A</v>
      </c>
      <c r="N812" t="str" cm="1">
        <f t="array" ref="N812">IFERROR(_xlfn.XLOOKUP(C812&amp;A812, RYOE!A:A&amp;RYOE!F:F, RYOE!E:E), "N/A")</f>
        <v>N/A</v>
      </c>
    </row>
    <row r="813" spans="1:14" ht="15" customHeight="1" x14ac:dyDescent="0.45">
      <c r="A813" s="8">
        <v>2021</v>
      </c>
      <c r="B813" s="6" t="s">
        <v>503</v>
      </c>
      <c r="C813" s="2" t="str">
        <f t="shared" si="24"/>
        <v>Ryquell Armstead</v>
      </c>
      <c r="D813" s="2" t="str">
        <f t="shared" si="25"/>
        <v>JAC</v>
      </c>
      <c r="E813" s="2">
        <v>15</v>
      </c>
      <c r="F813" s="2">
        <v>80</v>
      </c>
      <c r="G813" s="2">
        <v>5.3</v>
      </c>
      <c r="H813" s="2">
        <v>0</v>
      </c>
      <c r="I813">
        <v>0</v>
      </c>
      <c r="J813">
        <v>2</v>
      </c>
      <c r="K813" cm="1">
        <f t="array" ref="K813">IFERROR(_xlfn.XLOOKUP(D813&amp;A813, RBWR!A:A&amp;RBWR!C:C, RBWR!B:B), "N/A")</f>
        <v>70</v>
      </c>
      <c r="L813" t="str" cm="1">
        <f t="array" ref="L813">IFERROR(_xlfn.XLOOKUP(C813&amp;A813, RYOE!A:A&amp;RYOE!F:F, RYOE!C:C), "N/A")</f>
        <v>N/A</v>
      </c>
      <c r="M813" t="str" cm="1">
        <f t="array" ref="M813">IFERROR(_xlfn.XLOOKUP(C813&amp;A813, RYOE!A:A&amp;RYOE!F:F, RYOE!D:D), "N/A")</f>
        <v>N/A</v>
      </c>
      <c r="N813" t="str" cm="1">
        <f t="array" ref="N813">IFERROR(_xlfn.XLOOKUP(C813&amp;A813, RYOE!A:A&amp;RYOE!F:F, RYOE!E:E), "N/A")</f>
        <v>N/A</v>
      </c>
    </row>
    <row r="814" spans="1:14" ht="15" customHeight="1" x14ac:dyDescent="0.45">
      <c r="A814" s="7">
        <v>2021</v>
      </c>
      <c r="B814" s="5" t="s">
        <v>388</v>
      </c>
      <c r="C814" s="1" t="str">
        <f t="shared" si="24"/>
        <v>Deon Jackson</v>
      </c>
      <c r="D814" s="1" t="str">
        <f t="shared" si="25"/>
        <v>IND</v>
      </c>
      <c r="E814" s="1">
        <v>13</v>
      </c>
      <c r="F814" s="1">
        <v>31</v>
      </c>
      <c r="G814" s="1">
        <v>2.4</v>
      </c>
      <c r="H814" s="1">
        <v>1</v>
      </c>
      <c r="I814">
        <v>0</v>
      </c>
      <c r="J814">
        <v>5</v>
      </c>
      <c r="K814" cm="1">
        <f t="array" ref="K814">IFERROR(_xlfn.XLOOKUP(D814&amp;A814, RBWR!A:A&amp;RBWR!C:C, RBWR!B:B), "N/A")</f>
        <v>72</v>
      </c>
      <c r="L814" t="str" cm="1">
        <f t="array" ref="L814">IFERROR(_xlfn.XLOOKUP(C814&amp;A814, RYOE!A:A&amp;RYOE!F:F, RYOE!C:C), "N/A")</f>
        <v>N/A</v>
      </c>
      <c r="M814" t="str" cm="1">
        <f t="array" ref="M814">IFERROR(_xlfn.XLOOKUP(C814&amp;A814, RYOE!A:A&amp;RYOE!F:F, RYOE!D:D), "N/A")</f>
        <v>N/A</v>
      </c>
      <c r="N814" t="str" cm="1">
        <f t="array" ref="N814">IFERROR(_xlfn.XLOOKUP(C814&amp;A814, RYOE!A:A&amp;RYOE!F:F, RYOE!E:E), "N/A")</f>
        <v>N/A</v>
      </c>
    </row>
    <row r="815" spans="1:14" ht="15" customHeight="1" x14ac:dyDescent="0.45">
      <c r="A815" s="8">
        <v>2021</v>
      </c>
      <c r="B815" s="6" t="s">
        <v>504</v>
      </c>
      <c r="C815" s="2" t="str">
        <f t="shared" si="24"/>
        <v>Andy Janovich</v>
      </c>
      <c r="D815" s="2" t="str">
        <f t="shared" si="25"/>
        <v>CLE</v>
      </c>
      <c r="E815" s="2">
        <v>2</v>
      </c>
      <c r="F815" s="2">
        <v>0</v>
      </c>
      <c r="G815" s="2">
        <v>0</v>
      </c>
      <c r="H815" s="2">
        <v>1</v>
      </c>
      <c r="I815">
        <v>0</v>
      </c>
      <c r="J815">
        <v>6</v>
      </c>
      <c r="K815" cm="1">
        <f t="array" ref="K815">IFERROR(_xlfn.XLOOKUP(D815&amp;A815, RBWR!A:A&amp;RBWR!C:C, RBWR!B:B), "N/A")</f>
        <v>72</v>
      </c>
      <c r="L815" t="str" cm="1">
        <f t="array" ref="L815">IFERROR(_xlfn.XLOOKUP(C815&amp;A815, RYOE!A:A&amp;RYOE!F:F, RYOE!C:C), "N/A")</f>
        <v>N/A</v>
      </c>
      <c r="M815" t="str" cm="1">
        <f t="array" ref="M815">IFERROR(_xlfn.XLOOKUP(C815&amp;A815, RYOE!A:A&amp;RYOE!F:F, RYOE!D:D), "N/A")</f>
        <v>N/A</v>
      </c>
      <c r="N815" t="str" cm="1">
        <f t="array" ref="N815">IFERROR(_xlfn.XLOOKUP(C815&amp;A815, RYOE!A:A&amp;RYOE!F:F, RYOE!E:E), "N/A")</f>
        <v>N/A</v>
      </c>
    </row>
    <row r="816" spans="1:14" ht="15" customHeight="1" x14ac:dyDescent="0.45">
      <c r="A816" s="7">
        <v>2021</v>
      </c>
      <c r="B816" s="5" t="s">
        <v>505</v>
      </c>
      <c r="C816" s="1" t="str">
        <f t="shared" si="24"/>
        <v>JaQuan Hardy</v>
      </c>
      <c r="D816" s="1" t="str">
        <f t="shared" si="25"/>
        <v>DAL</v>
      </c>
      <c r="E816" s="1">
        <v>4</v>
      </c>
      <c r="F816" s="1">
        <v>29</v>
      </c>
      <c r="G816" s="1">
        <v>7.3</v>
      </c>
      <c r="H816" s="1">
        <v>1</v>
      </c>
      <c r="I816">
        <v>0</v>
      </c>
      <c r="J816">
        <v>2</v>
      </c>
      <c r="K816" cm="1">
        <f t="array" ref="K816">IFERROR(_xlfn.XLOOKUP(D816&amp;A816, RBWR!A:A&amp;RBWR!C:C, RBWR!B:B), "N/A")</f>
        <v>73</v>
      </c>
      <c r="L816" t="str" cm="1">
        <f t="array" ref="L816">IFERROR(_xlfn.XLOOKUP(C816&amp;A816, RYOE!A:A&amp;RYOE!F:F, RYOE!C:C), "N/A")</f>
        <v>N/A</v>
      </c>
      <c r="M816" t="str" cm="1">
        <f t="array" ref="M816">IFERROR(_xlfn.XLOOKUP(C816&amp;A816, RYOE!A:A&amp;RYOE!F:F, RYOE!D:D), "N/A")</f>
        <v>N/A</v>
      </c>
      <c r="N816" t="str" cm="1">
        <f t="array" ref="N816">IFERROR(_xlfn.XLOOKUP(C816&amp;A816, RYOE!A:A&amp;RYOE!F:F, RYOE!E:E), "N/A")</f>
        <v>N/A</v>
      </c>
    </row>
    <row r="817" spans="1:14" ht="15" customHeight="1" x14ac:dyDescent="0.45">
      <c r="A817" s="8">
        <v>2021</v>
      </c>
      <c r="B817" s="6" t="s">
        <v>332</v>
      </c>
      <c r="C817" s="2" t="str">
        <f t="shared" si="24"/>
        <v>Keith Smith</v>
      </c>
      <c r="D817" s="2" t="str">
        <f t="shared" si="25"/>
        <v>ATL</v>
      </c>
      <c r="E817" s="2">
        <v>9</v>
      </c>
      <c r="F817" s="2">
        <v>31</v>
      </c>
      <c r="G817" s="2">
        <v>3.4</v>
      </c>
      <c r="H817" s="2">
        <v>0</v>
      </c>
      <c r="I817">
        <v>0</v>
      </c>
      <c r="J817">
        <v>13</v>
      </c>
      <c r="K817" cm="1">
        <f t="array" ref="K817">IFERROR(_xlfn.XLOOKUP(D817&amp;A817, RBWR!A:A&amp;RBWR!C:C, RBWR!B:B), "N/A")</f>
        <v>67</v>
      </c>
      <c r="L817" t="str" cm="1">
        <f t="array" ref="L817">IFERROR(_xlfn.XLOOKUP(C817&amp;A817, RYOE!A:A&amp;RYOE!F:F, RYOE!C:C), "N/A")</f>
        <v>N/A</v>
      </c>
      <c r="M817" t="str" cm="1">
        <f t="array" ref="M817">IFERROR(_xlfn.XLOOKUP(C817&amp;A817, RYOE!A:A&amp;RYOE!F:F, RYOE!D:D), "N/A")</f>
        <v>N/A</v>
      </c>
      <c r="N817" t="str" cm="1">
        <f t="array" ref="N817">IFERROR(_xlfn.XLOOKUP(C817&amp;A817, RYOE!A:A&amp;RYOE!F:F, RYOE!E:E), "N/A")</f>
        <v>N/A</v>
      </c>
    </row>
    <row r="818" spans="1:14" ht="15" customHeight="1" x14ac:dyDescent="0.45">
      <c r="A818" s="7">
        <v>2021</v>
      </c>
      <c r="B818" s="5" t="s">
        <v>340</v>
      </c>
      <c r="C818" s="1" t="str">
        <f t="shared" si="24"/>
        <v>Alex Armah Jr.</v>
      </c>
      <c r="D818" s="1" t="str">
        <f t="shared" si="25"/>
        <v>WAS</v>
      </c>
      <c r="E818" s="1">
        <v>5</v>
      </c>
      <c r="F818" s="1">
        <v>21</v>
      </c>
      <c r="G818" s="1">
        <v>4.2</v>
      </c>
      <c r="H818" s="1">
        <v>0</v>
      </c>
      <c r="I818">
        <v>0</v>
      </c>
      <c r="J818">
        <v>10</v>
      </c>
      <c r="K818" cm="1">
        <f t="array" ref="K818">IFERROR(_xlfn.XLOOKUP(D818&amp;A818, RBWR!A:A&amp;RBWR!C:C, RBWR!B:B), "N/A")</f>
        <v>75</v>
      </c>
      <c r="L818" t="str" cm="1">
        <f t="array" ref="L818">IFERROR(_xlfn.XLOOKUP(C818&amp;A818, RYOE!A:A&amp;RYOE!F:F, RYOE!C:C), "N/A")</f>
        <v>N/A</v>
      </c>
      <c r="M818" t="str" cm="1">
        <f t="array" ref="M818">IFERROR(_xlfn.XLOOKUP(C818&amp;A818, RYOE!A:A&amp;RYOE!F:F, RYOE!D:D), "N/A")</f>
        <v>N/A</v>
      </c>
      <c r="N818" t="str" cm="1">
        <f t="array" ref="N818">IFERROR(_xlfn.XLOOKUP(C818&amp;A818, RYOE!A:A&amp;RYOE!F:F, RYOE!E:E), "N/A")</f>
        <v>N/A</v>
      </c>
    </row>
    <row r="819" spans="1:14" ht="15" customHeight="1" x14ac:dyDescent="0.45">
      <c r="A819" s="8">
        <v>2021</v>
      </c>
      <c r="B819" s="6" t="s">
        <v>506</v>
      </c>
      <c r="C819" s="2" t="str">
        <f t="shared" si="24"/>
        <v>Johnny Stanton IV</v>
      </c>
      <c r="D819" s="2" t="str">
        <f t="shared" si="25"/>
        <v>CLE</v>
      </c>
      <c r="E819" s="2">
        <v>3</v>
      </c>
      <c r="F819" s="2">
        <v>5</v>
      </c>
      <c r="G819" s="2">
        <v>1.7</v>
      </c>
      <c r="H819" s="2">
        <v>0</v>
      </c>
      <c r="I819">
        <v>0</v>
      </c>
      <c r="J819">
        <v>3</v>
      </c>
      <c r="K819" cm="1">
        <f t="array" ref="K819">IFERROR(_xlfn.XLOOKUP(D819&amp;A819, RBWR!A:A&amp;RBWR!C:C, RBWR!B:B), "N/A")</f>
        <v>72</v>
      </c>
      <c r="L819" t="str" cm="1">
        <f t="array" ref="L819">IFERROR(_xlfn.XLOOKUP(C819&amp;A819, RYOE!A:A&amp;RYOE!F:F, RYOE!C:C), "N/A")</f>
        <v>N/A</v>
      </c>
      <c r="M819" t="str" cm="1">
        <f t="array" ref="M819">IFERROR(_xlfn.XLOOKUP(C819&amp;A819, RYOE!A:A&amp;RYOE!F:F, RYOE!D:D), "N/A")</f>
        <v>N/A</v>
      </c>
      <c r="N819" t="str" cm="1">
        <f t="array" ref="N819">IFERROR(_xlfn.XLOOKUP(C819&amp;A819, RYOE!A:A&amp;RYOE!F:F, RYOE!E:E), "N/A")</f>
        <v>N/A</v>
      </c>
    </row>
    <row r="820" spans="1:14" ht="15" customHeight="1" x14ac:dyDescent="0.45">
      <c r="A820" s="7">
        <v>2021</v>
      </c>
      <c r="B820" s="5" t="s">
        <v>507</v>
      </c>
      <c r="C820" s="1" t="str">
        <f t="shared" si="24"/>
        <v>Jonathan Ward</v>
      </c>
      <c r="D820" s="1" t="str">
        <f t="shared" si="25"/>
        <v>ARI</v>
      </c>
      <c r="E820" s="1">
        <v>9</v>
      </c>
      <c r="F820" s="1">
        <v>33</v>
      </c>
      <c r="G820" s="1">
        <v>3.7</v>
      </c>
      <c r="H820" s="1">
        <v>0</v>
      </c>
      <c r="I820">
        <v>0</v>
      </c>
      <c r="J820">
        <v>9</v>
      </c>
      <c r="K820" cm="1">
        <f t="array" ref="K820">IFERROR(_xlfn.XLOOKUP(D820&amp;A820, RBWR!A:A&amp;RBWR!C:C, RBWR!B:B), "N/A")</f>
        <v>70</v>
      </c>
      <c r="L820" t="str" cm="1">
        <f t="array" ref="L820">IFERROR(_xlfn.XLOOKUP(C820&amp;A820, RYOE!A:A&amp;RYOE!F:F, RYOE!C:C), "N/A")</f>
        <v>N/A</v>
      </c>
      <c r="M820" t="str" cm="1">
        <f t="array" ref="M820">IFERROR(_xlfn.XLOOKUP(C820&amp;A820, RYOE!A:A&amp;RYOE!F:F, RYOE!D:D), "N/A")</f>
        <v>N/A</v>
      </c>
      <c r="N820" t="str" cm="1">
        <f t="array" ref="N820">IFERROR(_xlfn.XLOOKUP(C820&amp;A820, RYOE!A:A&amp;RYOE!F:F, RYOE!E:E), "N/A")</f>
        <v>N/A</v>
      </c>
    </row>
    <row r="821" spans="1:14" ht="15" customHeight="1" x14ac:dyDescent="0.45">
      <c r="A821" s="8">
        <v>2021</v>
      </c>
      <c r="B821" s="6" t="s">
        <v>508</v>
      </c>
      <c r="C821" s="2" t="str">
        <f t="shared" si="24"/>
        <v>Ito Smith</v>
      </c>
      <c r="D821" s="2" t="str">
        <f t="shared" si="25"/>
        <v>DAL</v>
      </c>
      <c r="E821" s="2">
        <v>1</v>
      </c>
      <c r="F821" s="2">
        <v>4</v>
      </c>
      <c r="G821" s="2">
        <v>4</v>
      </c>
      <c r="H821" s="2">
        <v>1</v>
      </c>
      <c r="I821">
        <v>0</v>
      </c>
      <c r="J821">
        <v>1</v>
      </c>
      <c r="K821" cm="1">
        <f t="array" ref="K821">IFERROR(_xlfn.XLOOKUP(D821&amp;A821, RBWR!A:A&amp;RBWR!C:C, RBWR!B:B), "N/A")</f>
        <v>73</v>
      </c>
      <c r="L821" t="str" cm="1">
        <f t="array" ref="L821">IFERROR(_xlfn.XLOOKUP(C821&amp;A821, RYOE!A:A&amp;RYOE!F:F, RYOE!C:C), "N/A")</f>
        <v>N/A</v>
      </c>
      <c r="M821" t="str" cm="1">
        <f t="array" ref="M821">IFERROR(_xlfn.XLOOKUP(C821&amp;A821, RYOE!A:A&amp;RYOE!F:F, RYOE!D:D), "N/A")</f>
        <v>N/A</v>
      </c>
      <c r="N821" t="str" cm="1">
        <f t="array" ref="N821">IFERROR(_xlfn.XLOOKUP(C821&amp;A821, RYOE!A:A&amp;RYOE!F:F, RYOE!E:E), "N/A")</f>
        <v>N/A</v>
      </c>
    </row>
    <row r="822" spans="1:14" ht="15" customHeight="1" x14ac:dyDescent="0.45">
      <c r="A822" s="7">
        <v>2021</v>
      </c>
      <c r="B822" s="5" t="s">
        <v>401</v>
      </c>
      <c r="C822" s="1" t="str">
        <f t="shared" si="24"/>
        <v>Mike Boone</v>
      </c>
      <c r="D822" s="1" t="str">
        <f t="shared" si="25"/>
        <v>DEN</v>
      </c>
      <c r="E822" s="1">
        <v>4</v>
      </c>
      <c r="F822" s="1">
        <v>35</v>
      </c>
      <c r="G822" s="1">
        <v>8.8000000000000007</v>
      </c>
      <c r="H822" s="1">
        <v>0</v>
      </c>
      <c r="I822">
        <v>0</v>
      </c>
      <c r="J822">
        <v>3</v>
      </c>
      <c r="K822" cm="1">
        <f t="array" ref="K822">IFERROR(_xlfn.XLOOKUP(D822&amp;A822, RBWR!A:A&amp;RBWR!C:C, RBWR!B:B), "N/A")</f>
        <v>70</v>
      </c>
      <c r="L822" t="str" cm="1">
        <f t="array" ref="L822">IFERROR(_xlfn.XLOOKUP(C822&amp;A822, RYOE!A:A&amp;RYOE!F:F, RYOE!C:C), "N/A")</f>
        <v>N/A</v>
      </c>
      <c r="M822" t="str" cm="1">
        <f t="array" ref="M822">IFERROR(_xlfn.XLOOKUP(C822&amp;A822, RYOE!A:A&amp;RYOE!F:F, RYOE!D:D), "N/A")</f>
        <v>N/A</v>
      </c>
      <c r="N822" t="str" cm="1">
        <f t="array" ref="N822">IFERROR(_xlfn.XLOOKUP(C822&amp;A822, RYOE!A:A&amp;RYOE!F:F, RYOE!E:E), "N/A")</f>
        <v>N/A</v>
      </c>
    </row>
    <row r="823" spans="1:14" ht="15" customHeight="1" x14ac:dyDescent="0.45">
      <c r="A823" s="8">
        <v>2021</v>
      </c>
      <c r="B823" s="6" t="s">
        <v>265</v>
      </c>
      <c r="C823" s="2" t="str">
        <f t="shared" si="24"/>
        <v>Trayveon Williams</v>
      </c>
      <c r="D823" s="2" t="str">
        <f t="shared" si="25"/>
        <v>CIN</v>
      </c>
      <c r="E823" s="2">
        <v>15</v>
      </c>
      <c r="F823" s="2">
        <v>51</v>
      </c>
      <c r="G823" s="2">
        <v>3.4</v>
      </c>
      <c r="H823" s="2">
        <v>0</v>
      </c>
      <c r="I823">
        <v>0</v>
      </c>
      <c r="J823">
        <v>4</v>
      </c>
      <c r="K823" cm="1">
        <f t="array" ref="K823">IFERROR(_xlfn.XLOOKUP(D823&amp;A823, RBWR!A:A&amp;RBWR!C:C, RBWR!B:B), "N/A")</f>
        <v>71</v>
      </c>
      <c r="L823" t="str" cm="1">
        <f t="array" ref="L823">IFERROR(_xlfn.XLOOKUP(C823&amp;A823, RYOE!A:A&amp;RYOE!F:F, RYOE!C:C), "N/A")</f>
        <v>N/A</v>
      </c>
      <c r="M823" t="str" cm="1">
        <f t="array" ref="M823">IFERROR(_xlfn.XLOOKUP(C823&amp;A823, RYOE!A:A&amp;RYOE!F:F, RYOE!D:D), "N/A")</f>
        <v>N/A</v>
      </c>
      <c r="N823" t="str" cm="1">
        <f t="array" ref="N823">IFERROR(_xlfn.XLOOKUP(C823&amp;A823, RYOE!A:A&amp;RYOE!F:F, RYOE!E:E), "N/A")</f>
        <v>N/A</v>
      </c>
    </row>
    <row r="824" spans="1:14" ht="15" customHeight="1" x14ac:dyDescent="0.45">
      <c r="A824" s="7">
        <v>2021</v>
      </c>
      <c r="B824" s="5" t="s">
        <v>509</v>
      </c>
      <c r="C824" s="1" t="str">
        <f t="shared" si="24"/>
        <v>Jason Huntley</v>
      </c>
      <c r="D824" s="1" t="str">
        <f t="shared" si="25"/>
        <v>PHI</v>
      </c>
      <c r="E824" s="1">
        <v>13</v>
      </c>
      <c r="F824" s="1">
        <v>51</v>
      </c>
      <c r="G824" s="1">
        <v>3.9</v>
      </c>
      <c r="H824" s="1">
        <v>0</v>
      </c>
      <c r="I824">
        <v>0</v>
      </c>
      <c r="J824">
        <v>1</v>
      </c>
      <c r="K824" cm="1">
        <f t="array" ref="K824">IFERROR(_xlfn.XLOOKUP(D824&amp;A824, RBWR!A:A&amp;RBWR!C:C, RBWR!B:B), "N/A")</f>
        <v>74</v>
      </c>
      <c r="L824" t="str" cm="1">
        <f t="array" ref="L824">IFERROR(_xlfn.XLOOKUP(C824&amp;A824, RYOE!A:A&amp;RYOE!F:F, RYOE!C:C), "N/A")</f>
        <v>N/A</v>
      </c>
      <c r="M824" t="str" cm="1">
        <f t="array" ref="M824">IFERROR(_xlfn.XLOOKUP(C824&amp;A824, RYOE!A:A&amp;RYOE!F:F, RYOE!D:D), "N/A")</f>
        <v>N/A</v>
      </c>
      <c r="N824" t="str" cm="1">
        <f t="array" ref="N824">IFERROR(_xlfn.XLOOKUP(C824&amp;A824, RYOE!A:A&amp;RYOE!F:F, RYOE!E:E), "N/A")</f>
        <v>N/A</v>
      </c>
    </row>
    <row r="825" spans="1:14" ht="15" customHeight="1" x14ac:dyDescent="0.45">
      <c r="A825" s="8">
        <v>2021</v>
      </c>
      <c r="B825" s="6" t="s">
        <v>510</v>
      </c>
      <c r="C825" s="2" t="str">
        <f t="shared" si="24"/>
        <v>Rodney Smith</v>
      </c>
      <c r="D825" s="2" t="str">
        <f t="shared" si="25"/>
        <v>CAR</v>
      </c>
      <c r="E825" s="2">
        <v>0</v>
      </c>
      <c r="F825" s="2">
        <v>0</v>
      </c>
      <c r="G825" s="2">
        <v>0</v>
      </c>
      <c r="H825" s="2">
        <v>0</v>
      </c>
      <c r="I825">
        <v>0</v>
      </c>
      <c r="J825">
        <v>1</v>
      </c>
      <c r="K825" cm="1">
        <f t="array" ref="K825">IFERROR(_xlfn.XLOOKUP(D825&amp;A825, RBWR!A:A&amp;RBWR!C:C, RBWR!B:B), "N/A")</f>
        <v>68</v>
      </c>
      <c r="L825" t="str" cm="1">
        <f t="array" ref="L825">IFERROR(_xlfn.XLOOKUP(C825&amp;A825, RYOE!A:A&amp;RYOE!F:F, RYOE!C:C), "N/A")</f>
        <v>N/A</v>
      </c>
      <c r="M825" t="str" cm="1">
        <f t="array" ref="M825">IFERROR(_xlfn.XLOOKUP(C825&amp;A825, RYOE!A:A&amp;RYOE!F:F, RYOE!D:D), "N/A")</f>
        <v>N/A</v>
      </c>
      <c r="N825" t="str" cm="1">
        <f t="array" ref="N825">IFERROR(_xlfn.XLOOKUP(C825&amp;A825, RYOE!A:A&amp;RYOE!F:F, RYOE!E:E), "N/A")</f>
        <v>N/A</v>
      </c>
    </row>
    <row r="826" spans="1:14" ht="15" customHeight="1" x14ac:dyDescent="0.45">
      <c r="A826" s="7">
        <v>2021</v>
      </c>
      <c r="B826" s="5" t="s">
        <v>511</v>
      </c>
      <c r="C826" s="1" t="str">
        <f t="shared" si="24"/>
        <v>Wendell Smallwood</v>
      </c>
      <c r="D826" s="1" t="str">
        <f t="shared" si="25"/>
        <v>WAS</v>
      </c>
      <c r="E826" s="1">
        <v>5</v>
      </c>
      <c r="F826" s="1">
        <v>25</v>
      </c>
      <c r="G826" s="1">
        <v>5</v>
      </c>
      <c r="H826" s="1">
        <v>0</v>
      </c>
      <c r="I826">
        <v>0</v>
      </c>
      <c r="J826">
        <v>2</v>
      </c>
      <c r="K826" cm="1">
        <f t="array" ref="K826">IFERROR(_xlfn.XLOOKUP(D826&amp;A826, RBWR!A:A&amp;RBWR!C:C, RBWR!B:B), "N/A")</f>
        <v>75</v>
      </c>
      <c r="L826" t="str" cm="1">
        <f t="array" ref="L826">IFERROR(_xlfn.XLOOKUP(C826&amp;A826, RYOE!A:A&amp;RYOE!F:F, RYOE!C:C), "N/A")</f>
        <v>N/A</v>
      </c>
      <c r="M826" t="str" cm="1">
        <f t="array" ref="M826">IFERROR(_xlfn.XLOOKUP(C826&amp;A826, RYOE!A:A&amp;RYOE!F:F, RYOE!D:D), "N/A")</f>
        <v>N/A</v>
      </c>
      <c r="N826" t="str" cm="1">
        <f t="array" ref="N826">IFERROR(_xlfn.XLOOKUP(C826&amp;A826, RYOE!A:A&amp;RYOE!F:F, RYOE!E:E), "N/A")</f>
        <v>N/A</v>
      </c>
    </row>
    <row r="827" spans="1:14" ht="15" customHeight="1" x14ac:dyDescent="0.45">
      <c r="A827" s="8">
        <v>2021</v>
      </c>
      <c r="B827" s="6" t="s">
        <v>512</v>
      </c>
      <c r="C827" s="2" t="str">
        <f t="shared" si="24"/>
        <v>Kalen Ballage</v>
      </c>
      <c r="D827" s="2" t="str">
        <f t="shared" si="25"/>
        <v>PIT</v>
      </c>
      <c r="E827" s="2">
        <v>12</v>
      </c>
      <c r="F827" s="2">
        <v>36</v>
      </c>
      <c r="G827" s="2">
        <v>3</v>
      </c>
      <c r="H827" s="2">
        <v>0</v>
      </c>
      <c r="I827">
        <v>0</v>
      </c>
      <c r="J827">
        <v>9</v>
      </c>
      <c r="K827" cm="1">
        <f t="array" ref="K827">IFERROR(_xlfn.XLOOKUP(D827&amp;A827, RBWR!A:A&amp;RBWR!C:C, RBWR!B:B), "N/A")</f>
        <v>67</v>
      </c>
      <c r="L827" t="str" cm="1">
        <f t="array" ref="L827">IFERROR(_xlfn.XLOOKUP(C827&amp;A827, RYOE!A:A&amp;RYOE!F:F, RYOE!C:C), "N/A")</f>
        <v>N/A</v>
      </c>
      <c r="M827" t="str" cm="1">
        <f t="array" ref="M827">IFERROR(_xlfn.XLOOKUP(C827&amp;A827, RYOE!A:A&amp;RYOE!F:F, RYOE!D:D), "N/A")</f>
        <v>N/A</v>
      </c>
      <c r="N827" t="str" cm="1">
        <f t="array" ref="N827">IFERROR(_xlfn.XLOOKUP(C827&amp;A827, RYOE!A:A&amp;RYOE!F:F, RYOE!E:E), "N/A")</f>
        <v>N/A</v>
      </c>
    </row>
    <row r="828" spans="1:14" ht="15" customHeight="1" x14ac:dyDescent="0.45">
      <c r="A828" s="7">
        <v>2021</v>
      </c>
      <c r="B828" s="5" t="s">
        <v>513</v>
      </c>
      <c r="C828" s="1" t="str">
        <f t="shared" si="24"/>
        <v>Jakob Johnson</v>
      </c>
      <c r="D828" s="1" t="str">
        <f t="shared" si="25"/>
        <v>NE</v>
      </c>
      <c r="E828" s="1">
        <v>0</v>
      </c>
      <c r="F828" s="1">
        <v>0</v>
      </c>
      <c r="G828" s="1">
        <v>0</v>
      </c>
      <c r="H828" s="1">
        <v>0</v>
      </c>
      <c r="I828">
        <v>0</v>
      </c>
      <c r="J828">
        <v>7</v>
      </c>
      <c r="K828" cm="1">
        <f t="array" ref="K828">IFERROR(_xlfn.XLOOKUP(D828&amp;A828, RBWR!A:A&amp;RBWR!C:C, RBWR!B:B), "N/A")</f>
        <v>70</v>
      </c>
      <c r="L828" t="str" cm="1">
        <f t="array" ref="L828">IFERROR(_xlfn.XLOOKUP(C828&amp;A828, RYOE!A:A&amp;RYOE!F:F, RYOE!C:C), "N/A")</f>
        <v>N/A</v>
      </c>
      <c r="M828" t="str" cm="1">
        <f t="array" ref="M828">IFERROR(_xlfn.XLOOKUP(C828&amp;A828, RYOE!A:A&amp;RYOE!F:F, RYOE!D:D), "N/A")</f>
        <v>N/A</v>
      </c>
      <c r="N828" t="str" cm="1">
        <f t="array" ref="N828">IFERROR(_xlfn.XLOOKUP(C828&amp;A828, RYOE!A:A&amp;RYOE!F:F, RYOE!E:E), "N/A")</f>
        <v>N/A</v>
      </c>
    </row>
    <row r="829" spans="1:14" ht="15" customHeight="1" x14ac:dyDescent="0.45">
      <c r="A829" s="8">
        <v>2021</v>
      </c>
      <c r="B829" s="6" t="s">
        <v>514</v>
      </c>
      <c r="C829" s="2" t="str">
        <f t="shared" si="24"/>
        <v>La'Mical Perine</v>
      </c>
      <c r="D829" s="2" t="str">
        <f t="shared" si="25"/>
        <v>NYJ</v>
      </c>
      <c r="E829" s="2">
        <v>8</v>
      </c>
      <c r="F829" s="2">
        <v>31</v>
      </c>
      <c r="G829" s="2">
        <v>3.9</v>
      </c>
      <c r="H829" s="2">
        <v>0</v>
      </c>
      <c r="I829">
        <v>0</v>
      </c>
      <c r="J829">
        <v>2</v>
      </c>
      <c r="K829" cm="1">
        <f t="array" ref="K829">IFERROR(_xlfn.XLOOKUP(D829&amp;A829, RBWR!A:A&amp;RBWR!C:C, RBWR!B:B), "N/A")</f>
        <v>68</v>
      </c>
      <c r="L829" t="str" cm="1">
        <f t="array" ref="L829">IFERROR(_xlfn.XLOOKUP(C829&amp;A829, RYOE!A:A&amp;RYOE!F:F, RYOE!C:C), "N/A")</f>
        <v>N/A</v>
      </c>
      <c r="M829" t="str" cm="1">
        <f t="array" ref="M829">IFERROR(_xlfn.XLOOKUP(C829&amp;A829, RYOE!A:A&amp;RYOE!F:F, RYOE!D:D), "N/A")</f>
        <v>N/A</v>
      </c>
      <c r="N829" t="str" cm="1">
        <f t="array" ref="N829">IFERROR(_xlfn.XLOOKUP(C829&amp;A829, RYOE!A:A&amp;RYOE!F:F, RYOE!E:E), "N/A")</f>
        <v>N/A</v>
      </c>
    </row>
    <row r="830" spans="1:14" ht="15" customHeight="1" x14ac:dyDescent="0.45">
      <c r="A830" s="7">
        <v>2021</v>
      </c>
      <c r="B830" s="5" t="s">
        <v>432</v>
      </c>
      <c r="C830" s="1" t="str">
        <f t="shared" si="24"/>
        <v>Kylin Hill</v>
      </c>
      <c r="D830" s="1" t="str">
        <f t="shared" si="25"/>
        <v>GB</v>
      </c>
      <c r="E830" s="1">
        <v>10</v>
      </c>
      <c r="F830" s="1">
        <v>24</v>
      </c>
      <c r="G830" s="1">
        <v>2.4</v>
      </c>
      <c r="H830" s="1">
        <v>0</v>
      </c>
      <c r="I830">
        <v>0</v>
      </c>
      <c r="J830">
        <v>8</v>
      </c>
      <c r="K830" cm="1">
        <f t="array" ref="K830">IFERROR(_xlfn.XLOOKUP(D830&amp;A830, RBWR!A:A&amp;RBWR!C:C, RBWR!B:B), "N/A")</f>
        <v>73</v>
      </c>
      <c r="L830" t="str" cm="1">
        <f t="array" ref="L830">IFERROR(_xlfn.XLOOKUP(C830&amp;A830, RYOE!A:A&amp;RYOE!F:F, RYOE!C:C), "N/A")</f>
        <v>N/A</v>
      </c>
      <c r="M830" t="str" cm="1">
        <f t="array" ref="M830">IFERROR(_xlfn.XLOOKUP(C830&amp;A830, RYOE!A:A&amp;RYOE!F:F, RYOE!D:D), "N/A")</f>
        <v>N/A</v>
      </c>
      <c r="N830" t="str" cm="1">
        <f t="array" ref="N830">IFERROR(_xlfn.XLOOKUP(C830&amp;A830, RYOE!A:A&amp;RYOE!F:F, RYOE!E:E), "N/A")</f>
        <v>N/A</v>
      </c>
    </row>
    <row r="831" spans="1:14" ht="15" customHeight="1" x14ac:dyDescent="0.45">
      <c r="A831" s="8">
        <v>2021</v>
      </c>
      <c r="B831" s="6" t="s">
        <v>420</v>
      </c>
      <c r="C831" s="2" t="str">
        <f t="shared" si="24"/>
        <v>Dwayne Washington</v>
      </c>
      <c r="D831" s="2" t="str">
        <f t="shared" si="25"/>
        <v>NO</v>
      </c>
      <c r="E831" s="2">
        <v>4</v>
      </c>
      <c r="F831" s="2">
        <v>16</v>
      </c>
      <c r="G831" s="2">
        <v>4</v>
      </c>
      <c r="H831" s="2">
        <v>0</v>
      </c>
      <c r="I831">
        <v>0</v>
      </c>
      <c r="J831">
        <v>8</v>
      </c>
      <c r="K831" cm="1">
        <f t="array" ref="K831">IFERROR(_xlfn.XLOOKUP(D831&amp;A831, RBWR!A:A&amp;RBWR!C:C, RBWR!B:B), "N/A")</f>
        <v>69</v>
      </c>
      <c r="L831" t="str" cm="1">
        <f t="array" ref="L831">IFERROR(_xlfn.XLOOKUP(C831&amp;A831, RYOE!A:A&amp;RYOE!F:F, RYOE!C:C), "N/A")</f>
        <v>N/A</v>
      </c>
      <c r="M831" t="str" cm="1">
        <f t="array" ref="M831">IFERROR(_xlfn.XLOOKUP(C831&amp;A831, RYOE!A:A&amp;RYOE!F:F, RYOE!D:D), "N/A")</f>
        <v>N/A</v>
      </c>
      <c r="N831" t="str" cm="1">
        <f t="array" ref="N831">IFERROR(_xlfn.XLOOKUP(C831&amp;A831, RYOE!A:A&amp;RYOE!F:F, RYOE!E:E), "N/A")</f>
        <v>N/A</v>
      </c>
    </row>
    <row r="832" spans="1:14" ht="15" customHeight="1" x14ac:dyDescent="0.45">
      <c r="A832" s="7">
        <v>2021</v>
      </c>
      <c r="B832" s="5" t="s">
        <v>171</v>
      </c>
      <c r="C832" s="1" t="str">
        <f t="shared" si="24"/>
        <v>Reggie Gilliam</v>
      </c>
      <c r="D832" s="1" t="str">
        <f t="shared" si="25"/>
        <v>BUF</v>
      </c>
      <c r="E832" s="1">
        <v>3</v>
      </c>
      <c r="F832" s="1">
        <v>3</v>
      </c>
      <c r="G832" s="1">
        <v>1</v>
      </c>
      <c r="H832" s="1">
        <v>0</v>
      </c>
      <c r="I832">
        <v>0</v>
      </c>
      <c r="J832">
        <v>8</v>
      </c>
      <c r="K832" cm="1">
        <f t="array" ref="K832">IFERROR(_xlfn.XLOOKUP(D832&amp;A832, RBWR!A:A&amp;RBWR!C:C, RBWR!B:B), "N/A")</f>
        <v>69</v>
      </c>
      <c r="L832" t="str" cm="1">
        <f t="array" ref="L832">IFERROR(_xlfn.XLOOKUP(C832&amp;A832, RYOE!A:A&amp;RYOE!F:F, RYOE!C:C), "N/A")</f>
        <v>N/A</v>
      </c>
      <c r="M832" t="str" cm="1">
        <f t="array" ref="M832">IFERROR(_xlfn.XLOOKUP(C832&amp;A832, RYOE!A:A&amp;RYOE!F:F, RYOE!D:D), "N/A")</f>
        <v>N/A</v>
      </c>
      <c r="N832" t="str" cm="1">
        <f t="array" ref="N832">IFERROR(_xlfn.XLOOKUP(C832&amp;A832, RYOE!A:A&amp;RYOE!F:F, RYOE!E:E), "N/A")</f>
        <v>N/A</v>
      </c>
    </row>
    <row r="833" spans="1:14" ht="15" customHeight="1" x14ac:dyDescent="0.45">
      <c r="A833" s="8">
        <v>2021</v>
      </c>
      <c r="B833" s="6" t="s">
        <v>515</v>
      </c>
      <c r="C833" s="2" t="str">
        <f t="shared" si="24"/>
        <v>Gabe Nabers</v>
      </c>
      <c r="D833" s="2" t="str">
        <f t="shared" si="25"/>
        <v>LAC</v>
      </c>
      <c r="E833" s="2">
        <v>3</v>
      </c>
      <c r="F833" s="2">
        <v>8</v>
      </c>
      <c r="G833" s="2">
        <v>2.7</v>
      </c>
      <c r="H833" s="2">
        <v>0</v>
      </c>
      <c r="I833">
        <v>0</v>
      </c>
      <c r="J833">
        <v>7</v>
      </c>
      <c r="K833" cm="1">
        <f t="array" ref="K833">IFERROR(_xlfn.XLOOKUP(D833&amp;A833, RBWR!A:A&amp;RBWR!C:C, RBWR!B:B), "N/A")</f>
        <v>70</v>
      </c>
      <c r="L833" t="str" cm="1">
        <f t="array" ref="L833">IFERROR(_xlfn.XLOOKUP(C833&amp;A833, RYOE!A:A&amp;RYOE!F:F, RYOE!C:C), "N/A")</f>
        <v>N/A</v>
      </c>
      <c r="M833" t="str" cm="1">
        <f t="array" ref="M833">IFERROR(_xlfn.XLOOKUP(C833&amp;A833, RYOE!A:A&amp;RYOE!F:F, RYOE!D:D), "N/A")</f>
        <v>N/A</v>
      </c>
      <c r="N833" t="str" cm="1">
        <f t="array" ref="N833">IFERROR(_xlfn.XLOOKUP(C833&amp;A833, RYOE!A:A&amp;RYOE!F:F, RYOE!E:E), "N/A")</f>
        <v>N/A</v>
      </c>
    </row>
    <row r="834" spans="1:14" ht="15" customHeight="1" x14ac:dyDescent="0.45">
      <c r="A834" s="7">
        <v>2021</v>
      </c>
      <c r="B834" s="5" t="s">
        <v>516</v>
      </c>
      <c r="C834" s="1" t="str">
        <f t="shared" ref="C834:C897" si="26">TRIM(LEFT(B834, LEN(B834) - LEN(TRIM(RIGHT(SUBSTITUTE(TRIM(B834)," ",REPT(" ",100)),100)))))</f>
        <v>Jaylen Samuels</v>
      </c>
      <c r="D834" s="1" t="str">
        <f t="shared" ref="D834:D897" si="27">MID(B834, FIND("(", B834) + 1, FIND(")", B834) - FIND("(", B834) - 1)</f>
        <v>HOU</v>
      </c>
      <c r="E834" s="1">
        <v>5</v>
      </c>
      <c r="F834" s="1">
        <v>9</v>
      </c>
      <c r="G834" s="1">
        <v>1.8</v>
      </c>
      <c r="H834" s="1">
        <v>0</v>
      </c>
      <c r="I834">
        <v>0</v>
      </c>
      <c r="J834">
        <v>3</v>
      </c>
      <c r="K834" cm="1">
        <f t="array" ref="K834">IFERROR(_xlfn.XLOOKUP(D834&amp;A834, RBWR!A:A&amp;RBWR!C:C, RBWR!B:B), "N/A")</f>
        <v>65</v>
      </c>
      <c r="L834" t="str" cm="1">
        <f t="array" ref="L834">IFERROR(_xlfn.XLOOKUP(C834&amp;A834, RYOE!A:A&amp;RYOE!F:F, RYOE!C:C), "N/A")</f>
        <v>N/A</v>
      </c>
      <c r="M834" t="str" cm="1">
        <f t="array" ref="M834">IFERROR(_xlfn.XLOOKUP(C834&amp;A834, RYOE!A:A&amp;RYOE!F:F, RYOE!D:D), "N/A")</f>
        <v>N/A</v>
      </c>
      <c r="N834" t="str" cm="1">
        <f t="array" ref="N834">IFERROR(_xlfn.XLOOKUP(C834&amp;A834, RYOE!A:A&amp;RYOE!F:F, RYOE!E:E), "N/A")</f>
        <v>N/A</v>
      </c>
    </row>
    <row r="835" spans="1:14" ht="15" customHeight="1" x14ac:dyDescent="0.45">
      <c r="A835" s="8">
        <v>2021</v>
      </c>
      <c r="B835" s="6" t="s">
        <v>517</v>
      </c>
      <c r="C835" s="2" t="str">
        <f t="shared" si="26"/>
        <v>Scottie Phillips</v>
      </c>
      <c r="D835" s="2" t="str">
        <f t="shared" si="27"/>
        <v>HOU</v>
      </c>
      <c r="E835" s="2">
        <v>6</v>
      </c>
      <c r="F835" s="2">
        <v>13</v>
      </c>
      <c r="G835" s="2">
        <v>2.2000000000000002</v>
      </c>
      <c r="H835" s="2">
        <v>0</v>
      </c>
      <c r="I835">
        <v>0</v>
      </c>
      <c r="J835">
        <v>3</v>
      </c>
      <c r="K835" cm="1">
        <f t="array" ref="K835">IFERROR(_xlfn.XLOOKUP(D835&amp;A835, RBWR!A:A&amp;RBWR!C:C, RBWR!B:B), "N/A")</f>
        <v>65</v>
      </c>
      <c r="L835" t="str" cm="1">
        <f t="array" ref="L835">IFERROR(_xlfn.XLOOKUP(C835&amp;A835, RYOE!A:A&amp;RYOE!F:F, RYOE!C:C), "N/A")</f>
        <v>N/A</v>
      </c>
      <c r="M835" t="str" cm="1">
        <f t="array" ref="M835">IFERROR(_xlfn.XLOOKUP(C835&amp;A835, RYOE!A:A&amp;RYOE!F:F, RYOE!D:D), "N/A")</f>
        <v>N/A</v>
      </c>
      <c r="N835" t="str" cm="1">
        <f t="array" ref="N835">IFERROR(_xlfn.XLOOKUP(C835&amp;A835, RYOE!A:A&amp;RYOE!F:F, RYOE!E:E), "N/A")</f>
        <v>N/A</v>
      </c>
    </row>
    <row r="836" spans="1:14" ht="15" customHeight="1" x14ac:dyDescent="0.45">
      <c r="A836" s="7">
        <v>2021</v>
      </c>
      <c r="B836" s="5" t="s">
        <v>518</v>
      </c>
      <c r="C836" s="1" t="str">
        <f t="shared" si="26"/>
        <v>Patrick Laird</v>
      </c>
      <c r="D836" s="1" t="str">
        <f t="shared" si="27"/>
        <v>MIA</v>
      </c>
      <c r="E836" s="1">
        <v>1</v>
      </c>
      <c r="F836" s="1">
        <v>4</v>
      </c>
      <c r="G836" s="1">
        <v>4</v>
      </c>
      <c r="H836" s="1">
        <v>0</v>
      </c>
      <c r="I836">
        <v>0</v>
      </c>
      <c r="J836">
        <v>3</v>
      </c>
      <c r="K836" cm="1">
        <f t="array" ref="K836">IFERROR(_xlfn.XLOOKUP(D836&amp;A836, RBWR!A:A&amp;RBWR!C:C, RBWR!B:B), "N/A")</f>
        <v>71</v>
      </c>
      <c r="L836" t="str" cm="1">
        <f t="array" ref="L836">IFERROR(_xlfn.XLOOKUP(C836&amp;A836, RYOE!A:A&amp;RYOE!F:F, RYOE!C:C), "N/A")</f>
        <v>N/A</v>
      </c>
      <c r="M836" t="str" cm="1">
        <f t="array" ref="M836">IFERROR(_xlfn.XLOOKUP(C836&amp;A836, RYOE!A:A&amp;RYOE!F:F, RYOE!D:D), "N/A")</f>
        <v>N/A</v>
      </c>
      <c r="N836" t="str" cm="1">
        <f t="array" ref="N836">IFERROR(_xlfn.XLOOKUP(C836&amp;A836, RYOE!A:A&amp;RYOE!F:F, RYOE!E:E), "N/A")</f>
        <v>N/A</v>
      </c>
    </row>
    <row r="837" spans="1:14" ht="15" customHeight="1" x14ac:dyDescent="0.45">
      <c r="A837" s="8">
        <v>2021</v>
      </c>
      <c r="B837" s="6" t="s">
        <v>274</v>
      </c>
      <c r="C837" s="2" t="str">
        <f t="shared" si="26"/>
        <v>Adam Prentice</v>
      </c>
      <c r="D837" s="2" t="str">
        <f t="shared" si="27"/>
        <v>NO</v>
      </c>
      <c r="E837" s="2">
        <v>3</v>
      </c>
      <c r="F837" s="2">
        <v>5</v>
      </c>
      <c r="G837" s="2">
        <v>1.7</v>
      </c>
      <c r="H837" s="2">
        <v>0</v>
      </c>
      <c r="I837">
        <v>0</v>
      </c>
      <c r="J837">
        <v>5</v>
      </c>
      <c r="K837" cm="1">
        <f t="array" ref="K837">IFERROR(_xlfn.XLOOKUP(D837&amp;A837, RBWR!A:A&amp;RBWR!C:C, RBWR!B:B), "N/A")</f>
        <v>69</v>
      </c>
      <c r="L837" t="str" cm="1">
        <f t="array" ref="L837">IFERROR(_xlfn.XLOOKUP(C837&amp;A837, RYOE!A:A&amp;RYOE!F:F, RYOE!C:C), "N/A")</f>
        <v>N/A</v>
      </c>
      <c r="M837" t="str" cm="1">
        <f t="array" ref="M837">IFERROR(_xlfn.XLOOKUP(C837&amp;A837, RYOE!A:A&amp;RYOE!F:F, RYOE!D:D), "N/A")</f>
        <v>N/A</v>
      </c>
      <c r="N837" t="str" cm="1">
        <f t="array" ref="N837">IFERROR(_xlfn.XLOOKUP(C837&amp;A837, RYOE!A:A&amp;RYOE!F:F, RYOE!E:E), "N/A")</f>
        <v>N/A</v>
      </c>
    </row>
    <row r="838" spans="1:14" ht="15" customHeight="1" x14ac:dyDescent="0.45">
      <c r="A838" s="7">
        <v>2021</v>
      </c>
      <c r="B838" s="5" t="s">
        <v>519</v>
      </c>
      <c r="C838" s="1" t="str">
        <f t="shared" si="26"/>
        <v>Raheem Mostert</v>
      </c>
      <c r="D838" s="1" t="str">
        <f t="shared" si="27"/>
        <v>SF</v>
      </c>
      <c r="E838" s="1">
        <v>2</v>
      </c>
      <c r="F838" s="1">
        <v>20</v>
      </c>
      <c r="G838" s="1">
        <v>10</v>
      </c>
      <c r="H838" s="1">
        <v>0</v>
      </c>
      <c r="I838">
        <v>0</v>
      </c>
      <c r="J838">
        <v>1</v>
      </c>
      <c r="K838" cm="1">
        <f t="array" ref="K838">IFERROR(_xlfn.XLOOKUP(D838&amp;A838, RBWR!A:A&amp;RBWR!C:C, RBWR!B:B), "N/A")</f>
        <v>70</v>
      </c>
      <c r="L838" t="str" cm="1">
        <f t="array" ref="L838">IFERROR(_xlfn.XLOOKUP(C838&amp;A838, RYOE!A:A&amp;RYOE!F:F, RYOE!C:C), "N/A")</f>
        <v>N/A</v>
      </c>
      <c r="M838" t="str" cm="1">
        <f t="array" ref="M838">IFERROR(_xlfn.XLOOKUP(C838&amp;A838, RYOE!A:A&amp;RYOE!F:F, RYOE!D:D), "N/A")</f>
        <v>N/A</v>
      </c>
      <c r="N838" t="str" cm="1">
        <f t="array" ref="N838">IFERROR(_xlfn.XLOOKUP(C838&amp;A838, RYOE!A:A&amp;RYOE!F:F, RYOE!E:E), "N/A")</f>
        <v>N/A</v>
      </c>
    </row>
    <row r="839" spans="1:14" ht="15" customHeight="1" x14ac:dyDescent="0.45">
      <c r="A839" s="8">
        <v>2021</v>
      </c>
      <c r="B839" s="6" t="s">
        <v>324</v>
      </c>
      <c r="C839" s="2" t="str">
        <f t="shared" si="26"/>
        <v>Nick Bawden</v>
      </c>
      <c r="D839" s="2" t="str">
        <f t="shared" si="27"/>
        <v>NYJ</v>
      </c>
      <c r="E839" s="2">
        <v>0</v>
      </c>
      <c r="F839" s="2">
        <v>0</v>
      </c>
      <c r="G839" s="2">
        <v>0</v>
      </c>
      <c r="H839" s="2">
        <v>0</v>
      </c>
      <c r="I839">
        <v>0</v>
      </c>
      <c r="J839">
        <v>1</v>
      </c>
      <c r="K839" cm="1">
        <f t="array" ref="K839">IFERROR(_xlfn.XLOOKUP(D839&amp;A839, RBWR!A:A&amp;RBWR!C:C, RBWR!B:B), "N/A")</f>
        <v>68</v>
      </c>
      <c r="L839" t="str" cm="1">
        <f t="array" ref="L839">IFERROR(_xlfn.XLOOKUP(C839&amp;A839, RYOE!A:A&amp;RYOE!F:F, RYOE!C:C), "N/A")</f>
        <v>N/A</v>
      </c>
      <c r="M839" t="str" cm="1">
        <f t="array" ref="M839">IFERROR(_xlfn.XLOOKUP(C839&amp;A839, RYOE!A:A&amp;RYOE!F:F, RYOE!D:D), "N/A")</f>
        <v>N/A</v>
      </c>
      <c r="N839" t="str" cm="1">
        <f t="array" ref="N839">IFERROR(_xlfn.XLOOKUP(C839&amp;A839, RYOE!A:A&amp;RYOE!F:F, RYOE!E:E), "N/A")</f>
        <v>N/A</v>
      </c>
    </row>
    <row r="840" spans="1:14" ht="15" customHeight="1" x14ac:dyDescent="0.45">
      <c r="A840" s="7">
        <v>2021</v>
      </c>
      <c r="B840" s="5" t="s">
        <v>520</v>
      </c>
      <c r="C840" s="1" t="str">
        <f t="shared" si="26"/>
        <v>Darrynton Evans</v>
      </c>
      <c r="D840" s="1" t="str">
        <f t="shared" si="27"/>
        <v>TEN</v>
      </c>
      <c r="E840" s="1">
        <v>2</v>
      </c>
      <c r="F840" s="1">
        <v>7</v>
      </c>
      <c r="G840" s="1">
        <v>3.5</v>
      </c>
      <c r="H840" s="1">
        <v>0</v>
      </c>
      <c r="I840">
        <v>0</v>
      </c>
      <c r="J840">
        <v>2</v>
      </c>
      <c r="K840" cm="1">
        <f t="array" ref="K840">IFERROR(_xlfn.XLOOKUP(D840&amp;A840, RBWR!A:A&amp;RBWR!C:C, RBWR!B:B), "N/A")</f>
        <v>69</v>
      </c>
      <c r="L840" t="str" cm="1">
        <f t="array" ref="L840">IFERROR(_xlfn.XLOOKUP(C840&amp;A840, RYOE!A:A&amp;RYOE!F:F, RYOE!C:C), "N/A")</f>
        <v>N/A</v>
      </c>
      <c r="M840" t="str" cm="1">
        <f t="array" ref="M840">IFERROR(_xlfn.XLOOKUP(C840&amp;A840, RYOE!A:A&amp;RYOE!F:F, RYOE!D:D), "N/A")</f>
        <v>N/A</v>
      </c>
      <c r="N840" t="str" cm="1">
        <f t="array" ref="N840">IFERROR(_xlfn.XLOOKUP(C840&amp;A840, RYOE!A:A&amp;RYOE!F:F, RYOE!E:E), "N/A")</f>
        <v>N/A</v>
      </c>
    </row>
    <row r="841" spans="1:14" ht="15" customHeight="1" x14ac:dyDescent="0.45">
      <c r="A841" s="8">
        <v>2021</v>
      </c>
      <c r="B841" s="6" t="s">
        <v>407</v>
      </c>
      <c r="C841" s="2" t="str">
        <f t="shared" si="26"/>
        <v>Derek Watt</v>
      </c>
      <c r="D841" s="2" t="str">
        <f t="shared" si="27"/>
        <v>PIT</v>
      </c>
      <c r="E841" s="2">
        <v>1</v>
      </c>
      <c r="F841" s="2">
        <v>1</v>
      </c>
      <c r="G841" s="2">
        <v>1</v>
      </c>
      <c r="H841" s="2">
        <v>0</v>
      </c>
      <c r="I841">
        <v>0</v>
      </c>
      <c r="J841">
        <v>11</v>
      </c>
      <c r="K841" cm="1">
        <f t="array" ref="K841">IFERROR(_xlfn.XLOOKUP(D841&amp;A841, RBWR!A:A&amp;RBWR!C:C, RBWR!B:B), "N/A")</f>
        <v>67</v>
      </c>
      <c r="L841" t="str" cm="1">
        <f t="array" ref="L841">IFERROR(_xlfn.XLOOKUP(C841&amp;A841, RYOE!A:A&amp;RYOE!F:F, RYOE!C:C), "N/A")</f>
        <v>N/A</v>
      </c>
      <c r="M841" t="str" cm="1">
        <f t="array" ref="M841">IFERROR(_xlfn.XLOOKUP(C841&amp;A841, RYOE!A:A&amp;RYOE!F:F, RYOE!D:D), "N/A")</f>
        <v>N/A</v>
      </c>
      <c r="N841" t="str" cm="1">
        <f t="array" ref="N841">IFERROR(_xlfn.XLOOKUP(C841&amp;A841, RYOE!A:A&amp;RYOE!F:F, RYOE!E:E), "N/A")</f>
        <v>N/A</v>
      </c>
    </row>
    <row r="842" spans="1:14" ht="15" customHeight="1" x14ac:dyDescent="0.45">
      <c r="A842" s="7">
        <v>2021</v>
      </c>
      <c r="B842" s="5" t="s">
        <v>521</v>
      </c>
      <c r="C842" s="1" t="str">
        <f t="shared" si="26"/>
        <v>Reggie Bonnafon</v>
      </c>
      <c r="D842" s="1" t="str">
        <f t="shared" si="27"/>
        <v>CAR</v>
      </c>
      <c r="E842" s="1">
        <v>1</v>
      </c>
      <c r="F842" s="1">
        <v>4</v>
      </c>
      <c r="G842" s="1">
        <v>4</v>
      </c>
      <c r="H842" s="1">
        <v>0</v>
      </c>
      <c r="I842">
        <v>0</v>
      </c>
      <c r="J842">
        <v>1</v>
      </c>
      <c r="K842" cm="1">
        <f t="array" ref="K842">IFERROR(_xlfn.XLOOKUP(D842&amp;A842, RBWR!A:A&amp;RBWR!C:C, RBWR!B:B), "N/A")</f>
        <v>68</v>
      </c>
      <c r="L842" t="str" cm="1">
        <f t="array" ref="L842">IFERROR(_xlfn.XLOOKUP(C842&amp;A842, RYOE!A:A&amp;RYOE!F:F, RYOE!C:C), "N/A")</f>
        <v>N/A</v>
      </c>
      <c r="M842" t="str" cm="1">
        <f t="array" ref="M842">IFERROR(_xlfn.XLOOKUP(C842&amp;A842, RYOE!A:A&amp;RYOE!F:F, RYOE!D:D), "N/A")</f>
        <v>N/A</v>
      </c>
      <c r="N842" t="str" cm="1">
        <f t="array" ref="N842">IFERROR(_xlfn.XLOOKUP(C842&amp;A842, RYOE!A:A&amp;RYOE!F:F, RYOE!E:E), "N/A")</f>
        <v>N/A</v>
      </c>
    </row>
    <row r="843" spans="1:14" ht="15" customHeight="1" x14ac:dyDescent="0.45">
      <c r="A843" s="8">
        <v>2021</v>
      </c>
      <c r="B843" s="6" t="s">
        <v>522</v>
      </c>
      <c r="C843" s="2" t="str">
        <f t="shared" si="26"/>
        <v>Trey Ragas</v>
      </c>
      <c r="D843" s="2" t="str">
        <f t="shared" si="27"/>
        <v>LV</v>
      </c>
      <c r="E843" s="2">
        <v>1</v>
      </c>
      <c r="F843" s="2">
        <v>9</v>
      </c>
      <c r="G843" s="2">
        <v>9</v>
      </c>
      <c r="H843" s="2">
        <v>0</v>
      </c>
      <c r="I843">
        <v>0</v>
      </c>
      <c r="J843">
        <v>1</v>
      </c>
      <c r="K843" cm="1">
        <f t="array" ref="K843">IFERROR(_xlfn.XLOOKUP(D843&amp;A843, RBWR!A:A&amp;RBWR!C:C, RBWR!B:B), "N/A")</f>
        <v>67</v>
      </c>
      <c r="L843" t="str" cm="1">
        <f t="array" ref="L843">IFERROR(_xlfn.XLOOKUP(C843&amp;A843, RYOE!A:A&amp;RYOE!F:F, RYOE!C:C), "N/A")</f>
        <v>N/A</v>
      </c>
      <c r="M843" t="str" cm="1">
        <f t="array" ref="M843">IFERROR(_xlfn.XLOOKUP(C843&amp;A843, RYOE!A:A&amp;RYOE!F:F, RYOE!D:D), "N/A")</f>
        <v>N/A</v>
      </c>
      <c r="N843" t="str" cm="1">
        <f t="array" ref="N843">IFERROR(_xlfn.XLOOKUP(C843&amp;A843, RYOE!A:A&amp;RYOE!F:F, RYOE!E:E), "N/A")</f>
        <v>N/A</v>
      </c>
    </row>
    <row r="844" spans="1:14" ht="15" customHeight="1" x14ac:dyDescent="0.45">
      <c r="A844" s="7">
        <v>2021</v>
      </c>
      <c r="B844" s="5" t="s">
        <v>346</v>
      </c>
      <c r="C844" s="1" t="str">
        <f t="shared" si="26"/>
        <v>Anthony McFarland Jr.</v>
      </c>
      <c r="D844" s="1" t="str">
        <f t="shared" si="27"/>
        <v>PIT</v>
      </c>
      <c r="E844" s="1">
        <v>3</v>
      </c>
      <c r="F844" s="1">
        <v>3</v>
      </c>
      <c r="G844" s="1">
        <v>1</v>
      </c>
      <c r="H844" s="1">
        <v>0</v>
      </c>
      <c r="I844">
        <v>0</v>
      </c>
      <c r="J844">
        <v>3</v>
      </c>
      <c r="K844" cm="1">
        <f t="array" ref="K844">IFERROR(_xlfn.XLOOKUP(D844&amp;A844, RBWR!A:A&amp;RBWR!C:C, RBWR!B:B), "N/A")</f>
        <v>67</v>
      </c>
      <c r="L844" t="str" cm="1">
        <f t="array" ref="L844">IFERROR(_xlfn.XLOOKUP(C844&amp;A844, RYOE!A:A&amp;RYOE!F:F, RYOE!C:C), "N/A")</f>
        <v>N/A</v>
      </c>
      <c r="M844" t="str" cm="1">
        <f t="array" ref="M844">IFERROR(_xlfn.XLOOKUP(C844&amp;A844, RYOE!A:A&amp;RYOE!F:F, RYOE!D:D), "N/A")</f>
        <v>N/A</v>
      </c>
      <c r="N844" t="str" cm="1">
        <f t="array" ref="N844">IFERROR(_xlfn.XLOOKUP(C844&amp;A844, RYOE!A:A&amp;RYOE!F:F, RYOE!E:E), "N/A")</f>
        <v>N/A</v>
      </c>
    </row>
    <row r="845" spans="1:14" ht="15" customHeight="1" x14ac:dyDescent="0.45">
      <c r="A845" s="8">
        <v>2021</v>
      </c>
      <c r="B845" s="6" t="s">
        <v>523</v>
      </c>
      <c r="C845" s="2" t="str">
        <f t="shared" si="26"/>
        <v>John Kelly Jr.</v>
      </c>
      <c r="D845" s="2" t="str">
        <f t="shared" si="27"/>
        <v>CLE</v>
      </c>
      <c r="E845" s="2">
        <v>2</v>
      </c>
      <c r="F845" s="2">
        <v>13</v>
      </c>
      <c r="G845" s="2">
        <v>6.5</v>
      </c>
      <c r="H845" s="2">
        <v>0</v>
      </c>
      <c r="I845">
        <v>0</v>
      </c>
      <c r="J845">
        <v>1</v>
      </c>
      <c r="K845" cm="1">
        <f t="array" ref="K845">IFERROR(_xlfn.XLOOKUP(D845&amp;A845, RBWR!A:A&amp;RBWR!C:C, RBWR!B:B), "N/A")</f>
        <v>72</v>
      </c>
      <c r="L845" t="str" cm="1">
        <f t="array" ref="L845">IFERROR(_xlfn.XLOOKUP(C845&amp;A845, RYOE!A:A&amp;RYOE!F:F, RYOE!C:C), "N/A")</f>
        <v>N/A</v>
      </c>
      <c r="M845" t="str" cm="1">
        <f t="array" ref="M845">IFERROR(_xlfn.XLOOKUP(C845&amp;A845, RYOE!A:A&amp;RYOE!F:F, RYOE!D:D), "N/A")</f>
        <v>N/A</v>
      </c>
      <c r="N845" t="str" cm="1">
        <f t="array" ref="N845">IFERROR(_xlfn.XLOOKUP(C845&amp;A845, RYOE!A:A&amp;RYOE!F:F, RYOE!E:E), "N/A")</f>
        <v>N/A</v>
      </c>
    </row>
    <row r="846" spans="1:14" ht="15" customHeight="1" x14ac:dyDescent="0.45">
      <c r="A846" s="7">
        <v>2021</v>
      </c>
      <c r="B846" s="5" t="s">
        <v>377</v>
      </c>
      <c r="C846" s="1" t="str">
        <f t="shared" si="26"/>
        <v>Cam Akers</v>
      </c>
      <c r="D846" s="1" t="str">
        <f t="shared" si="27"/>
        <v>LAR</v>
      </c>
      <c r="E846" s="1">
        <v>5</v>
      </c>
      <c r="F846" s="1">
        <v>3</v>
      </c>
      <c r="G846" s="1">
        <v>0.6</v>
      </c>
      <c r="H846" s="1">
        <v>0</v>
      </c>
      <c r="I846">
        <v>0</v>
      </c>
      <c r="J846">
        <v>2</v>
      </c>
      <c r="K846" cm="1">
        <f t="array" ref="K846">IFERROR(_xlfn.XLOOKUP(D846&amp;A846, RBWR!A:A&amp;RBWR!C:C, RBWR!B:B), "N/A")</f>
        <v>71</v>
      </c>
      <c r="L846" t="str" cm="1">
        <f t="array" ref="L846">IFERROR(_xlfn.XLOOKUP(C846&amp;A846, RYOE!A:A&amp;RYOE!F:F, RYOE!C:C), "N/A")</f>
        <v>N/A</v>
      </c>
      <c r="M846" t="str" cm="1">
        <f t="array" ref="M846">IFERROR(_xlfn.XLOOKUP(C846&amp;A846, RYOE!A:A&amp;RYOE!F:F, RYOE!D:D), "N/A")</f>
        <v>N/A</v>
      </c>
      <c r="N846" t="str" cm="1">
        <f t="array" ref="N846">IFERROR(_xlfn.XLOOKUP(C846&amp;A846, RYOE!A:A&amp;RYOE!F:F, RYOE!E:E), "N/A")</f>
        <v>N/A</v>
      </c>
    </row>
    <row r="847" spans="1:14" ht="15" customHeight="1" x14ac:dyDescent="0.45">
      <c r="A847" s="8">
        <v>2021</v>
      </c>
      <c r="B847" s="6" t="s">
        <v>524</v>
      </c>
      <c r="C847" s="2" t="str">
        <f t="shared" si="26"/>
        <v>Jacques Patrick</v>
      </c>
      <c r="D847" s="2" t="str">
        <f t="shared" si="27"/>
        <v>SF</v>
      </c>
      <c r="E847" s="2">
        <v>2</v>
      </c>
      <c r="F847" s="2">
        <v>12</v>
      </c>
      <c r="G847" s="2">
        <v>6</v>
      </c>
      <c r="H847" s="2">
        <v>0</v>
      </c>
      <c r="I847">
        <v>0</v>
      </c>
      <c r="J847">
        <v>1</v>
      </c>
      <c r="K847" cm="1">
        <f t="array" ref="K847">IFERROR(_xlfn.XLOOKUP(D847&amp;A847, RBWR!A:A&amp;RBWR!C:C, RBWR!B:B), "N/A")</f>
        <v>70</v>
      </c>
      <c r="L847" t="str" cm="1">
        <f t="array" ref="L847">IFERROR(_xlfn.XLOOKUP(C847&amp;A847, RYOE!A:A&amp;RYOE!F:F, RYOE!C:C), "N/A")</f>
        <v>N/A</v>
      </c>
      <c r="M847" t="str" cm="1">
        <f t="array" ref="M847">IFERROR(_xlfn.XLOOKUP(C847&amp;A847, RYOE!A:A&amp;RYOE!F:F, RYOE!D:D), "N/A")</f>
        <v>N/A</v>
      </c>
      <c r="N847" t="str" cm="1">
        <f t="array" ref="N847">IFERROR(_xlfn.XLOOKUP(C847&amp;A847, RYOE!A:A&amp;RYOE!F:F, RYOE!E:E), "N/A")</f>
        <v>N/A</v>
      </c>
    </row>
    <row r="848" spans="1:14" ht="15" customHeight="1" x14ac:dyDescent="0.45">
      <c r="A848" s="7">
        <v>2021</v>
      </c>
      <c r="B848" s="5" t="s">
        <v>525</v>
      </c>
      <c r="C848" s="1" t="str">
        <f t="shared" si="26"/>
        <v>Buddy Howell</v>
      </c>
      <c r="D848" s="1" t="str">
        <f t="shared" si="27"/>
        <v>LAR</v>
      </c>
      <c r="E848" s="1">
        <v>5</v>
      </c>
      <c r="F848" s="1">
        <v>11</v>
      </c>
      <c r="G848" s="1">
        <v>2.2000000000000002</v>
      </c>
      <c r="H848" s="1">
        <v>0</v>
      </c>
      <c r="I848">
        <v>0</v>
      </c>
      <c r="J848">
        <v>5</v>
      </c>
      <c r="K848" cm="1">
        <f t="array" ref="K848">IFERROR(_xlfn.XLOOKUP(D848&amp;A848, RBWR!A:A&amp;RBWR!C:C, RBWR!B:B), "N/A")</f>
        <v>71</v>
      </c>
      <c r="L848" t="str" cm="1">
        <f t="array" ref="L848">IFERROR(_xlfn.XLOOKUP(C848&amp;A848, RYOE!A:A&amp;RYOE!F:F, RYOE!C:C), "N/A")</f>
        <v>N/A</v>
      </c>
      <c r="M848" t="str" cm="1">
        <f t="array" ref="M848">IFERROR(_xlfn.XLOOKUP(C848&amp;A848, RYOE!A:A&amp;RYOE!F:F, RYOE!D:D), "N/A")</f>
        <v>N/A</v>
      </c>
      <c r="N848" t="str" cm="1">
        <f t="array" ref="N848">IFERROR(_xlfn.XLOOKUP(C848&amp;A848, RYOE!A:A&amp;RYOE!F:F, RYOE!E:E), "N/A")</f>
        <v>N/A</v>
      </c>
    </row>
    <row r="849" spans="1:14" ht="15" customHeight="1" x14ac:dyDescent="0.45">
      <c r="A849" s="8">
        <v>2021</v>
      </c>
      <c r="B849" s="6" t="s">
        <v>526</v>
      </c>
      <c r="C849" s="2" t="str">
        <f t="shared" si="26"/>
        <v>Mekhi Sargent</v>
      </c>
      <c r="D849" s="2" t="str">
        <f t="shared" si="27"/>
        <v>JAC</v>
      </c>
      <c r="E849" s="2">
        <v>5</v>
      </c>
      <c r="F849" s="2">
        <v>11</v>
      </c>
      <c r="G849" s="2">
        <v>2.2000000000000002</v>
      </c>
      <c r="H849" s="2">
        <v>0</v>
      </c>
      <c r="I849">
        <v>0</v>
      </c>
      <c r="J849">
        <v>5</v>
      </c>
      <c r="K849" cm="1">
        <f t="array" ref="K849">IFERROR(_xlfn.XLOOKUP(D849&amp;A849, RBWR!A:A&amp;RBWR!C:C, RBWR!B:B), "N/A")</f>
        <v>70</v>
      </c>
      <c r="L849" t="str" cm="1">
        <f t="array" ref="L849">IFERROR(_xlfn.XLOOKUP(C849&amp;A849, RYOE!A:A&amp;RYOE!F:F, RYOE!C:C), "N/A")</f>
        <v>N/A</v>
      </c>
      <c r="M849" t="str" cm="1">
        <f t="array" ref="M849">IFERROR(_xlfn.XLOOKUP(C849&amp;A849, RYOE!A:A&amp;RYOE!F:F, RYOE!D:D), "N/A")</f>
        <v>N/A</v>
      </c>
      <c r="N849" t="str" cm="1">
        <f t="array" ref="N849">IFERROR(_xlfn.XLOOKUP(C849&amp;A849, RYOE!A:A&amp;RYOE!F:F, RYOE!E:E), "N/A")</f>
        <v>N/A</v>
      </c>
    </row>
    <row r="850" spans="1:14" ht="15" customHeight="1" x14ac:dyDescent="0.45">
      <c r="A850" s="7">
        <v>2021</v>
      </c>
      <c r="B850" s="5" t="s">
        <v>325</v>
      </c>
      <c r="C850" s="1" t="str">
        <f t="shared" si="26"/>
        <v>Gary Brightwell</v>
      </c>
      <c r="D850" s="1" t="str">
        <f t="shared" si="27"/>
        <v>NYG</v>
      </c>
      <c r="E850" s="1">
        <v>1</v>
      </c>
      <c r="F850" s="1">
        <v>4</v>
      </c>
      <c r="G850" s="1">
        <v>4</v>
      </c>
      <c r="H850" s="1">
        <v>0</v>
      </c>
      <c r="I850">
        <v>0</v>
      </c>
      <c r="J850">
        <v>7</v>
      </c>
      <c r="K850" cm="1">
        <f t="array" ref="K850">IFERROR(_xlfn.XLOOKUP(D850&amp;A850, RBWR!A:A&amp;RBWR!C:C, RBWR!B:B), "N/A")</f>
        <v>71</v>
      </c>
      <c r="L850" t="str" cm="1">
        <f t="array" ref="L850">IFERROR(_xlfn.XLOOKUP(C850&amp;A850, RYOE!A:A&amp;RYOE!F:F, RYOE!C:C), "N/A")</f>
        <v>N/A</v>
      </c>
      <c r="M850" t="str" cm="1">
        <f t="array" ref="M850">IFERROR(_xlfn.XLOOKUP(C850&amp;A850, RYOE!A:A&amp;RYOE!F:F, RYOE!D:D), "N/A")</f>
        <v>N/A</v>
      </c>
      <c r="N850" t="str" cm="1">
        <f t="array" ref="N850">IFERROR(_xlfn.XLOOKUP(C850&amp;A850, RYOE!A:A&amp;RYOE!F:F, RYOE!E:E), "N/A")</f>
        <v>N/A</v>
      </c>
    </row>
    <row r="851" spans="1:14" ht="15" customHeight="1" x14ac:dyDescent="0.45">
      <c r="A851" s="8">
        <v>2021</v>
      </c>
      <c r="B851" s="6" t="s">
        <v>527</v>
      </c>
      <c r="C851" s="2" t="str">
        <f t="shared" si="26"/>
        <v>Ryan Nall</v>
      </c>
      <c r="D851" s="2" t="str">
        <f t="shared" si="27"/>
        <v>CHI</v>
      </c>
      <c r="E851" s="2">
        <v>1</v>
      </c>
      <c r="F851" s="2">
        <v>4</v>
      </c>
      <c r="G851" s="2">
        <v>4</v>
      </c>
      <c r="H851" s="2">
        <v>0</v>
      </c>
      <c r="I851">
        <v>0</v>
      </c>
      <c r="J851">
        <v>5</v>
      </c>
      <c r="K851" cm="1">
        <f t="array" ref="K851">IFERROR(_xlfn.XLOOKUP(D851&amp;A851, RBWR!A:A&amp;RBWR!C:C, RBWR!B:B), "N/A")</f>
        <v>71</v>
      </c>
      <c r="L851" t="str" cm="1">
        <f t="array" ref="L851">IFERROR(_xlfn.XLOOKUP(C851&amp;A851, RYOE!A:A&amp;RYOE!F:F, RYOE!C:C), "N/A")</f>
        <v>N/A</v>
      </c>
      <c r="M851" t="str" cm="1">
        <f t="array" ref="M851">IFERROR(_xlfn.XLOOKUP(C851&amp;A851, RYOE!A:A&amp;RYOE!F:F, RYOE!D:D), "N/A")</f>
        <v>N/A</v>
      </c>
      <c r="N851" t="str" cm="1">
        <f t="array" ref="N851">IFERROR(_xlfn.XLOOKUP(C851&amp;A851, RYOE!A:A&amp;RYOE!F:F, RYOE!E:E), "N/A")</f>
        <v>N/A</v>
      </c>
    </row>
    <row r="852" spans="1:14" ht="15" customHeight="1" x14ac:dyDescent="0.45">
      <c r="A852" s="7">
        <v>2021</v>
      </c>
      <c r="B852" s="5" t="s">
        <v>528</v>
      </c>
      <c r="C852" s="1" t="str">
        <f t="shared" si="26"/>
        <v>Damarea Crockett</v>
      </c>
      <c r="D852" s="1" t="str">
        <f t="shared" si="27"/>
        <v>DEN</v>
      </c>
      <c r="E852" s="1">
        <v>3</v>
      </c>
      <c r="F852" s="1">
        <v>7</v>
      </c>
      <c r="G852" s="1">
        <v>2.2999999999999998</v>
      </c>
      <c r="H852" s="1">
        <v>0</v>
      </c>
      <c r="I852">
        <v>0</v>
      </c>
      <c r="J852">
        <v>1</v>
      </c>
      <c r="K852" cm="1">
        <f t="array" ref="K852">IFERROR(_xlfn.XLOOKUP(D852&amp;A852, RBWR!A:A&amp;RBWR!C:C, RBWR!B:B), "N/A")</f>
        <v>70</v>
      </c>
      <c r="L852" t="str" cm="1">
        <f t="array" ref="L852">IFERROR(_xlfn.XLOOKUP(C852&amp;A852, RYOE!A:A&amp;RYOE!F:F, RYOE!C:C), "N/A")</f>
        <v>N/A</v>
      </c>
      <c r="M852" t="str" cm="1">
        <f t="array" ref="M852">IFERROR(_xlfn.XLOOKUP(C852&amp;A852, RYOE!A:A&amp;RYOE!F:F, RYOE!D:D), "N/A")</f>
        <v>N/A</v>
      </c>
      <c r="N852" t="str" cm="1">
        <f t="array" ref="N852">IFERROR(_xlfn.XLOOKUP(C852&amp;A852, RYOE!A:A&amp;RYOE!F:F, RYOE!E:E), "N/A")</f>
        <v>N/A</v>
      </c>
    </row>
    <row r="853" spans="1:14" ht="15" customHeight="1" x14ac:dyDescent="0.45">
      <c r="A853" s="8">
        <v>2021</v>
      </c>
      <c r="B853" s="6" t="s">
        <v>447</v>
      </c>
      <c r="C853" s="2" t="str">
        <f t="shared" si="26"/>
        <v>Jake Funk</v>
      </c>
      <c r="D853" s="2" t="str">
        <f t="shared" si="27"/>
        <v>LAR</v>
      </c>
      <c r="E853" s="2">
        <v>2</v>
      </c>
      <c r="F853" s="2">
        <v>5</v>
      </c>
      <c r="G853" s="2">
        <v>2.5</v>
      </c>
      <c r="H853" s="2">
        <v>0</v>
      </c>
      <c r="I853">
        <v>0</v>
      </c>
      <c r="J853">
        <v>5</v>
      </c>
      <c r="K853" cm="1">
        <f t="array" ref="K853">IFERROR(_xlfn.XLOOKUP(D853&amp;A853, RBWR!A:A&amp;RBWR!C:C, RBWR!B:B), "N/A")</f>
        <v>71</v>
      </c>
      <c r="L853" t="str" cm="1">
        <f t="array" ref="L853">IFERROR(_xlfn.XLOOKUP(C853&amp;A853, RYOE!A:A&amp;RYOE!F:F, RYOE!C:C), "N/A")</f>
        <v>N/A</v>
      </c>
      <c r="M853" t="str" cm="1">
        <f t="array" ref="M853">IFERROR(_xlfn.XLOOKUP(C853&amp;A853, RYOE!A:A&amp;RYOE!F:F, RYOE!D:D), "N/A")</f>
        <v>N/A</v>
      </c>
      <c r="N853" t="str" cm="1">
        <f t="array" ref="N853">IFERROR(_xlfn.XLOOKUP(C853&amp;A853, RYOE!A:A&amp;RYOE!F:F, RYOE!E:E), "N/A")</f>
        <v>N/A</v>
      </c>
    </row>
    <row r="854" spans="1:14" ht="15" customHeight="1" x14ac:dyDescent="0.45">
      <c r="A854" s="7">
        <v>2021</v>
      </c>
      <c r="B854" s="5" t="s">
        <v>529</v>
      </c>
      <c r="C854" s="1" t="str">
        <f t="shared" si="26"/>
        <v>Devine Ozigbo</v>
      </c>
      <c r="D854" s="1" t="str">
        <f t="shared" si="27"/>
        <v>JAC</v>
      </c>
      <c r="E854" s="1">
        <v>1</v>
      </c>
      <c r="F854" s="1">
        <v>-3</v>
      </c>
      <c r="G854" s="1">
        <v>-3</v>
      </c>
      <c r="H854" s="1">
        <v>0</v>
      </c>
      <c r="I854">
        <v>0</v>
      </c>
      <c r="J854">
        <v>2</v>
      </c>
      <c r="K854" cm="1">
        <f t="array" ref="K854">IFERROR(_xlfn.XLOOKUP(D854&amp;A854, RBWR!A:A&amp;RBWR!C:C, RBWR!B:B), "N/A")</f>
        <v>70</v>
      </c>
      <c r="L854" t="str" cm="1">
        <f t="array" ref="L854">IFERROR(_xlfn.XLOOKUP(C854&amp;A854, RYOE!A:A&amp;RYOE!F:F, RYOE!C:C), "N/A")</f>
        <v>N/A</v>
      </c>
      <c r="M854" t="str" cm="1">
        <f t="array" ref="M854">IFERROR(_xlfn.XLOOKUP(C854&amp;A854, RYOE!A:A&amp;RYOE!F:F, RYOE!D:D), "N/A")</f>
        <v>N/A</v>
      </c>
      <c r="N854" t="str" cm="1">
        <f t="array" ref="N854">IFERROR(_xlfn.XLOOKUP(C854&amp;A854, RYOE!A:A&amp;RYOE!F:F, RYOE!E:E), "N/A")</f>
        <v>N/A</v>
      </c>
    </row>
    <row r="855" spans="1:14" ht="15" customHeight="1" x14ac:dyDescent="0.45">
      <c r="A855" s="8">
        <v>2021</v>
      </c>
      <c r="B855" s="6" t="s">
        <v>530</v>
      </c>
      <c r="C855" s="2" t="str">
        <f t="shared" si="26"/>
        <v>Nathan Cottrell</v>
      </c>
      <c r="D855" s="2" t="str">
        <f t="shared" si="27"/>
        <v>JAC</v>
      </c>
      <c r="E855" s="2">
        <v>1</v>
      </c>
      <c r="F855" s="2">
        <v>3</v>
      </c>
      <c r="G855" s="2">
        <v>3</v>
      </c>
      <c r="H855" s="2">
        <v>0</v>
      </c>
      <c r="I855">
        <v>0</v>
      </c>
      <c r="J855">
        <v>3</v>
      </c>
      <c r="K855" cm="1">
        <f t="array" ref="K855">IFERROR(_xlfn.XLOOKUP(D855&amp;A855, RBWR!A:A&amp;RBWR!C:C, RBWR!B:B), "N/A")</f>
        <v>70</v>
      </c>
      <c r="L855" t="str" cm="1">
        <f t="array" ref="L855">IFERROR(_xlfn.XLOOKUP(C855&amp;A855, RYOE!A:A&amp;RYOE!F:F, RYOE!C:C), "N/A")</f>
        <v>N/A</v>
      </c>
      <c r="M855" t="str" cm="1">
        <f t="array" ref="M855">IFERROR(_xlfn.XLOOKUP(C855&amp;A855, RYOE!A:A&amp;RYOE!F:F, RYOE!D:D), "N/A")</f>
        <v>N/A</v>
      </c>
      <c r="N855" t="str" cm="1">
        <f t="array" ref="N855">IFERROR(_xlfn.XLOOKUP(C855&amp;A855, RYOE!A:A&amp;RYOE!F:F, RYOE!E:E), "N/A")</f>
        <v>N/A</v>
      </c>
    </row>
    <row r="856" spans="1:14" ht="15" customHeight="1" x14ac:dyDescent="0.45">
      <c r="A856" s="7">
        <v>2021</v>
      </c>
      <c r="B856" s="5" t="s">
        <v>451</v>
      </c>
      <c r="C856" s="1" t="str">
        <f t="shared" si="26"/>
        <v>Taiwan Jones</v>
      </c>
      <c r="D856" s="1" t="str">
        <f t="shared" si="27"/>
        <v>BUF</v>
      </c>
      <c r="E856" s="1">
        <v>0</v>
      </c>
      <c r="F856" s="1">
        <v>0</v>
      </c>
      <c r="G856" s="1">
        <v>0</v>
      </c>
      <c r="H856" s="1">
        <v>0</v>
      </c>
      <c r="I856">
        <v>0</v>
      </c>
      <c r="J856">
        <v>7</v>
      </c>
      <c r="K856" cm="1">
        <f t="array" ref="K856">IFERROR(_xlfn.XLOOKUP(D856&amp;A856, RBWR!A:A&amp;RBWR!C:C, RBWR!B:B), "N/A")</f>
        <v>69</v>
      </c>
      <c r="L856" t="str" cm="1">
        <f t="array" ref="L856">IFERROR(_xlfn.XLOOKUP(C856&amp;A856, RYOE!A:A&amp;RYOE!F:F, RYOE!C:C), "N/A")</f>
        <v>N/A</v>
      </c>
      <c r="M856" t="str" cm="1">
        <f t="array" ref="M856">IFERROR(_xlfn.XLOOKUP(C856&amp;A856, RYOE!A:A&amp;RYOE!F:F, RYOE!D:D), "N/A")</f>
        <v>N/A</v>
      </c>
      <c r="N856" t="str" cm="1">
        <f t="array" ref="N856">IFERROR(_xlfn.XLOOKUP(C856&amp;A856, RYOE!A:A&amp;RYOE!F:F, RYOE!E:E), "N/A")</f>
        <v>N/A</v>
      </c>
    </row>
    <row r="857" spans="1:14" ht="15" customHeight="1" x14ac:dyDescent="0.45">
      <c r="A857" s="8">
        <v>2021</v>
      </c>
      <c r="B857" s="6" t="s">
        <v>438</v>
      </c>
      <c r="C857" s="2" t="str">
        <f t="shared" si="26"/>
        <v>Kenjon Barner</v>
      </c>
      <c r="D857" s="2" t="str">
        <f t="shared" si="27"/>
        <v>TB</v>
      </c>
      <c r="E857" s="2">
        <v>4</v>
      </c>
      <c r="F857" s="2">
        <v>0</v>
      </c>
      <c r="G857" s="2">
        <v>0</v>
      </c>
      <c r="H857" s="2">
        <v>0</v>
      </c>
      <c r="I857">
        <v>0</v>
      </c>
      <c r="J857">
        <v>3</v>
      </c>
      <c r="K857" cm="1">
        <f t="array" ref="K857">IFERROR(_xlfn.XLOOKUP(D857&amp;A857, RBWR!A:A&amp;RBWR!C:C, RBWR!B:B), "N/A")</f>
        <v>70</v>
      </c>
      <c r="L857" t="str" cm="1">
        <f t="array" ref="L857">IFERROR(_xlfn.XLOOKUP(C857&amp;A857, RYOE!A:A&amp;RYOE!F:F, RYOE!C:C), "N/A")</f>
        <v>N/A</v>
      </c>
      <c r="M857" t="str" cm="1">
        <f t="array" ref="M857">IFERROR(_xlfn.XLOOKUP(C857&amp;A857, RYOE!A:A&amp;RYOE!F:F, RYOE!D:D), "N/A")</f>
        <v>N/A</v>
      </c>
      <c r="N857" t="str" cm="1">
        <f t="array" ref="N857">IFERROR(_xlfn.XLOOKUP(C857&amp;A857, RYOE!A:A&amp;RYOE!F:F, RYOE!E:E), "N/A")</f>
        <v>N/A</v>
      </c>
    </row>
    <row r="858" spans="1:14" ht="15" customHeight="1" x14ac:dyDescent="0.45">
      <c r="A858" s="7">
        <v>2021</v>
      </c>
      <c r="B858" s="5" t="s">
        <v>531</v>
      </c>
      <c r="C858" s="1" t="str">
        <f t="shared" si="26"/>
        <v>J.P. Holtz</v>
      </c>
      <c r="D858" s="1" t="str">
        <f t="shared" si="27"/>
        <v>CHI</v>
      </c>
      <c r="E858" s="1">
        <v>0</v>
      </c>
      <c r="F858" s="1">
        <v>0</v>
      </c>
      <c r="G858" s="1">
        <v>0</v>
      </c>
      <c r="H858" s="1">
        <v>0</v>
      </c>
      <c r="I858">
        <v>0</v>
      </c>
      <c r="J858">
        <v>5</v>
      </c>
      <c r="K858" cm="1">
        <f t="array" ref="K858">IFERROR(_xlfn.XLOOKUP(D858&amp;A858, RBWR!A:A&amp;RBWR!C:C, RBWR!B:B), "N/A")</f>
        <v>71</v>
      </c>
      <c r="L858" t="str" cm="1">
        <f t="array" ref="L858">IFERROR(_xlfn.XLOOKUP(C858&amp;A858, RYOE!A:A&amp;RYOE!F:F, RYOE!C:C), "N/A")</f>
        <v>N/A</v>
      </c>
      <c r="M858" t="str" cm="1">
        <f t="array" ref="M858">IFERROR(_xlfn.XLOOKUP(C858&amp;A858, RYOE!A:A&amp;RYOE!F:F, RYOE!D:D), "N/A")</f>
        <v>N/A</v>
      </c>
      <c r="N858" t="str" cm="1">
        <f t="array" ref="N858">IFERROR(_xlfn.XLOOKUP(C858&amp;A858, RYOE!A:A&amp;RYOE!F:F, RYOE!E:E), "N/A")</f>
        <v>N/A</v>
      </c>
    </row>
    <row r="859" spans="1:14" ht="15" customHeight="1" x14ac:dyDescent="0.45">
      <c r="A859" s="8">
        <v>2021</v>
      </c>
      <c r="B859" s="6" t="s">
        <v>440</v>
      </c>
      <c r="C859" s="2" t="str">
        <f t="shared" si="26"/>
        <v>Brandin Bryant</v>
      </c>
      <c r="D859" s="2" t="str">
        <f t="shared" si="27"/>
        <v>BUF</v>
      </c>
      <c r="E859" s="2">
        <v>0</v>
      </c>
      <c r="F859" s="2">
        <v>0</v>
      </c>
      <c r="G859" s="2">
        <v>0</v>
      </c>
      <c r="H859" s="2">
        <v>0</v>
      </c>
      <c r="I859">
        <v>0</v>
      </c>
      <c r="J859">
        <v>3</v>
      </c>
      <c r="K859" cm="1">
        <f t="array" ref="K859">IFERROR(_xlfn.XLOOKUP(D859&amp;A859, RBWR!A:A&amp;RBWR!C:C, RBWR!B:B), "N/A")</f>
        <v>69</v>
      </c>
      <c r="L859" t="str" cm="1">
        <f t="array" ref="L859">IFERROR(_xlfn.XLOOKUP(C859&amp;A859, RYOE!A:A&amp;RYOE!F:F, RYOE!C:C), "N/A")</f>
        <v>N/A</v>
      </c>
      <c r="M859" t="str" cm="1">
        <f t="array" ref="M859">IFERROR(_xlfn.XLOOKUP(C859&amp;A859, RYOE!A:A&amp;RYOE!F:F, RYOE!D:D), "N/A")</f>
        <v>N/A</v>
      </c>
      <c r="N859" t="str" cm="1">
        <f t="array" ref="N859">IFERROR(_xlfn.XLOOKUP(C859&amp;A859, RYOE!A:A&amp;RYOE!F:F, RYOE!E:E), "N/A")</f>
        <v>N/A</v>
      </c>
    </row>
    <row r="860" spans="1:14" ht="15" customHeight="1" x14ac:dyDescent="0.45">
      <c r="A860" s="7">
        <v>2021</v>
      </c>
      <c r="B860" s="5" t="s">
        <v>532</v>
      </c>
      <c r="C860" s="1" t="str">
        <f t="shared" si="26"/>
        <v>Brian Hill</v>
      </c>
      <c r="D860" s="1" t="str">
        <f t="shared" si="27"/>
        <v>SF</v>
      </c>
      <c r="E860" s="1">
        <v>0</v>
      </c>
      <c r="F860" s="1">
        <v>0</v>
      </c>
      <c r="G860" s="1">
        <v>0</v>
      </c>
      <c r="H860" s="1">
        <v>0</v>
      </c>
      <c r="I860">
        <v>0</v>
      </c>
      <c r="J860">
        <v>1</v>
      </c>
      <c r="K860" cm="1">
        <f t="array" ref="K860">IFERROR(_xlfn.XLOOKUP(D860&amp;A860, RBWR!A:A&amp;RBWR!C:C, RBWR!B:B), "N/A")</f>
        <v>70</v>
      </c>
      <c r="L860" t="str" cm="1">
        <f t="array" ref="L860">IFERROR(_xlfn.XLOOKUP(C860&amp;A860, RYOE!A:A&amp;RYOE!F:F, RYOE!C:C), "N/A")</f>
        <v>N/A</v>
      </c>
      <c r="M860" t="str" cm="1">
        <f t="array" ref="M860">IFERROR(_xlfn.XLOOKUP(C860&amp;A860, RYOE!A:A&amp;RYOE!F:F, RYOE!D:D), "N/A")</f>
        <v>N/A</v>
      </c>
      <c r="N860" t="str" cm="1">
        <f t="array" ref="N860">IFERROR(_xlfn.XLOOKUP(C860&amp;A860, RYOE!A:A&amp;RYOE!F:F, RYOE!E:E), "N/A")</f>
        <v>N/A</v>
      </c>
    </row>
    <row r="861" spans="1:14" ht="15" customHeight="1" x14ac:dyDescent="0.45">
      <c r="A861" s="8">
        <v>2021</v>
      </c>
      <c r="B861" s="6" t="s">
        <v>533</v>
      </c>
      <c r="C861" s="2" t="str">
        <f t="shared" si="26"/>
        <v>Tarik Cohen</v>
      </c>
      <c r="D861" s="2" t="str">
        <f t="shared" si="27"/>
        <v>CHI</v>
      </c>
      <c r="E861" s="2">
        <v>0</v>
      </c>
      <c r="F861" s="2">
        <v>0</v>
      </c>
      <c r="G861" s="2">
        <v>0</v>
      </c>
      <c r="H861" s="2">
        <v>0</v>
      </c>
      <c r="I861">
        <v>0</v>
      </c>
      <c r="J861">
        <v>1</v>
      </c>
      <c r="K861" cm="1">
        <f t="array" ref="K861">IFERROR(_xlfn.XLOOKUP(D861&amp;A861, RBWR!A:A&amp;RBWR!C:C, RBWR!B:B), "N/A")</f>
        <v>71</v>
      </c>
      <c r="L861" t="str" cm="1">
        <f t="array" ref="L861">IFERROR(_xlfn.XLOOKUP(C861&amp;A861, RYOE!A:A&amp;RYOE!F:F, RYOE!C:C), "N/A")</f>
        <v>N/A</v>
      </c>
      <c r="M861" t="str" cm="1">
        <f t="array" ref="M861">IFERROR(_xlfn.XLOOKUP(C861&amp;A861, RYOE!A:A&amp;RYOE!F:F, RYOE!D:D), "N/A")</f>
        <v>N/A</v>
      </c>
      <c r="N861" t="str" cm="1">
        <f t="array" ref="N861">IFERROR(_xlfn.XLOOKUP(C861&amp;A861, RYOE!A:A&amp;RYOE!F:F, RYOE!E:E), "N/A")</f>
        <v>N/A</v>
      </c>
    </row>
    <row r="862" spans="1:14" ht="15" customHeight="1" x14ac:dyDescent="0.45">
      <c r="A862" s="7">
        <v>2021</v>
      </c>
      <c r="B862" s="5" t="s">
        <v>534</v>
      </c>
      <c r="C862" s="1" t="str">
        <f t="shared" si="26"/>
        <v>Elijah McGuire</v>
      </c>
      <c r="D862" s="1" t="str">
        <f t="shared" si="27"/>
        <v>KC</v>
      </c>
      <c r="E862" s="1">
        <v>0</v>
      </c>
      <c r="F862" s="1">
        <v>0</v>
      </c>
      <c r="G862" s="1">
        <v>0</v>
      </c>
      <c r="H862" s="1">
        <v>0</v>
      </c>
      <c r="I862">
        <v>0</v>
      </c>
      <c r="J862">
        <v>3</v>
      </c>
      <c r="K862" cm="1">
        <f t="array" ref="K862">IFERROR(_xlfn.XLOOKUP(D862&amp;A862, RBWR!A:A&amp;RBWR!C:C, RBWR!B:B), "N/A")</f>
        <v>74</v>
      </c>
      <c r="L862" t="str" cm="1">
        <f t="array" ref="L862">IFERROR(_xlfn.XLOOKUP(C862&amp;A862, RYOE!A:A&amp;RYOE!F:F, RYOE!C:C), "N/A")</f>
        <v>N/A</v>
      </c>
      <c r="M862" t="str" cm="1">
        <f t="array" ref="M862">IFERROR(_xlfn.XLOOKUP(C862&amp;A862, RYOE!A:A&amp;RYOE!F:F, RYOE!D:D), "N/A")</f>
        <v>N/A</v>
      </c>
      <c r="N862" t="str" cm="1">
        <f t="array" ref="N862">IFERROR(_xlfn.XLOOKUP(C862&amp;A862, RYOE!A:A&amp;RYOE!F:F, RYOE!E:E), "N/A")</f>
        <v>N/A</v>
      </c>
    </row>
    <row r="863" spans="1:14" ht="15" customHeight="1" x14ac:dyDescent="0.45">
      <c r="A863" s="8">
        <v>2021</v>
      </c>
      <c r="B863" s="6" t="s">
        <v>535</v>
      </c>
      <c r="C863" s="2" t="str">
        <f t="shared" si="26"/>
        <v>Cethan Carter</v>
      </c>
      <c r="D863" s="2" t="str">
        <f t="shared" si="27"/>
        <v>MIA</v>
      </c>
      <c r="E863" s="2">
        <v>0</v>
      </c>
      <c r="F863" s="2">
        <v>0</v>
      </c>
      <c r="G863" s="2">
        <v>0</v>
      </c>
      <c r="H863" s="2">
        <v>0</v>
      </c>
      <c r="I863">
        <v>0</v>
      </c>
      <c r="J863">
        <v>9</v>
      </c>
      <c r="K863" cm="1">
        <f t="array" ref="K863">IFERROR(_xlfn.XLOOKUP(D863&amp;A863, RBWR!A:A&amp;RBWR!C:C, RBWR!B:B), "N/A")</f>
        <v>71</v>
      </c>
      <c r="L863" t="str" cm="1">
        <f t="array" ref="L863">IFERROR(_xlfn.XLOOKUP(C863&amp;A863, RYOE!A:A&amp;RYOE!F:F, RYOE!C:C), "N/A")</f>
        <v>N/A</v>
      </c>
      <c r="M863" t="str" cm="1">
        <f t="array" ref="M863">IFERROR(_xlfn.XLOOKUP(C863&amp;A863, RYOE!A:A&amp;RYOE!F:F, RYOE!D:D), "N/A")</f>
        <v>N/A</v>
      </c>
      <c r="N863" t="str" cm="1">
        <f t="array" ref="N863">IFERROR(_xlfn.XLOOKUP(C863&amp;A863, RYOE!A:A&amp;RYOE!F:F, RYOE!E:E), "N/A")</f>
        <v>N/A</v>
      </c>
    </row>
    <row r="864" spans="1:14" ht="15" customHeight="1" x14ac:dyDescent="0.45">
      <c r="A864" s="7">
        <v>2021</v>
      </c>
      <c r="B864" s="5" t="s">
        <v>536</v>
      </c>
      <c r="C864" s="1" t="str">
        <f t="shared" si="26"/>
        <v>Trey Edmunds</v>
      </c>
      <c r="D864" s="1" t="str">
        <f t="shared" si="27"/>
        <v>PIT</v>
      </c>
      <c r="E864" s="1">
        <v>0</v>
      </c>
      <c r="F864" s="1">
        <v>0</v>
      </c>
      <c r="G864" s="1">
        <v>0</v>
      </c>
      <c r="H864" s="1">
        <v>0</v>
      </c>
      <c r="I864">
        <v>0</v>
      </c>
      <c r="J864">
        <v>1</v>
      </c>
      <c r="K864" cm="1">
        <f t="array" ref="K864">IFERROR(_xlfn.XLOOKUP(D864&amp;A864, RBWR!A:A&amp;RBWR!C:C, RBWR!B:B), "N/A")</f>
        <v>67</v>
      </c>
      <c r="L864" t="str" cm="1">
        <f t="array" ref="L864">IFERROR(_xlfn.XLOOKUP(C864&amp;A864, RYOE!A:A&amp;RYOE!F:F, RYOE!C:C), "N/A")</f>
        <v>N/A</v>
      </c>
      <c r="M864" t="str" cm="1">
        <f t="array" ref="M864">IFERROR(_xlfn.XLOOKUP(C864&amp;A864, RYOE!A:A&amp;RYOE!F:F, RYOE!D:D), "N/A")</f>
        <v>N/A</v>
      </c>
      <c r="N864" t="str" cm="1">
        <f t="array" ref="N864">IFERROR(_xlfn.XLOOKUP(C864&amp;A864, RYOE!A:A&amp;RYOE!F:F, RYOE!E:E), "N/A")</f>
        <v>N/A</v>
      </c>
    </row>
    <row r="865" spans="1:14" ht="15" customHeight="1" x14ac:dyDescent="0.45">
      <c r="A865" s="8">
        <v>2021</v>
      </c>
      <c r="B865" s="6" t="s">
        <v>355</v>
      </c>
      <c r="C865" s="2" t="str">
        <f t="shared" si="26"/>
        <v>Jason Cabinda</v>
      </c>
      <c r="D865" s="2" t="str">
        <f t="shared" si="27"/>
        <v>DET</v>
      </c>
      <c r="E865" s="2">
        <v>3</v>
      </c>
      <c r="F865" s="2">
        <v>23</v>
      </c>
      <c r="G865" s="2">
        <v>7.7</v>
      </c>
      <c r="H865" s="2">
        <v>0</v>
      </c>
      <c r="I865">
        <v>0</v>
      </c>
      <c r="J865">
        <v>10</v>
      </c>
      <c r="K865" cm="1">
        <f t="array" ref="K865">IFERROR(_xlfn.XLOOKUP(D865&amp;A865, RBWR!A:A&amp;RBWR!C:C, RBWR!B:B), "N/A")</f>
        <v>70</v>
      </c>
      <c r="L865" t="str" cm="1">
        <f t="array" ref="L865">IFERROR(_xlfn.XLOOKUP(C865&amp;A865, RYOE!A:A&amp;RYOE!F:F, RYOE!C:C), "N/A")</f>
        <v>N/A</v>
      </c>
      <c r="M865" t="str" cm="1">
        <f t="array" ref="M865">IFERROR(_xlfn.XLOOKUP(C865&amp;A865, RYOE!A:A&amp;RYOE!F:F, RYOE!D:D), "N/A")</f>
        <v>N/A</v>
      </c>
      <c r="N865" t="str" cm="1">
        <f t="array" ref="N865">IFERROR(_xlfn.XLOOKUP(C865&amp;A865, RYOE!A:A&amp;RYOE!F:F, RYOE!E:E), "N/A")</f>
        <v>N/A</v>
      </c>
    </row>
    <row r="866" spans="1:14" ht="15" customHeight="1" x14ac:dyDescent="0.45">
      <c r="A866" s="7">
        <v>2021</v>
      </c>
      <c r="B866" s="5" t="s">
        <v>537</v>
      </c>
      <c r="C866" s="1" t="str">
        <f t="shared" si="26"/>
        <v>Jordan Wilkins</v>
      </c>
      <c r="D866" s="1" t="str">
        <f t="shared" si="27"/>
        <v>TEN</v>
      </c>
      <c r="E866" s="1">
        <v>0</v>
      </c>
      <c r="F866" s="1">
        <v>0</v>
      </c>
      <c r="G866" s="1">
        <v>0</v>
      </c>
      <c r="H866" s="1">
        <v>0</v>
      </c>
      <c r="I866">
        <v>0</v>
      </c>
      <c r="J866">
        <v>2</v>
      </c>
      <c r="K866" cm="1">
        <f t="array" ref="K866">IFERROR(_xlfn.XLOOKUP(D866&amp;A866, RBWR!A:A&amp;RBWR!C:C, RBWR!B:B), "N/A")</f>
        <v>69</v>
      </c>
      <c r="L866" t="str" cm="1">
        <f t="array" ref="L866">IFERROR(_xlfn.XLOOKUP(C866&amp;A866, RYOE!A:A&amp;RYOE!F:F, RYOE!C:C), "N/A")</f>
        <v>N/A</v>
      </c>
      <c r="M866" t="str" cm="1">
        <f t="array" ref="M866">IFERROR(_xlfn.XLOOKUP(C866&amp;A866, RYOE!A:A&amp;RYOE!F:F, RYOE!D:D), "N/A")</f>
        <v>N/A</v>
      </c>
      <c r="N866" t="str" cm="1">
        <f t="array" ref="N866">IFERROR(_xlfn.XLOOKUP(C866&amp;A866, RYOE!A:A&amp;RYOE!F:F, RYOE!E:E), "N/A")</f>
        <v>N/A</v>
      </c>
    </row>
    <row r="867" spans="1:14" ht="15" customHeight="1" x14ac:dyDescent="0.45">
      <c r="A867" s="8">
        <v>2021</v>
      </c>
      <c r="B867" s="6" t="s">
        <v>538</v>
      </c>
      <c r="C867" s="2" t="str">
        <f t="shared" si="26"/>
        <v>Darwin Thompson</v>
      </c>
      <c r="D867" s="2" t="str">
        <f t="shared" si="27"/>
        <v>TB</v>
      </c>
      <c r="E867" s="2">
        <v>0</v>
      </c>
      <c r="F867" s="2">
        <v>0</v>
      </c>
      <c r="G867" s="2">
        <v>0</v>
      </c>
      <c r="H867" s="2">
        <v>0</v>
      </c>
      <c r="I867">
        <v>0</v>
      </c>
      <c r="J867">
        <v>2</v>
      </c>
      <c r="K867" cm="1">
        <f t="array" ref="K867">IFERROR(_xlfn.XLOOKUP(D867&amp;A867, RBWR!A:A&amp;RBWR!C:C, RBWR!B:B), "N/A")</f>
        <v>70</v>
      </c>
      <c r="L867" t="str" cm="1">
        <f t="array" ref="L867">IFERROR(_xlfn.XLOOKUP(C867&amp;A867, RYOE!A:A&amp;RYOE!F:F, RYOE!C:C), "N/A")</f>
        <v>N/A</v>
      </c>
      <c r="M867" t="str" cm="1">
        <f t="array" ref="M867">IFERROR(_xlfn.XLOOKUP(C867&amp;A867, RYOE!A:A&amp;RYOE!F:F, RYOE!D:D), "N/A")</f>
        <v>N/A</v>
      </c>
      <c r="N867" t="str" cm="1">
        <f t="array" ref="N867">IFERROR(_xlfn.XLOOKUP(C867&amp;A867, RYOE!A:A&amp;RYOE!F:F, RYOE!E:E), "N/A")</f>
        <v>N/A</v>
      </c>
    </row>
    <row r="868" spans="1:14" ht="15" customHeight="1" x14ac:dyDescent="0.45">
      <c r="A868" s="7">
        <v>2021</v>
      </c>
      <c r="B868" s="5" t="s">
        <v>539</v>
      </c>
      <c r="C868" s="1" t="str">
        <f t="shared" si="26"/>
        <v>Sutton Smith</v>
      </c>
      <c r="D868" s="1" t="str">
        <f t="shared" si="27"/>
        <v>LV</v>
      </c>
      <c r="E868" s="1">
        <v>0</v>
      </c>
      <c r="F868" s="1">
        <v>0</v>
      </c>
      <c r="G868" s="1">
        <v>0</v>
      </c>
      <c r="H868" s="1">
        <v>0</v>
      </c>
      <c r="I868">
        <v>0</v>
      </c>
      <c r="J868">
        <v>1</v>
      </c>
      <c r="K868" cm="1">
        <f t="array" ref="K868">IFERROR(_xlfn.XLOOKUP(D868&amp;A868, RBWR!A:A&amp;RBWR!C:C, RBWR!B:B), "N/A")</f>
        <v>67</v>
      </c>
      <c r="L868" t="str" cm="1">
        <f t="array" ref="L868">IFERROR(_xlfn.XLOOKUP(C868&amp;A868, RYOE!A:A&amp;RYOE!F:F, RYOE!C:C), "N/A")</f>
        <v>N/A</v>
      </c>
      <c r="M868" t="str" cm="1">
        <f t="array" ref="M868">IFERROR(_xlfn.XLOOKUP(C868&amp;A868, RYOE!A:A&amp;RYOE!F:F, RYOE!D:D), "N/A")</f>
        <v>N/A</v>
      </c>
      <c r="N868" t="str" cm="1">
        <f t="array" ref="N868">IFERROR(_xlfn.XLOOKUP(C868&amp;A868, RYOE!A:A&amp;RYOE!F:F, RYOE!E:E), "N/A")</f>
        <v>N/A</v>
      </c>
    </row>
    <row r="869" spans="1:14" ht="15" customHeight="1" x14ac:dyDescent="0.45">
      <c r="A869" s="8">
        <v>2021</v>
      </c>
      <c r="B869" s="6" t="s">
        <v>540</v>
      </c>
      <c r="C869" s="2" t="str">
        <f t="shared" si="26"/>
        <v>Cullen Gillaspia</v>
      </c>
      <c r="D869" s="2" t="str">
        <f t="shared" si="27"/>
        <v>NYG</v>
      </c>
      <c r="E869" s="2">
        <v>0</v>
      </c>
      <c r="F869" s="2">
        <v>0</v>
      </c>
      <c r="G869" s="2">
        <v>0</v>
      </c>
      <c r="H869" s="2">
        <v>0</v>
      </c>
      <c r="I869">
        <v>0</v>
      </c>
      <c r="J869">
        <v>4</v>
      </c>
      <c r="K869" cm="1">
        <f t="array" ref="K869">IFERROR(_xlfn.XLOOKUP(D869&amp;A869, RBWR!A:A&amp;RBWR!C:C, RBWR!B:B), "N/A")</f>
        <v>71</v>
      </c>
      <c r="L869" t="str" cm="1">
        <f t="array" ref="L869">IFERROR(_xlfn.XLOOKUP(C869&amp;A869, RYOE!A:A&amp;RYOE!F:F, RYOE!C:C), "N/A")</f>
        <v>N/A</v>
      </c>
      <c r="M869" t="str" cm="1">
        <f t="array" ref="M869">IFERROR(_xlfn.XLOOKUP(C869&amp;A869, RYOE!A:A&amp;RYOE!F:F, RYOE!D:D), "N/A")</f>
        <v>N/A</v>
      </c>
      <c r="N869" t="str" cm="1">
        <f t="array" ref="N869">IFERROR(_xlfn.XLOOKUP(C869&amp;A869, RYOE!A:A&amp;RYOE!F:F, RYOE!E:E), "N/A")</f>
        <v>N/A</v>
      </c>
    </row>
    <row r="870" spans="1:14" ht="15" customHeight="1" x14ac:dyDescent="0.45">
      <c r="A870" s="7">
        <v>2021</v>
      </c>
      <c r="B870" s="5" t="s">
        <v>444</v>
      </c>
      <c r="C870" s="1" t="str">
        <f t="shared" si="26"/>
        <v>Andrew Beck</v>
      </c>
      <c r="D870" s="1" t="str">
        <f t="shared" si="27"/>
        <v>DEN</v>
      </c>
      <c r="E870" s="1">
        <v>0</v>
      </c>
      <c r="F870" s="1">
        <v>0</v>
      </c>
      <c r="G870" s="1">
        <v>0</v>
      </c>
      <c r="H870" s="1">
        <v>0</v>
      </c>
      <c r="I870">
        <v>0</v>
      </c>
      <c r="J870">
        <v>1</v>
      </c>
      <c r="K870" cm="1">
        <f t="array" ref="K870">IFERROR(_xlfn.XLOOKUP(D870&amp;A870, RBWR!A:A&amp;RBWR!C:C, RBWR!B:B), "N/A")</f>
        <v>70</v>
      </c>
      <c r="L870" t="str" cm="1">
        <f t="array" ref="L870">IFERROR(_xlfn.XLOOKUP(C870&amp;A870, RYOE!A:A&amp;RYOE!F:F, RYOE!C:C), "N/A")</f>
        <v>N/A</v>
      </c>
      <c r="M870" t="str" cm="1">
        <f t="array" ref="M870">IFERROR(_xlfn.XLOOKUP(C870&amp;A870, RYOE!A:A&amp;RYOE!F:F, RYOE!D:D), "N/A")</f>
        <v>N/A</v>
      </c>
      <c r="N870" t="str" cm="1">
        <f t="array" ref="N870">IFERROR(_xlfn.XLOOKUP(C870&amp;A870, RYOE!A:A&amp;RYOE!F:F, RYOE!E:E), "N/A")</f>
        <v>N/A</v>
      </c>
    </row>
    <row r="871" spans="1:14" ht="15" customHeight="1" x14ac:dyDescent="0.45">
      <c r="A871" s="8">
        <v>2021</v>
      </c>
      <c r="B871" s="6" t="s">
        <v>322</v>
      </c>
      <c r="C871" s="2" t="str">
        <f t="shared" si="26"/>
        <v>J.K. Dobbins</v>
      </c>
      <c r="D871" s="2" t="str">
        <f t="shared" si="27"/>
        <v>BAL</v>
      </c>
      <c r="E871" s="2">
        <v>0</v>
      </c>
      <c r="F871" s="2">
        <v>0</v>
      </c>
      <c r="G871" s="2">
        <v>0</v>
      </c>
      <c r="H871" s="2">
        <v>0</v>
      </c>
      <c r="I871">
        <v>0</v>
      </c>
      <c r="J871">
        <v>1</v>
      </c>
      <c r="K871" cm="1">
        <f t="array" ref="K871">IFERROR(_xlfn.XLOOKUP(D871&amp;A871, RBWR!A:A&amp;RBWR!C:C, RBWR!B:B), "N/A")</f>
        <v>73</v>
      </c>
      <c r="L871" t="str" cm="1">
        <f t="array" ref="L871">IFERROR(_xlfn.XLOOKUP(C871&amp;A871, RYOE!A:A&amp;RYOE!F:F, RYOE!C:C), "N/A")</f>
        <v>N/A</v>
      </c>
      <c r="M871" t="str" cm="1">
        <f t="array" ref="M871">IFERROR(_xlfn.XLOOKUP(C871&amp;A871, RYOE!A:A&amp;RYOE!F:F, RYOE!D:D), "N/A")</f>
        <v>N/A</v>
      </c>
      <c r="N871" t="str" cm="1">
        <f t="array" ref="N871">IFERROR(_xlfn.XLOOKUP(C871&amp;A871, RYOE!A:A&amp;RYOE!F:F, RYOE!E:E), "N/A")</f>
        <v>N/A</v>
      </c>
    </row>
    <row r="872" spans="1:14" ht="15" customHeight="1" x14ac:dyDescent="0.45">
      <c r="A872" s="7">
        <v>2021</v>
      </c>
      <c r="B872" s="5" t="s">
        <v>541</v>
      </c>
      <c r="C872" s="1" t="str">
        <f t="shared" si="26"/>
        <v>LeVante Bellamy</v>
      </c>
      <c r="D872" s="1" t="str">
        <f t="shared" si="27"/>
        <v>DEN</v>
      </c>
      <c r="E872" s="1">
        <v>0</v>
      </c>
      <c r="F872" s="1">
        <v>0</v>
      </c>
      <c r="G872" s="1">
        <v>0</v>
      </c>
      <c r="H872" s="1">
        <v>0</v>
      </c>
      <c r="I872">
        <v>0</v>
      </c>
      <c r="J872">
        <v>1</v>
      </c>
      <c r="K872" cm="1">
        <f t="array" ref="K872">IFERROR(_xlfn.XLOOKUP(D872&amp;A872, RBWR!A:A&amp;RBWR!C:C, RBWR!B:B), "N/A")</f>
        <v>70</v>
      </c>
      <c r="L872" t="str" cm="1">
        <f t="array" ref="L872">IFERROR(_xlfn.XLOOKUP(C872&amp;A872, RYOE!A:A&amp;RYOE!F:F, RYOE!C:C), "N/A")</f>
        <v>N/A</v>
      </c>
      <c r="M872" t="str" cm="1">
        <f t="array" ref="M872">IFERROR(_xlfn.XLOOKUP(C872&amp;A872, RYOE!A:A&amp;RYOE!F:F, RYOE!D:D), "N/A")</f>
        <v>N/A</v>
      </c>
      <c r="N872" t="str" cm="1">
        <f t="array" ref="N872">IFERROR(_xlfn.XLOOKUP(C872&amp;A872, RYOE!A:A&amp;RYOE!F:F, RYOE!E:E), "N/A")</f>
        <v>N/A</v>
      </c>
    </row>
    <row r="873" spans="1:14" ht="15" customHeight="1" x14ac:dyDescent="0.45">
      <c r="A873" s="8">
        <v>2021</v>
      </c>
      <c r="B873" s="6" t="s">
        <v>542</v>
      </c>
      <c r="C873" s="2" t="str">
        <f t="shared" si="26"/>
        <v>Darius Bradwell</v>
      </c>
      <c r="D873" s="2" t="str">
        <f t="shared" si="27"/>
        <v>LAC</v>
      </c>
      <c r="E873" s="2">
        <v>0</v>
      </c>
      <c r="F873" s="2">
        <v>0</v>
      </c>
      <c r="G873" s="2">
        <v>0</v>
      </c>
      <c r="H873" s="2">
        <v>0</v>
      </c>
      <c r="I873">
        <v>0</v>
      </c>
      <c r="J873">
        <v>2</v>
      </c>
      <c r="K873" cm="1">
        <f t="array" ref="K873">IFERROR(_xlfn.XLOOKUP(D873&amp;A873, RBWR!A:A&amp;RBWR!C:C, RBWR!B:B), "N/A")</f>
        <v>70</v>
      </c>
      <c r="L873" t="str" cm="1">
        <f t="array" ref="L873">IFERROR(_xlfn.XLOOKUP(C873&amp;A873, RYOE!A:A&amp;RYOE!F:F, RYOE!C:C), "N/A")</f>
        <v>N/A</v>
      </c>
      <c r="M873" t="str" cm="1">
        <f t="array" ref="M873">IFERROR(_xlfn.XLOOKUP(C873&amp;A873, RYOE!A:A&amp;RYOE!F:F, RYOE!D:D), "N/A")</f>
        <v>N/A</v>
      </c>
      <c r="N873" t="str" cm="1">
        <f t="array" ref="N873">IFERROR(_xlfn.XLOOKUP(C873&amp;A873, RYOE!A:A&amp;RYOE!F:F, RYOE!E:E), "N/A")</f>
        <v>N/A</v>
      </c>
    </row>
    <row r="874" spans="1:14" ht="15" customHeight="1" x14ac:dyDescent="0.45">
      <c r="A874" s="7">
        <v>2021</v>
      </c>
      <c r="B874" s="5" t="s">
        <v>543</v>
      </c>
      <c r="C874" s="1" t="str">
        <f t="shared" si="26"/>
        <v>Artavis Pierce</v>
      </c>
      <c r="D874" s="1" t="str">
        <f t="shared" si="27"/>
        <v>CHI</v>
      </c>
      <c r="E874" s="1">
        <v>0</v>
      </c>
      <c r="F874" s="1">
        <v>0</v>
      </c>
      <c r="G874" s="1">
        <v>0</v>
      </c>
      <c r="H874" s="1">
        <v>0</v>
      </c>
      <c r="I874">
        <v>0</v>
      </c>
      <c r="J874">
        <v>1</v>
      </c>
      <c r="K874" cm="1">
        <f t="array" ref="K874">IFERROR(_xlfn.XLOOKUP(D874&amp;A874, RBWR!A:A&amp;RBWR!C:C, RBWR!B:B), "N/A")</f>
        <v>71</v>
      </c>
      <c r="L874" t="str" cm="1">
        <f t="array" ref="L874">IFERROR(_xlfn.XLOOKUP(C874&amp;A874, RYOE!A:A&amp;RYOE!F:F, RYOE!C:C), "N/A")</f>
        <v>N/A</v>
      </c>
      <c r="M874" t="str" cm="1">
        <f t="array" ref="M874">IFERROR(_xlfn.XLOOKUP(C874&amp;A874, RYOE!A:A&amp;RYOE!F:F, RYOE!D:D), "N/A")</f>
        <v>N/A</v>
      </c>
      <c r="N874" t="str" cm="1">
        <f t="array" ref="N874">IFERROR(_xlfn.XLOOKUP(C874&amp;A874, RYOE!A:A&amp;RYOE!F:F, RYOE!E:E), "N/A")</f>
        <v>N/A</v>
      </c>
    </row>
    <row r="875" spans="1:14" ht="15" customHeight="1" x14ac:dyDescent="0.45">
      <c r="A875" s="8">
        <v>2021</v>
      </c>
      <c r="B875" s="6" t="s">
        <v>544</v>
      </c>
      <c r="C875" s="2" t="str">
        <f t="shared" si="26"/>
        <v>Sewo Olonilua</v>
      </c>
      <c r="D875" s="2" t="str">
        <f t="shared" si="27"/>
        <v>DAL</v>
      </c>
      <c r="E875" s="2">
        <v>0</v>
      </c>
      <c r="F875" s="2">
        <v>0</v>
      </c>
      <c r="G875" s="2">
        <v>0</v>
      </c>
      <c r="H875" s="2">
        <v>0</v>
      </c>
      <c r="I875">
        <v>0</v>
      </c>
      <c r="J875">
        <v>1</v>
      </c>
      <c r="K875" cm="1">
        <f t="array" ref="K875">IFERROR(_xlfn.XLOOKUP(D875&amp;A875, RBWR!A:A&amp;RBWR!C:C, RBWR!B:B), "N/A")</f>
        <v>73</v>
      </c>
      <c r="L875" t="str" cm="1">
        <f t="array" ref="L875">IFERROR(_xlfn.XLOOKUP(C875&amp;A875, RYOE!A:A&amp;RYOE!F:F, RYOE!C:C), "N/A")</f>
        <v>N/A</v>
      </c>
      <c r="M875" t="str" cm="1">
        <f t="array" ref="M875">IFERROR(_xlfn.XLOOKUP(C875&amp;A875, RYOE!A:A&amp;RYOE!F:F, RYOE!D:D), "N/A")</f>
        <v>N/A</v>
      </c>
      <c r="N875" t="str" cm="1">
        <f t="array" ref="N875">IFERROR(_xlfn.XLOOKUP(C875&amp;A875, RYOE!A:A&amp;RYOE!F:F, RYOE!E:E), "N/A")</f>
        <v>N/A</v>
      </c>
    </row>
    <row r="876" spans="1:14" ht="15" customHeight="1" x14ac:dyDescent="0.45">
      <c r="A876" s="7">
        <v>2021</v>
      </c>
      <c r="B876" s="5" t="s">
        <v>545</v>
      </c>
      <c r="C876" s="1" t="str">
        <f t="shared" si="26"/>
        <v>Kirk Merritt</v>
      </c>
      <c r="D876" s="1" t="str">
        <f t="shared" si="27"/>
        <v>MIA</v>
      </c>
      <c r="E876" s="1">
        <v>0</v>
      </c>
      <c r="F876" s="1">
        <v>0</v>
      </c>
      <c r="G876" s="1">
        <v>0</v>
      </c>
      <c r="H876" s="1">
        <v>0</v>
      </c>
      <c r="I876">
        <v>0</v>
      </c>
      <c r="J876">
        <v>1</v>
      </c>
      <c r="K876" cm="1">
        <f t="array" ref="K876">IFERROR(_xlfn.XLOOKUP(D876&amp;A876, RBWR!A:A&amp;RBWR!C:C, RBWR!B:B), "N/A")</f>
        <v>71</v>
      </c>
      <c r="L876" t="str" cm="1">
        <f t="array" ref="L876">IFERROR(_xlfn.XLOOKUP(C876&amp;A876, RYOE!A:A&amp;RYOE!F:F, RYOE!C:C), "N/A")</f>
        <v>N/A</v>
      </c>
      <c r="M876" t="str" cm="1">
        <f t="array" ref="M876">IFERROR(_xlfn.XLOOKUP(C876&amp;A876, RYOE!A:A&amp;RYOE!F:F, RYOE!D:D), "N/A")</f>
        <v>N/A</v>
      </c>
      <c r="N876" t="str" cm="1">
        <f t="array" ref="N876">IFERROR(_xlfn.XLOOKUP(C876&amp;A876, RYOE!A:A&amp;RYOE!F:F, RYOE!E:E), "N/A")</f>
        <v>N/A</v>
      </c>
    </row>
    <row r="877" spans="1:14" ht="15" customHeight="1" x14ac:dyDescent="0.45">
      <c r="A877" s="8">
        <v>2021</v>
      </c>
      <c r="B877" s="6" t="s">
        <v>546</v>
      </c>
      <c r="C877" s="2" t="str">
        <f t="shared" si="26"/>
        <v>Pooka Williams Jr.</v>
      </c>
      <c r="D877" s="2" t="str">
        <f t="shared" si="27"/>
        <v>CIN</v>
      </c>
      <c r="E877" s="2">
        <v>0</v>
      </c>
      <c r="F877" s="2">
        <v>0</v>
      </c>
      <c r="G877" s="2">
        <v>0</v>
      </c>
      <c r="H877" s="2">
        <v>0</v>
      </c>
      <c r="I877">
        <v>0</v>
      </c>
      <c r="J877">
        <v>1</v>
      </c>
      <c r="K877" cm="1">
        <f t="array" ref="K877">IFERROR(_xlfn.XLOOKUP(D877&amp;A877, RBWR!A:A&amp;RBWR!C:C, RBWR!B:B), "N/A")</f>
        <v>71</v>
      </c>
      <c r="L877" t="str" cm="1">
        <f t="array" ref="L877">IFERROR(_xlfn.XLOOKUP(C877&amp;A877, RYOE!A:A&amp;RYOE!F:F, RYOE!C:C), "N/A")</f>
        <v>N/A</v>
      </c>
      <c r="M877" t="str" cm="1">
        <f t="array" ref="M877">IFERROR(_xlfn.XLOOKUP(C877&amp;A877, RYOE!A:A&amp;RYOE!F:F, RYOE!D:D), "N/A")</f>
        <v>N/A</v>
      </c>
      <c r="N877" t="str" cm="1">
        <f t="array" ref="N877">IFERROR(_xlfn.XLOOKUP(C877&amp;A877, RYOE!A:A&amp;RYOE!F:F, RYOE!E:E), "N/A")</f>
        <v>N/A</v>
      </c>
    </row>
    <row r="878" spans="1:14" ht="15" customHeight="1" x14ac:dyDescent="0.45">
      <c r="A878" s="7">
        <v>2021</v>
      </c>
      <c r="B878" s="5" t="s">
        <v>446</v>
      </c>
      <c r="C878" s="1" t="str">
        <f t="shared" si="26"/>
        <v>Sandro Platzgummer</v>
      </c>
      <c r="D878" s="1" t="str">
        <f t="shared" si="27"/>
        <v>NYG</v>
      </c>
      <c r="E878" s="1">
        <v>0</v>
      </c>
      <c r="F878" s="1">
        <v>0</v>
      </c>
      <c r="G878" s="1">
        <v>0</v>
      </c>
      <c r="H878" s="1">
        <v>0</v>
      </c>
      <c r="I878">
        <v>0</v>
      </c>
      <c r="J878">
        <v>3</v>
      </c>
      <c r="K878" cm="1">
        <f t="array" ref="K878">IFERROR(_xlfn.XLOOKUP(D878&amp;A878, RBWR!A:A&amp;RBWR!C:C, RBWR!B:B), "N/A")</f>
        <v>71</v>
      </c>
      <c r="L878" t="str" cm="1">
        <f t="array" ref="L878">IFERROR(_xlfn.XLOOKUP(C878&amp;A878, RYOE!A:A&amp;RYOE!F:F, RYOE!C:C), "N/A")</f>
        <v>N/A</v>
      </c>
      <c r="M878" t="str" cm="1">
        <f t="array" ref="M878">IFERROR(_xlfn.XLOOKUP(C878&amp;A878, RYOE!A:A&amp;RYOE!F:F, RYOE!D:D), "N/A")</f>
        <v>N/A</v>
      </c>
      <c r="N878" t="str" cm="1">
        <f t="array" ref="N878">IFERROR(_xlfn.XLOOKUP(C878&amp;A878, RYOE!A:A&amp;RYOE!F:F, RYOE!E:E), "N/A")</f>
        <v>N/A</v>
      </c>
    </row>
    <row r="879" spans="1:14" ht="15" customHeight="1" x14ac:dyDescent="0.45">
      <c r="A879" s="8">
        <v>2021</v>
      </c>
      <c r="B879" s="6" t="s">
        <v>418</v>
      </c>
      <c r="C879" s="2" t="str">
        <f t="shared" si="26"/>
        <v>Spencer Brown</v>
      </c>
      <c r="D879" s="2" t="str">
        <f t="shared" si="27"/>
        <v>CAR</v>
      </c>
      <c r="E879" s="2">
        <v>0</v>
      </c>
      <c r="F879" s="2">
        <v>0</v>
      </c>
      <c r="G879" s="2">
        <v>0</v>
      </c>
      <c r="H879" s="2">
        <v>0</v>
      </c>
      <c r="I879">
        <v>0</v>
      </c>
      <c r="J879">
        <v>1</v>
      </c>
      <c r="K879" cm="1">
        <f t="array" ref="K879">IFERROR(_xlfn.XLOOKUP(D879&amp;A879, RBWR!A:A&amp;RBWR!C:C, RBWR!B:B), "N/A")</f>
        <v>68</v>
      </c>
      <c r="L879" t="str" cm="1">
        <f t="array" ref="L879">IFERROR(_xlfn.XLOOKUP(C879&amp;A879, RYOE!A:A&amp;RYOE!F:F, RYOE!C:C), "N/A")</f>
        <v>N/A</v>
      </c>
      <c r="M879" t="str" cm="1">
        <f t="array" ref="M879">IFERROR(_xlfn.XLOOKUP(C879&amp;A879, RYOE!A:A&amp;RYOE!F:F, RYOE!D:D), "N/A")</f>
        <v>N/A</v>
      </c>
      <c r="N879" t="str" cm="1">
        <f t="array" ref="N879">IFERROR(_xlfn.XLOOKUP(C879&amp;A879, RYOE!A:A&amp;RYOE!F:F, RYOE!E:E), "N/A")</f>
        <v>N/A</v>
      </c>
    </row>
    <row r="880" spans="1:14" ht="15" customHeight="1" x14ac:dyDescent="0.45">
      <c r="A880" s="7">
        <v>2021</v>
      </c>
      <c r="B880" s="5" t="s">
        <v>272</v>
      </c>
      <c r="C880" s="1" t="str">
        <f t="shared" si="26"/>
        <v>Avery Williams</v>
      </c>
      <c r="D880" s="1" t="str">
        <f t="shared" si="27"/>
        <v>ATL</v>
      </c>
      <c r="E880" s="1">
        <v>0</v>
      </c>
      <c r="F880" s="1">
        <v>0</v>
      </c>
      <c r="G880" s="1">
        <v>0</v>
      </c>
      <c r="H880" s="1">
        <v>0</v>
      </c>
      <c r="I880">
        <v>0</v>
      </c>
      <c r="J880">
        <v>15</v>
      </c>
      <c r="K880" cm="1">
        <f t="array" ref="K880">IFERROR(_xlfn.XLOOKUP(D880&amp;A880, RBWR!A:A&amp;RBWR!C:C, RBWR!B:B), "N/A")</f>
        <v>67</v>
      </c>
      <c r="L880" t="str" cm="1">
        <f t="array" ref="L880">IFERROR(_xlfn.XLOOKUP(C880&amp;A880, RYOE!A:A&amp;RYOE!F:F, RYOE!C:C), "N/A")</f>
        <v>N/A</v>
      </c>
      <c r="M880" t="str" cm="1">
        <f t="array" ref="M880">IFERROR(_xlfn.XLOOKUP(C880&amp;A880, RYOE!A:A&amp;RYOE!F:F, RYOE!D:D), "N/A")</f>
        <v>N/A</v>
      </c>
      <c r="N880" t="str" cm="1">
        <f t="array" ref="N880">IFERROR(_xlfn.XLOOKUP(C880&amp;A880, RYOE!A:A&amp;RYOE!F:F, RYOE!E:E), "N/A")</f>
        <v>N/A</v>
      </c>
    </row>
    <row r="881" spans="1:14" ht="15" customHeight="1" x14ac:dyDescent="0.45">
      <c r="A881" s="8">
        <v>2021</v>
      </c>
      <c r="B881" s="6" t="s">
        <v>547</v>
      </c>
      <c r="C881" s="2" t="str">
        <f t="shared" si="26"/>
        <v>Gerrid Doaks</v>
      </c>
      <c r="D881" s="2" t="str">
        <f t="shared" si="27"/>
        <v>MIA</v>
      </c>
      <c r="E881" s="2">
        <v>0</v>
      </c>
      <c r="F881" s="2">
        <v>0</v>
      </c>
      <c r="G881" s="2">
        <v>0</v>
      </c>
      <c r="H881" s="2">
        <v>0</v>
      </c>
      <c r="I881">
        <v>0</v>
      </c>
      <c r="J881">
        <v>4</v>
      </c>
      <c r="K881" cm="1">
        <f t="array" ref="K881">IFERROR(_xlfn.XLOOKUP(D881&amp;A881, RBWR!A:A&amp;RBWR!C:C, RBWR!B:B), "N/A")</f>
        <v>71</v>
      </c>
      <c r="L881" t="str" cm="1">
        <f t="array" ref="L881">IFERROR(_xlfn.XLOOKUP(C881&amp;A881, RYOE!A:A&amp;RYOE!F:F, RYOE!C:C), "N/A")</f>
        <v>N/A</v>
      </c>
      <c r="M881" t="str" cm="1">
        <f t="array" ref="M881">IFERROR(_xlfn.XLOOKUP(C881&amp;A881, RYOE!A:A&amp;RYOE!F:F, RYOE!D:D), "N/A")</f>
        <v>N/A</v>
      </c>
      <c r="N881" t="str" cm="1">
        <f t="array" ref="N881">IFERROR(_xlfn.XLOOKUP(C881&amp;A881, RYOE!A:A&amp;RYOE!F:F, RYOE!E:E), "N/A")</f>
        <v>N/A</v>
      </c>
    </row>
    <row r="882" spans="1:14" ht="15" customHeight="1" x14ac:dyDescent="0.45">
      <c r="A882" s="7">
        <v>2021</v>
      </c>
      <c r="B882" s="5" t="s">
        <v>548</v>
      </c>
      <c r="C882" s="1" t="str">
        <f t="shared" si="26"/>
        <v>Tory Carter</v>
      </c>
      <c r="D882" s="1" t="str">
        <f t="shared" si="27"/>
        <v>TEN</v>
      </c>
      <c r="E882" s="1">
        <v>0</v>
      </c>
      <c r="F882" s="1">
        <v>0</v>
      </c>
      <c r="G882" s="1">
        <v>0</v>
      </c>
      <c r="H882" s="1">
        <v>0</v>
      </c>
      <c r="I882">
        <v>0</v>
      </c>
      <c r="J882">
        <v>5</v>
      </c>
      <c r="K882" cm="1">
        <f t="array" ref="K882">IFERROR(_xlfn.XLOOKUP(D882&amp;A882, RBWR!A:A&amp;RBWR!C:C, RBWR!B:B), "N/A")</f>
        <v>69</v>
      </c>
      <c r="L882" t="str" cm="1">
        <f t="array" ref="L882">IFERROR(_xlfn.XLOOKUP(C882&amp;A882, RYOE!A:A&amp;RYOE!F:F, RYOE!C:C), "N/A")</f>
        <v>N/A</v>
      </c>
      <c r="M882" t="str" cm="1">
        <f t="array" ref="M882">IFERROR(_xlfn.XLOOKUP(C882&amp;A882, RYOE!A:A&amp;RYOE!F:F, RYOE!D:D), "N/A")</f>
        <v>N/A</v>
      </c>
      <c r="N882" t="str" cm="1">
        <f t="array" ref="N882">IFERROR(_xlfn.XLOOKUP(C882&amp;A882, RYOE!A:A&amp;RYOE!F:F, RYOE!E:E), "N/A")</f>
        <v>N/A</v>
      </c>
    </row>
    <row r="883" spans="1:14" ht="15" customHeight="1" x14ac:dyDescent="0.45">
      <c r="A883" s="8">
        <v>2021</v>
      </c>
      <c r="B883" s="6" t="s">
        <v>549</v>
      </c>
      <c r="C883" s="2" t="str">
        <f t="shared" si="26"/>
        <v>Nick Ralston</v>
      </c>
      <c r="D883" s="2" t="str">
        <f t="shared" si="27"/>
        <v>DAL</v>
      </c>
      <c r="E883" s="2">
        <v>0</v>
      </c>
      <c r="F883" s="2">
        <v>0</v>
      </c>
      <c r="G883" s="2">
        <v>0</v>
      </c>
      <c r="H883" s="2">
        <v>0</v>
      </c>
      <c r="I883">
        <v>0</v>
      </c>
      <c r="J883">
        <v>1</v>
      </c>
      <c r="K883" cm="1">
        <f t="array" ref="K883">IFERROR(_xlfn.XLOOKUP(D883&amp;A883, RBWR!A:A&amp;RBWR!C:C, RBWR!B:B), "N/A")</f>
        <v>73</v>
      </c>
      <c r="L883" t="str" cm="1">
        <f t="array" ref="L883">IFERROR(_xlfn.XLOOKUP(C883&amp;A883, RYOE!A:A&amp;RYOE!F:F, RYOE!C:C), "N/A")</f>
        <v>N/A</v>
      </c>
      <c r="M883" t="str" cm="1">
        <f t="array" ref="M883">IFERROR(_xlfn.XLOOKUP(C883&amp;A883, RYOE!A:A&amp;RYOE!F:F, RYOE!D:D), "N/A")</f>
        <v>N/A</v>
      </c>
      <c r="N883" t="str" cm="1">
        <f t="array" ref="N883">IFERROR(_xlfn.XLOOKUP(C883&amp;A883, RYOE!A:A&amp;RYOE!F:F, RYOE!E:E), "N/A")</f>
        <v>N/A</v>
      </c>
    </row>
    <row r="884" spans="1:14" ht="15" customHeight="1" x14ac:dyDescent="0.45">
      <c r="A884" s="7">
        <v>2021</v>
      </c>
      <c r="B884" s="5" t="s">
        <v>550</v>
      </c>
      <c r="C884" s="1" t="str">
        <f t="shared" si="26"/>
        <v>B.J. Emmons</v>
      </c>
      <c r="D884" s="1" t="str">
        <f t="shared" si="27"/>
        <v>SEA</v>
      </c>
      <c r="E884" s="1">
        <v>0</v>
      </c>
      <c r="F884" s="1">
        <v>0</v>
      </c>
      <c r="G884" s="1">
        <v>0</v>
      </c>
      <c r="H884" s="1">
        <v>0</v>
      </c>
      <c r="I884">
        <v>0</v>
      </c>
      <c r="J884">
        <v>1</v>
      </c>
      <c r="K884" cm="1">
        <f t="array" ref="K884">IFERROR(_xlfn.XLOOKUP(D884&amp;A884, RBWR!A:A&amp;RBWR!C:C, RBWR!B:B), "N/A")</f>
        <v>68</v>
      </c>
      <c r="L884" t="str" cm="1">
        <f t="array" ref="L884">IFERROR(_xlfn.XLOOKUP(C884&amp;A884, RYOE!A:A&amp;RYOE!F:F, RYOE!C:C), "N/A")</f>
        <v>N/A</v>
      </c>
      <c r="M884" t="str" cm="1">
        <f t="array" ref="M884">IFERROR(_xlfn.XLOOKUP(C884&amp;A884, RYOE!A:A&amp;RYOE!F:F, RYOE!D:D), "N/A")</f>
        <v>N/A</v>
      </c>
      <c r="N884" t="str" cm="1">
        <f t="array" ref="N884">IFERROR(_xlfn.XLOOKUP(C884&amp;A884, RYOE!A:A&amp;RYOE!F:F, RYOE!E:E), "N/A")</f>
        <v>N/A</v>
      </c>
    </row>
    <row r="885" spans="1:14" ht="15" customHeight="1" x14ac:dyDescent="0.45">
      <c r="A885" s="8">
        <v>2021</v>
      </c>
      <c r="B885" s="6" t="s">
        <v>551</v>
      </c>
      <c r="C885" s="2" t="str">
        <f t="shared" si="26"/>
        <v>Josh Johnson</v>
      </c>
      <c r="D885" s="2" t="str">
        <f t="shared" si="27"/>
        <v>SEA</v>
      </c>
      <c r="E885" s="2">
        <v>0</v>
      </c>
      <c r="F885" s="2">
        <v>0</v>
      </c>
      <c r="G885" s="2">
        <v>0</v>
      </c>
      <c r="H885" s="2">
        <v>0</v>
      </c>
      <c r="I885">
        <v>0</v>
      </c>
      <c r="J885">
        <v>1</v>
      </c>
      <c r="K885" cm="1">
        <f t="array" ref="K885">IFERROR(_xlfn.XLOOKUP(D885&amp;A885, RBWR!A:A&amp;RBWR!C:C, RBWR!B:B), "N/A")</f>
        <v>68</v>
      </c>
      <c r="L885" t="str" cm="1">
        <f t="array" ref="L885">IFERROR(_xlfn.XLOOKUP(C885&amp;A885, RYOE!A:A&amp;RYOE!F:F, RYOE!C:C), "N/A")</f>
        <v>N/A</v>
      </c>
      <c r="M885" t="str" cm="1">
        <f t="array" ref="M885">IFERROR(_xlfn.XLOOKUP(C885&amp;A885, RYOE!A:A&amp;RYOE!F:F, RYOE!D:D), "N/A")</f>
        <v>N/A</v>
      </c>
      <c r="N885" t="str" cm="1">
        <f t="array" ref="N885">IFERROR(_xlfn.XLOOKUP(C885&amp;A885, RYOE!A:A&amp;RYOE!F:F, RYOE!E:E), "N/A")</f>
        <v>N/A</v>
      </c>
    </row>
    <row r="886" spans="1:14" ht="15" customHeight="1" x14ac:dyDescent="0.45">
      <c r="A886" s="7">
        <v>2021</v>
      </c>
      <c r="B886" s="5" t="s">
        <v>552</v>
      </c>
      <c r="C886" s="1" t="str">
        <f t="shared" si="26"/>
        <v>Nate McCrary</v>
      </c>
      <c r="D886" s="1" t="str">
        <f t="shared" si="27"/>
        <v>BAL</v>
      </c>
      <c r="E886" s="1">
        <v>1</v>
      </c>
      <c r="F886" s="1">
        <v>-1</v>
      </c>
      <c r="G886" s="1">
        <v>-1</v>
      </c>
      <c r="H886" s="1">
        <v>0</v>
      </c>
      <c r="I886">
        <v>0</v>
      </c>
      <c r="J886">
        <v>1</v>
      </c>
      <c r="K886" cm="1">
        <f t="array" ref="K886">IFERROR(_xlfn.XLOOKUP(D886&amp;A886, RBWR!A:A&amp;RBWR!C:C, RBWR!B:B), "N/A")</f>
        <v>73</v>
      </c>
      <c r="L886" t="str" cm="1">
        <f t="array" ref="L886">IFERROR(_xlfn.XLOOKUP(C886&amp;A886, RYOE!A:A&amp;RYOE!F:F, RYOE!C:C), "N/A")</f>
        <v>N/A</v>
      </c>
      <c r="M886" t="str" cm="1">
        <f t="array" ref="M886">IFERROR(_xlfn.XLOOKUP(C886&amp;A886, RYOE!A:A&amp;RYOE!F:F, RYOE!D:D), "N/A")</f>
        <v>N/A</v>
      </c>
      <c r="N886" t="str" cm="1">
        <f t="array" ref="N886">IFERROR(_xlfn.XLOOKUP(C886&amp;A886, RYOE!A:A&amp;RYOE!F:F, RYOE!E:E), "N/A")</f>
        <v>N/A</v>
      </c>
    </row>
    <row r="887" spans="1:14" ht="15" customHeight="1" x14ac:dyDescent="0.45">
      <c r="A887" s="8">
        <v>2021</v>
      </c>
      <c r="B887" s="6" t="s">
        <v>553</v>
      </c>
      <c r="C887" s="2" t="str">
        <f t="shared" si="26"/>
        <v>Khari Blasingame</v>
      </c>
      <c r="D887" s="2" t="str">
        <f t="shared" si="27"/>
        <v>TEN</v>
      </c>
      <c r="E887" s="2">
        <v>3</v>
      </c>
      <c r="F887" s="2">
        <v>6</v>
      </c>
      <c r="G887" s="2">
        <v>2</v>
      </c>
      <c r="H887" s="2">
        <v>0</v>
      </c>
      <c r="I887">
        <v>1</v>
      </c>
      <c r="J887">
        <v>5</v>
      </c>
      <c r="K887" cm="1">
        <f t="array" ref="K887">IFERROR(_xlfn.XLOOKUP(D887&amp;A887, RBWR!A:A&amp;RBWR!C:C, RBWR!B:B), "N/A")</f>
        <v>69</v>
      </c>
      <c r="L887" t="str" cm="1">
        <f t="array" ref="L887">IFERROR(_xlfn.XLOOKUP(C887&amp;A887, RYOE!A:A&amp;RYOE!F:F, RYOE!C:C), "N/A")</f>
        <v>N/A</v>
      </c>
      <c r="M887" t="str" cm="1">
        <f t="array" ref="M887">IFERROR(_xlfn.XLOOKUP(C887&amp;A887, RYOE!A:A&amp;RYOE!F:F, RYOE!D:D), "N/A")</f>
        <v>N/A</v>
      </c>
      <c r="N887" t="str" cm="1">
        <f t="array" ref="N887">IFERROR(_xlfn.XLOOKUP(C887&amp;A887, RYOE!A:A&amp;RYOE!F:F, RYOE!E:E), "N/A")</f>
        <v>N/A</v>
      </c>
    </row>
    <row r="888" spans="1:14" ht="15" customHeight="1" x14ac:dyDescent="0.45">
      <c r="A888" s="7">
        <v>2021</v>
      </c>
      <c r="B888" s="5" t="s">
        <v>554</v>
      </c>
      <c r="C888" s="1" t="str">
        <f t="shared" si="26"/>
        <v>Trenton Cannon</v>
      </c>
      <c r="D888" s="1" t="str">
        <f t="shared" si="27"/>
        <v>SF</v>
      </c>
      <c r="E888" s="1">
        <v>3</v>
      </c>
      <c r="F888" s="1">
        <v>4</v>
      </c>
      <c r="G888" s="1">
        <v>1.3</v>
      </c>
      <c r="H888" s="1">
        <v>0</v>
      </c>
      <c r="I888">
        <v>1</v>
      </c>
      <c r="J888">
        <v>10</v>
      </c>
      <c r="K888" cm="1">
        <f t="array" ref="K888">IFERROR(_xlfn.XLOOKUP(D888&amp;A888, RBWR!A:A&amp;RBWR!C:C, RBWR!B:B), "N/A")</f>
        <v>70</v>
      </c>
      <c r="L888" t="str" cm="1">
        <f t="array" ref="L888">IFERROR(_xlfn.XLOOKUP(C888&amp;A888, RYOE!A:A&amp;RYOE!F:F, RYOE!C:C), "N/A")</f>
        <v>N/A</v>
      </c>
      <c r="M888" t="str" cm="1">
        <f t="array" ref="M888">IFERROR(_xlfn.XLOOKUP(C888&amp;A888, RYOE!A:A&amp;RYOE!F:F, RYOE!D:D), "N/A")</f>
        <v>N/A</v>
      </c>
      <c r="N888" t="str" cm="1">
        <f t="array" ref="N888">IFERROR(_xlfn.XLOOKUP(C888&amp;A888, RYOE!A:A&amp;RYOE!F:F, RYOE!E:E), "N/A")</f>
        <v>N/A</v>
      </c>
    </row>
    <row r="889" spans="1:14" ht="15" customHeight="1" x14ac:dyDescent="0.45">
      <c r="A889" s="8">
        <v>2020</v>
      </c>
      <c r="B889" s="6" t="s">
        <v>281</v>
      </c>
      <c r="C889" s="2" t="str">
        <f t="shared" si="26"/>
        <v>Derrick Henry</v>
      </c>
      <c r="D889" s="2" t="str">
        <f t="shared" si="27"/>
        <v>TEN</v>
      </c>
      <c r="E889" s="2">
        <v>378</v>
      </c>
      <c r="F889" s="2">
        <v>2027</v>
      </c>
      <c r="G889" s="2">
        <v>5.4</v>
      </c>
      <c r="H889" s="2">
        <v>17</v>
      </c>
      <c r="I889">
        <v>2</v>
      </c>
      <c r="J889">
        <v>16</v>
      </c>
      <c r="K889" cm="1">
        <f t="array" ref="K889">IFERROR(_xlfn.XLOOKUP(D889&amp;A889, RBWR!A:A&amp;RBWR!C:C, RBWR!B:B), "N/A")</f>
        <v>70</v>
      </c>
      <c r="L889" cm="1">
        <f t="array" ref="L889">IFERROR(_xlfn.XLOOKUP(C889&amp;A889, RYOE!A:A&amp;RYOE!F:F, RYOE!C:C), "N/A")</f>
        <v>367</v>
      </c>
      <c r="M889" cm="1">
        <f t="array" ref="M889">IFERROR(_xlfn.XLOOKUP(C889&amp;A889, RYOE!A:A&amp;RYOE!F:F, RYOE!D:D), "N/A")</f>
        <v>1</v>
      </c>
      <c r="N889" cm="1">
        <f t="array" ref="N889">IFERROR(_xlfn.XLOOKUP(C889&amp;A889, RYOE!A:A&amp;RYOE!F:F, RYOE!E:E), "N/A")</f>
        <v>42.7</v>
      </c>
    </row>
    <row r="890" spans="1:14" ht="15" customHeight="1" x14ac:dyDescent="0.45">
      <c r="A890" s="7">
        <v>2020</v>
      </c>
      <c r="B890" s="5" t="s">
        <v>78</v>
      </c>
      <c r="C890" s="1" t="str">
        <f t="shared" si="26"/>
        <v>Alvin Kamara</v>
      </c>
      <c r="D890" s="1" t="str">
        <f t="shared" si="27"/>
        <v>NO</v>
      </c>
      <c r="E890" s="1">
        <v>187</v>
      </c>
      <c r="F890" s="1">
        <v>932</v>
      </c>
      <c r="G890" s="1">
        <v>5</v>
      </c>
      <c r="H890" s="1">
        <v>16</v>
      </c>
      <c r="I890">
        <v>0</v>
      </c>
      <c r="J890">
        <v>15</v>
      </c>
      <c r="K890" cm="1">
        <f t="array" ref="K890">IFERROR(_xlfn.XLOOKUP(D890&amp;A890, RBWR!A:A&amp;RBWR!C:C, RBWR!B:B), "N/A")</f>
        <v>72</v>
      </c>
      <c r="L890" cm="1">
        <f t="array" ref="L890">IFERROR(_xlfn.XLOOKUP(C890&amp;A890, RYOE!A:A&amp;RYOE!F:F, RYOE!C:C), "N/A")</f>
        <v>77</v>
      </c>
      <c r="M890" cm="1">
        <f t="array" ref="M890">IFERROR(_xlfn.XLOOKUP(C890&amp;A890, RYOE!A:A&amp;RYOE!F:F, RYOE!D:D), "N/A")</f>
        <v>0.42</v>
      </c>
      <c r="N890" cm="1">
        <f t="array" ref="N890">IFERROR(_xlfn.XLOOKUP(C890&amp;A890, RYOE!A:A&amp;RYOE!F:F, RYOE!E:E), "N/A")</f>
        <v>39.5</v>
      </c>
    </row>
    <row r="891" spans="1:14" ht="15" customHeight="1" x14ac:dyDescent="0.45">
      <c r="A891" s="8">
        <v>2020</v>
      </c>
      <c r="B891" s="6" t="s">
        <v>371</v>
      </c>
      <c r="C891" s="2" t="str">
        <f t="shared" si="26"/>
        <v>Dalvin Cook</v>
      </c>
      <c r="D891" s="2" t="str">
        <f t="shared" si="27"/>
        <v>MIN</v>
      </c>
      <c r="E891" s="2">
        <v>312</v>
      </c>
      <c r="F891" s="2">
        <v>1557</v>
      </c>
      <c r="G891" s="2">
        <v>5</v>
      </c>
      <c r="H891" s="2">
        <v>16</v>
      </c>
      <c r="I891">
        <v>3</v>
      </c>
      <c r="J891">
        <v>14</v>
      </c>
      <c r="K891" cm="1">
        <f t="array" ref="K891">IFERROR(_xlfn.XLOOKUP(D891&amp;A891, RBWR!A:A&amp;RBWR!C:C, RBWR!B:B), "N/A")</f>
        <v>70</v>
      </c>
      <c r="L891" cm="1">
        <f t="array" ref="L891">IFERROR(_xlfn.XLOOKUP(C891&amp;A891, RYOE!A:A&amp;RYOE!F:F, RYOE!C:C), "N/A")</f>
        <v>171</v>
      </c>
      <c r="M891" cm="1">
        <f t="array" ref="M891">IFERROR(_xlfn.XLOOKUP(C891&amp;A891, RYOE!A:A&amp;RYOE!F:F, RYOE!D:D), "N/A")</f>
        <v>0.55000000000000004</v>
      </c>
      <c r="N891" cm="1">
        <f t="array" ref="N891">IFERROR(_xlfn.XLOOKUP(C891&amp;A891, RYOE!A:A&amp;RYOE!F:F, RYOE!E:E), "N/A")</f>
        <v>41.9</v>
      </c>
    </row>
    <row r="892" spans="1:14" ht="15" customHeight="1" x14ac:dyDescent="0.45">
      <c r="A892" s="7">
        <v>2020</v>
      </c>
      <c r="B892" s="5" t="s">
        <v>35</v>
      </c>
      <c r="C892" s="1" t="str">
        <f t="shared" si="26"/>
        <v>Jonathan Taylor</v>
      </c>
      <c r="D892" s="1" t="str">
        <f t="shared" si="27"/>
        <v>IND</v>
      </c>
      <c r="E892" s="1">
        <v>232</v>
      </c>
      <c r="F892" s="1">
        <v>1169</v>
      </c>
      <c r="G892" s="1">
        <v>5</v>
      </c>
      <c r="H892" s="1">
        <v>11</v>
      </c>
      <c r="I892">
        <v>1</v>
      </c>
      <c r="J892">
        <v>15</v>
      </c>
      <c r="K892" cm="1">
        <f t="array" ref="K892">IFERROR(_xlfn.XLOOKUP(D892&amp;A892, RBWR!A:A&amp;RBWR!C:C, RBWR!B:B), "N/A")</f>
        <v>72</v>
      </c>
      <c r="L892" cm="1">
        <f t="array" ref="L892">IFERROR(_xlfn.XLOOKUP(C892&amp;A892, RYOE!A:A&amp;RYOE!F:F, RYOE!C:C), "N/A")</f>
        <v>151</v>
      </c>
      <c r="M892" cm="1">
        <f t="array" ref="M892">IFERROR(_xlfn.XLOOKUP(C892&amp;A892, RYOE!A:A&amp;RYOE!F:F, RYOE!D:D), "N/A")</f>
        <v>0.66</v>
      </c>
      <c r="N892" cm="1">
        <f t="array" ref="N892">IFERROR(_xlfn.XLOOKUP(C892&amp;A892, RYOE!A:A&amp;RYOE!F:F, RYOE!E:E), "N/A")</f>
        <v>42.5</v>
      </c>
    </row>
    <row r="893" spans="1:14" ht="15" customHeight="1" x14ac:dyDescent="0.45">
      <c r="A893" s="8">
        <v>2020</v>
      </c>
      <c r="B893" s="6" t="s">
        <v>292</v>
      </c>
      <c r="C893" s="2" t="str">
        <f t="shared" si="26"/>
        <v>Aaron Jones Sr.</v>
      </c>
      <c r="D893" s="2" t="str">
        <f t="shared" si="27"/>
        <v>GB</v>
      </c>
      <c r="E893" s="2">
        <v>201</v>
      </c>
      <c r="F893" s="2">
        <v>1104</v>
      </c>
      <c r="G893" s="2">
        <v>5.5</v>
      </c>
      <c r="H893" s="2">
        <v>9</v>
      </c>
      <c r="I893">
        <v>0</v>
      </c>
      <c r="J893">
        <v>14</v>
      </c>
      <c r="K893" cm="1">
        <f t="array" ref="K893">IFERROR(_xlfn.XLOOKUP(D893&amp;A893, RBWR!A:A&amp;RBWR!C:C, RBWR!B:B), "N/A")</f>
        <v>74</v>
      </c>
      <c r="L893" cm="1">
        <f t="array" ref="L893">IFERROR(_xlfn.XLOOKUP(C893&amp;A893, RYOE!A:A&amp;RYOE!F:F, RYOE!C:C), "N/A")</f>
        <v>128</v>
      </c>
      <c r="M893" cm="1">
        <f t="array" ref="M893">IFERROR(_xlfn.XLOOKUP(C893&amp;A893, RYOE!A:A&amp;RYOE!F:F, RYOE!D:D), "N/A")</f>
        <v>0.64</v>
      </c>
      <c r="N893" cm="1">
        <f t="array" ref="N893">IFERROR(_xlfn.XLOOKUP(C893&amp;A893, RYOE!A:A&amp;RYOE!F:F, RYOE!E:E), "N/A")</f>
        <v>39.5</v>
      </c>
    </row>
    <row r="894" spans="1:14" ht="15" customHeight="1" x14ac:dyDescent="0.45">
      <c r="A894" s="7">
        <v>2020</v>
      </c>
      <c r="B894" s="5" t="s">
        <v>374</v>
      </c>
      <c r="C894" s="1" t="str">
        <f t="shared" si="26"/>
        <v>David Montgomery</v>
      </c>
      <c r="D894" s="1" t="str">
        <f t="shared" si="27"/>
        <v>CHI</v>
      </c>
      <c r="E894" s="1">
        <v>247</v>
      </c>
      <c r="F894" s="1">
        <v>1070</v>
      </c>
      <c r="G894" s="1">
        <v>4.3</v>
      </c>
      <c r="H894" s="1">
        <v>8</v>
      </c>
      <c r="I894">
        <v>1</v>
      </c>
      <c r="J894">
        <v>15</v>
      </c>
      <c r="K894" cm="1">
        <f t="array" ref="K894">IFERROR(_xlfn.XLOOKUP(D894&amp;A894, RBWR!A:A&amp;RBWR!C:C, RBWR!B:B), "N/A")</f>
        <v>71</v>
      </c>
      <c r="L894" cm="1">
        <f t="array" ref="L894">IFERROR(_xlfn.XLOOKUP(C894&amp;A894, RYOE!A:A&amp;RYOE!F:F, RYOE!C:C), "N/A")</f>
        <v>52</v>
      </c>
      <c r="M894" cm="1">
        <f t="array" ref="M894">IFERROR(_xlfn.XLOOKUP(C894&amp;A894, RYOE!A:A&amp;RYOE!F:F, RYOE!D:D), "N/A")</f>
        <v>0.21</v>
      </c>
      <c r="N894" cm="1">
        <f t="array" ref="N894">IFERROR(_xlfn.XLOOKUP(C894&amp;A894, RYOE!A:A&amp;RYOE!F:F, RYOE!E:E), "N/A")</f>
        <v>36.5</v>
      </c>
    </row>
    <row r="895" spans="1:14" ht="15" customHeight="1" x14ac:dyDescent="0.45">
      <c r="A895" s="8">
        <v>2020</v>
      </c>
      <c r="B895" s="6" t="s">
        <v>453</v>
      </c>
      <c r="C895" s="2" t="str">
        <f t="shared" si="26"/>
        <v>James Robinson</v>
      </c>
      <c r="D895" s="2" t="str">
        <f t="shared" si="27"/>
        <v>JAC</v>
      </c>
      <c r="E895" s="2">
        <v>240</v>
      </c>
      <c r="F895" s="2">
        <v>1070</v>
      </c>
      <c r="G895" s="2">
        <v>4.5</v>
      </c>
      <c r="H895" s="2">
        <v>7</v>
      </c>
      <c r="I895">
        <v>1</v>
      </c>
      <c r="J895">
        <v>14</v>
      </c>
      <c r="K895" cm="1">
        <f t="array" ref="K895">IFERROR(_xlfn.XLOOKUP(D895&amp;A895, RBWR!A:A&amp;RBWR!C:C, RBWR!B:B), "N/A")</f>
        <v>69</v>
      </c>
      <c r="L895" cm="1">
        <f t="array" ref="L895">IFERROR(_xlfn.XLOOKUP(C895&amp;A895, RYOE!A:A&amp;RYOE!F:F, RYOE!C:C), "N/A")</f>
        <v>40</v>
      </c>
      <c r="M895" cm="1">
        <f t="array" ref="M895">IFERROR(_xlfn.XLOOKUP(C895&amp;A895, RYOE!A:A&amp;RYOE!F:F, RYOE!D:D), "N/A")</f>
        <v>0.17</v>
      </c>
      <c r="N895" cm="1">
        <f t="array" ref="N895">IFERROR(_xlfn.XLOOKUP(C895&amp;A895, RYOE!A:A&amp;RYOE!F:F, RYOE!E:E), "N/A")</f>
        <v>37.6</v>
      </c>
    </row>
    <row r="896" spans="1:14" ht="15" customHeight="1" x14ac:dyDescent="0.45">
      <c r="A896" s="7">
        <v>2020</v>
      </c>
      <c r="B896" s="5" t="s">
        <v>287</v>
      </c>
      <c r="C896" s="1" t="str">
        <f t="shared" si="26"/>
        <v>Josh Jacobs</v>
      </c>
      <c r="D896" s="1" t="str">
        <f t="shared" si="27"/>
        <v>LV</v>
      </c>
      <c r="E896" s="1">
        <v>273</v>
      </c>
      <c r="F896" s="1">
        <v>1065</v>
      </c>
      <c r="G896" s="1">
        <v>3.9</v>
      </c>
      <c r="H896" s="1">
        <v>12</v>
      </c>
      <c r="I896">
        <v>2</v>
      </c>
      <c r="J896">
        <v>15</v>
      </c>
      <c r="K896" cm="1">
        <f t="array" ref="K896">IFERROR(_xlfn.XLOOKUP(D896&amp;A896, RBWR!A:A&amp;RBWR!C:C, RBWR!B:B), "N/A")</f>
        <v>69</v>
      </c>
      <c r="L896" cm="1">
        <f t="array" ref="L896">IFERROR(_xlfn.XLOOKUP(C896&amp;A896, RYOE!A:A&amp;RYOE!F:F, RYOE!C:C), "N/A")</f>
        <v>-8</v>
      </c>
      <c r="M896" cm="1">
        <f t="array" ref="M896">IFERROR(_xlfn.XLOOKUP(C896&amp;A896, RYOE!A:A&amp;RYOE!F:F, RYOE!D:D), "N/A")</f>
        <v>-0.03</v>
      </c>
      <c r="N896" cm="1">
        <f t="array" ref="N896">IFERROR(_xlfn.XLOOKUP(C896&amp;A896, RYOE!A:A&amp;RYOE!F:F, RYOE!E:E), "N/A")</f>
        <v>39.1</v>
      </c>
    </row>
    <row r="897" spans="1:14" ht="15" customHeight="1" x14ac:dyDescent="0.45">
      <c r="A897" s="8">
        <v>2020</v>
      </c>
      <c r="B897" s="6" t="s">
        <v>219</v>
      </c>
      <c r="C897" s="2" t="str">
        <f t="shared" si="26"/>
        <v>Nick Chubb</v>
      </c>
      <c r="D897" s="2" t="str">
        <f t="shared" si="27"/>
        <v>CLE</v>
      </c>
      <c r="E897" s="2">
        <v>190</v>
      </c>
      <c r="F897" s="2">
        <v>1067</v>
      </c>
      <c r="G897" s="2">
        <v>5.6</v>
      </c>
      <c r="H897" s="2">
        <v>12</v>
      </c>
      <c r="I897">
        <v>1</v>
      </c>
      <c r="J897">
        <v>12</v>
      </c>
      <c r="K897" cm="1">
        <f t="array" ref="K897">IFERROR(_xlfn.XLOOKUP(D897&amp;A897, RBWR!A:A&amp;RBWR!C:C, RBWR!B:B), "N/A")</f>
        <v>71</v>
      </c>
      <c r="L897" cm="1">
        <f t="array" ref="L897">IFERROR(_xlfn.XLOOKUP(C897&amp;A897, RYOE!A:A&amp;RYOE!F:F, RYOE!C:C), "N/A")</f>
        <v>295</v>
      </c>
      <c r="M897" cm="1">
        <f t="array" ref="M897">IFERROR(_xlfn.XLOOKUP(C897&amp;A897, RYOE!A:A&amp;RYOE!F:F, RYOE!D:D), "N/A")</f>
        <v>1.58</v>
      </c>
      <c r="N897" cm="1">
        <f t="array" ref="N897">IFERROR(_xlfn.XLOOKUP(C897&amp;A897, RYOE!A:A&amp;RYOE!F:F, RYOE!E:E), "N/A")</f>
        <v>40.299999999999997</v>
      </c>
    </row>
    <row r="898" spans="1:14" ht="15" customHeight="1" x14ac:dyDescent="0.45">
      <c r="A898" s="7">
        <v>2020</v>
      </c>
      <c r="B898" s="5" t="s">
        <v>293</v>
      </c>
      <c r="C898" s="1" t="str">
        <f t="shared" ref="C898:C961" si="28">TRIM(LEFT(B898, LEN(B898) - LEN(TRIM(RIGHT(SUBSTITUTE(TRIM(B898)," ",REPT(" ",100)),100)))))</f>
        <v>Kareem Hunt</v>
      </c>
      <c r="D898" s="1" t="str">
        <f t="shared" ref="D898:D961" si="29">MID(B898, FIND("(", B898) + 1, FIND(")", B898) - FIND("(", B898) - 1)</f>
        <v>CLE</v>
      </c>
      <c r="E898" s="1">
        <v>198</v>
      </c>
      <c r="F898" s="1">
        <v>841</v>
      </c>
      <c r="G898" s="1">
        <v>4.2</v>
      </c>
      <c r="H898" s="1">
        <v>6</v>
      </c>
      <c r="I898">
        <v>0</v>
      </c>
      <c r="J898">
        <v>16</v>
      </c>
      <c r="K898" cm="1">
        <f t="array" ref="K898">IFERROR(_xlfn.XLOOKUP(D898&amp;A898, RBWR!A:A&amp;RBWR!C:C, RBWR!B:B), "N/A")</f>
        <v>71</v>
      </c>
      <c r="L898" cm="1">
        <f t="array" ref="L898">IFERROR(_xlfn.XLOOKUP(C898&amp;A898, RYOE!A:A&amp;RYOE!F:F, RYOE!C:C), "N/A")</f>
        <v>36</v>
      </c>
      <c r="M898" cm="1">
        <f t="array" ref="M898">IFERROR(_xlfn.XLOOKUP(C898&amp;A898, RYOE!A:A&amp;RYOE!F:F, RYOE!D:D), "N/A")</f>
        <v>0.18</v>
      </c>
      <c r="N898" cm="1">
        <f t="array" ref="N898">IFERROR(_xlfn.XLOOKUP(C898&amp;A898, RYOE!A:A&amp;RYOE!F:F, RYOE!E:E), "N/A")</f>
        <v>41.4</v>
      </c>
    </row>
    <row r="899" spans="1:14" ht="15" customHeight="1" x14ac:dyDescent="0.45">
      <c r="A899" s="8">
        <v>2020</v>
      </c>
      <c r="B899" s="6" t="s">
        <v>224</v>
      </c>
      <c r="C899" s="2" t="str">
        <f t="shared" si="28"/>
        <v>Ezekiel Elliott</v>
      </c>
      <c r="D899" s="2" t="str">
        <f t="shared" si="29"/>
        <v>DAL</v>
      </c>
      <c r="E899" s="2">
        <v>244</v>
      </c>
      <c r="F899" s="2">
        <v>979</v>
      </c>
      <c r="G899" s="2">
        <v>4</v>
      </c>
      <c r="H899" s="2">
        <v>6</v>
      </c>
      <c r="I899">
        <v>5</v>
      </c>
      <c r="J899">
        <v>15</v>
      </c>
      <c r="K899" cm="1">
        <f t="array" ref="K899">IFERROR(_xlfn.XLOOKUP(D899&amp;A899, RBWR!A:A&amp;RBWR!C:C, RBWR!B:B), "N/A")</f>
        <v>70</v>
      </c>
      <c r="L899" cm="1">
        <f t="array" ref="L899">IFERROR(_xlfn.XLOOKUP(C899&amp;A899, RYOE!A:A&amp;RYOE!F:F, RYOE!C:C), "N/A")</f>
        <v>8</v>
      </c>
      <c r="M899" cm="1">
        <f t="array" ref="M899">IFERROR(_xlfn.XLOOKUP(C899&amp;A899, RYOE!A:A&amp;RYOE!F:F, RYOE!D:D), "N/A")</f>
        <v>0.03</v>
      </c>
      <c r="N899" cm="1">
        <f t="array" ref="N899">IFERROR(_xlfn.XLOOKUP(C899&amp;A899, RYOE!A:A&amp;RYOE!F:F, RYOE!E:E), "N/A")</f>
        <v>42.7</v>
      </c>
    </row>
    <row r="900" spans="1:14" ht="15" customHeight="1" x14ac:dyDescent="0.45">
      <c r="A900" s="7">
        <v>2020</v>
      </c>
      <c r="B900" s="5" t="s">
        <v>555</v>
      </c>
      <c r="C900" s="1" t="str">
        <f t="shared" si="28"/>
        <v>Kenyan Drake</v>
      </c>
      <c r="D900" s="1" t="str">
        <f t="shared" si="29"/>
        <v>ARI</v>
      </c>
      <c r="E900" s="1">
        <v>239</v>
      </c>
      <c r="F900" s="1">
        <v>955</v>
      </c>
      <c r="G900" s="1">
        <v>4</v>
      </c>
      <c r="H900" s="1">
        <v>10</v>
      </c>
      <c r="I900">
        <v>1</v>
      </c>
      <c r="J900">
        <v>15</v>
      </c>
      <c r="K900" cm="1">
        <f t="array" ref="K900">IFERROR(_xlfn.XLOOKUP(D900&amp;A900, RBWR!A:A&amp;RBWR!C:C, RBWR!B:B), "N/A")</f>
        <v>72</v>
      </c>
      <c r="L900" cm="1">
        <f t="array" ref="L900">IFERROR(_xlfn.XLOOKUP(C900&amp;A900, RYOE!A:A&amp;RYOE!F:F, RYOE!C:C), "N/A")</f>
        <v>-64</v>
      </c>
      <c r="M900" cm="1">
        <f t="array" ref="M900">IFERROR(_xlfn.XLOOKUP(C900&amp;A900, RYOE!A:A&amp;RYOE!F:F, RYOE!D:D), "N/A")</f>
        <v>-0.27</v>
      </c>
      <c r="N900" cm="1">
        <f t="array" ref="N900">IFERROR(_xlfn.XLOOKUP(C900&amp;A900, RYOE!A:A&amp;RYOE!F:F, RYOE!E:E), "N/A")</f>
        <v>31.4</v>
      </c>
    </row>
    <row r="901" spans="1:14" ht="15" customHeight="1" x14ac:dyDescent="0.45">
      <c r="A901" s="8">
        <v>2020</v>
      </c>
      <c r="B901" s="6" t="s">
        <v>385</v>
      </c>
      <c r="C901" s="2" t="str">
        <f t="shared" si="28"/>
        <v>Melvin Gordon III</v>
      </c>
      <c r="D901" s="2" t="str">
        <f t="shared" si="29"/>
        <v>DEN</v>
      </c>
      <c r="E901" s="2">
        <v>215</v>
      </c>
      <c r="F901" s="2">
        <v>986</v>
      </c>
      <c r="G901" s="2">
        <v>4.5999999999999996</v>
      </c>
      <c r="H901" s="2">
        <v>9</v>
      </c>
      <c r="I901">
        <v>4</v>
      </c>
      <c r="J901">
        <v>15</v>
      </c>
      <c r="K901" cm="1">
        <f t="array" ref="K901">IFERROR(_xlfn.XLOOKUP(D901&amp;A901, RBWR!A:A&amp;RBWR!C:C, RBWR!B:B), "N/A")</f>
        <v>70</v>
      </c>
      <c r="L901" cm="1">
        <f t="array" ref="L901">IFERROR(_xlfn.XLOOKUP(C901&amp;A901, RYOE!A:A&amp;RYOE!F:F, RYOE!C:C), "N/A")</f>
        <v>6</v>
      </c>
      <c r="M901" cm="1">
        <f t="array" ref="M901">IFERROR(_xlfn.XLOOKUP(C901&amp;A901, RYOE!A:A&amp;RYOE!F:F, RYOE!D:D), "N/A")</f>
        <v>0.03</v>
      </c>
      <c r="N901" cm="1">
        <f t="array" ref="N901">IFERROR(_xlfn.XLOOKUP(C901&amp;A901, RYOE!A:A&amp;RYOE!F:F, RYOE!E:E), "N/A")</f>
        <v>36.200000000000003</v>
      </c>
    </row>
    <row r="902" spans="1:14" ht="15" customHeight="1" x14ac:dyDescent="0.45">
      <c r="A902" s="7">
        <v>2020</v>
      </c>
      <c r="B902" s="5" t="s">
        <v>298</v>
      </c>
      <c r="C902" s="1" t="str">
        <f t="shared" si="28"/>
        <v>Antonio Gibson</v>
      </c>
      <c r="D902" s="1" t="str">
        <f t="shared" si="29"/>
        <v>WAS</v>
      </c>
      <c r="E902" s="1">
        <v>170</v>
      </c>
      <c r="F902" s="1">
        <v>795</v>
      </c>
      <c r="G902" s="1">
        <v>4.7</v>
      </c>
      <c r="H902" s="1">
        <v>11</v>
      </c>
      <c r="I902">
        <v>2</v>
      </c>
      <c r="J902">
        <v>14</v>
      </c>
      <c r="K902" cm="1">
        <f t="array" ref="K902">IFERROR(_xlfn.XLOOKUP(D902&amp;A902, RBWR!A:A&amp;RBWR!C:C, RBWR!B:B), "N/A")</f>
        <v>73</v>
      </c>
      <c r="L902" cm="1">
        <f t="array" ref="L902">IFERROR(_xlfn.XLOOKUP(C902&amp;A902, RYOE!A:A&amp;RYOE!F:F, RYOE!C:C), "N/A")</f>
        <v>35</v>
      </c>
      <c r="M902" cm="1">
        <f t="array" ref="M902">IFERROR(_xlfn.XLOOKUP(C902&amp;A902, RYOE!A:A&amp;RYOE!F:F, RYOE!D:D), "N/A")</f>
        <v>0.21</v>
      </c>
      <c r="N902" cm="1">
        <f t="array" ref="N902">IFERROR(_xlfn.XLOOKUP(C902&amp;A902, RYOE!A:A&amp;RYOE!F:F, RYOE!E:E), "N/A")</f>
        <v>39.9</v>
      </c>
    </row>
    <row r="903" spans="1:14" ht="15" customHeight="1" x14ac:dyDescent="0.45">
      <c r="A903" s="8">
        <v>2020</v>
      </c>
      <c r="B903" s="6" t="s">
        <v>466</v>
      </c>
      <c r="C903" s="2" t="str">
        <f t="shared" si="28"/>
        <v>Ronald Jones II</v>
      </c>
      <c r="D903" s="2" t="str">
        <f t="shared" si="29"/>
        <v>TB</v>
      </c>
      <c r="E903" s="2">
        <v>192</v>
      </c>
      <c r="F903" s="2">
        <v>978</v>
      </c>
      <c r="G903" s="2">
        <v>5.0999999999999996</v>
      </c>
      <c r="H903" s="2">
        <v>7</v>
      </c>
      <c r="I903">
        <v>2</v>
      </c>
      <c r="J903">
        <v>14</v>
      </c>
      <c r="K903" cm="1">
        <f t="array" ref="K903">IFERROR(_xlfn.XLOOKUP(D903&amp;A903, RBWR!A:A&amp;RBWR!C:C, RBWR!B:B), "N/A")</f>
        <v>70</v>
      </c>
      <c r="L903" cm="1">
        <f t="array" ref="L903">IFERROR(_xlfn.XLOOKUP(C903&amp;A903, RYOE!A:A&amp;RYOE!F:F, RYOE!C:C), "N/A")</f>
        <v>189</v>
      </c>
      <c r="M903" cm="1">
        <f t="array" ref="M903">IFERROR(_xlfn.XLOOKUP(C903&amp;A903, RYOE!A:A&amp;RYOE!F:F, RYOE!D:D), "N/A")</f>
        <v>0.99</v>
      </c>
      <c r="N903" cm="1">
        <f t="array" ref="N903">IFERROR(_xlfn.XLOOKUP(C903&amp;A903, RYOE!A:A&amp;RYOE!F:F, RYOE!E:E), "N/A")</f>
        <v>45.5</v>
      </c>
    </row>
    <row r="904" spans="1:14" ht="15" customHeight="1" x14ac:dyDescent="0.45">
      <c r="A904" s="7">
        <v>2020</v>
      </c>
      <c r="B904" s="5" t="s">
        <v>477</v>
      </c>
      <c r="C904" s="1" t="str">
        <f t="shared" si="28"/>
        <v>Chris Carson</v>
      </c>
      <c r="D904" s="1" t="str">
        <f t="shared" si="29"/>
        <v>SEA</v>
      </c>
      <c r="E904" s="1">
        <v>141</v>
      </c>
      <c r="F904" s="1">
        <v>681</v>
      </c>
      <c r="G904" s="1">
        <v>4.8</v>
      </c>
      <c r="H904" s="1">
        <v>5</v>
      </c>
      <c r="I904">
        <v>0</v>
      </c>
      <c r="J904">
        <v>12</v>
      </c>
      <c r="K904" cm="1">
        <f t="array" ref="K904">IFERROR(_xlfn.XLOOKUP(D904&amp;A904, RBWR!A:A&amp;RBWR!C:C, RBWR!B:B), "N/A")</f>
        <v>70</v>
      </c>
      <c r="L904" cm="1">
        <f t="array" ref="L904">IFERROR(_xlfn.XLOOKUP(C904&amp;A904, RYOE!A:A&amp;RYOE!F:F, RYOE!C:C), "N/A")</f>
        <v>24</v>
      </c>
      <c r="M904" cm="1">
        <f t="array" ref="M904">IFERROR(_xlfn.XLOOKUP(C904&amp;A904, RYOE!A:A&amp;RYOE!F:F, RYOE!D:D), "N/A")</f>
        <v>0.18</v>
      </c>
      <c r="N904" cm="1">
        <f t="array" ref="N904">IFERROR(_xlfn.XLOOKUP(C904&amp;A904, RYOE!A:A&amp;RYOE!F:F, RYOE!E:E), "N/A")</f>
        <v>43.9</v>
      </c>
    </row>
    <row r="905" spans="1:14" ht="15" customHeight="1" x14ac:dyDescent="0.45">
      <c r="A905" s="8">
        <v>2020</v>
      </c>
      <c r="B905" s="6" t="s">
        <v>322</v>
      </c>
      <c r="C905" s="2" t="str">
        <f t="shared" si="28"/>
        <v>J.K. Dobbins</v>
      </c>
      <c r="D905" s="2" t="str">
        <f t="shared" si="29"/>
        <v>BAL</v>
      </c>
      <c r="E905" s="2">
        <v>134</v>
      </c>
      <c r="F905" s="2">
        <v>805</v>
      </c>
      <c r="G905" s="2">
        <v>6</v>
      </c>
      <c r="H905" s="2">
        <v>9</v>
      </c>
      <c r="I905">
        <v>0</v>
      </c>
      <c r="J905">
        <v>15</v>
      </c>
      <c r="K905" cm="1">
        <f t="array" ref="K905">IFERROR(_xlfn.XLOOKUP(D905&amp;A905, RBWR!A:A&amp;RBWR!C:C, RBWR!B:B), "N/A")</f>
        <v>73</v>
      </c>
      <c r="L905" cm="1">
        <f t="array" ref="L905">IFERROR(_xlfn.XLOOKUP(C905&amp;A905, RYOE!A:A&amp;RYOE!F:F, RYOE!C:C), "N/A")</f>
        <v>196</v>
      </c>
      <c r="M905" cm="1">
        <f t="array" ref="M905">IFERROR(_xlfn.XLOOKUP(C905&amp;A905, RYOE!A:A&amp;RYOE!F:F, RYOE!D:D), "N/A")</f>
        <v>1.47</v>
      </c>
      <c r="N905" cm="1">
        <f t="array" ref="N905">IFERROR(_xlfn.XLOOKUP(C905&amp;A905, RYOE!A:A&amp;RYOE!F:F, RYOE!E:E), "N/A")</f>
        <v>42.1</v>
      </c>
    </row>
    <row r="906" spans="1:14" ht="15" customHeight="1" x14ac:dyDescent="0.45">
      <c r="A906" s="7">
        <v>2020</v>
      </c>
      <c r="B906" s="5" t="s">
        <v>556</v>
      </c>
      <c r="C906" s="1" t="str">
        <f t="shared" si="28"/>
        <v>Mike Davis</v>
      </c>
      <c r="D906" s="1" t="str">
        <f t="shared" si="29"/>
        <v>CAR</v>
      </c>
      <c r="E906" s="1">
        <v>165</v>
      </c>
      <c r="F906" s="1">
        <v>642</v>
      </c>
      <c r="G906" s="1">
        <v>3.9</v>
      </c>
      <c r="H906" s="1">
        <v>6</v>
      </c>
      <c r="I906">
        <v>1</v>
      </c>
      <c r="J906">
        <v>15</v>
      </c>
      <c r="K906" cm="1">
        <f t="array" ref="K906">IFERROR(_xlfn.XLOOKUP(D906&amp;A906, RBWR!A:A&amp;RBWR!C:C, RBWR!B:B), "N/A")</f>
        <v>72</v>
      </c>
      <c r="L906" cm="1">
        <f t="array" ref="L906">IFERROR(_xlfn.XLOOKUP(C906&amp;A906, RYOE!A:A&amp;RYOE!F:F, RYOE!C:C), "N/A")</f>
        <v>11</v>
      </c>
      <c r="M906" cm="1">
        <f t="array" ref="M906">IFERROR(_xlfn.XLOOKUP(C906&amp;A906, RYOE!A:A&amp;RYOE!F:F, RYOE!D:D), "N/A")</f>
        <v>7.0000000000000007E-2</v>
      </c>
      <c r="N906" cm="1">
        <f t="array" ref="N906">IFERROR(_xlfn.XLOOKUP(C906&amp;A906, RYOE!A:A&amp;RYOE!F:F, RYOE!E:E), "N/A")</f>
        <v>34.200000000000003</v>
      </c>
    </row>
    <row r="907" spans="1:14" ht="15" customHeight="1" x14ac:dyDescent="0.45">
      <c r="A907" s="8">
        <v>2020</v>
      </c>
      <c r="B907" s="6" t="s">
        <v>472</v>
      </c>
      <c r="C907" s="2" t="str">
        <f t="shared" si="28"/>
        <v>David Johnson</v>
      </c>
      <c r="D907" s="2" t="str">
        <f t="shared" si="29"/>
        <v>HOU</v>
      </c>
      <c r="E907" s="2">
        <v>147</v>
      </c>
      <c r="F907" s="2">
        <v>691</v>
      </c>
      <c r="G907" s="2">
        <v>4.7</v>
      </c>
      <c r="H907" s="2">
        <v>6</v>
      </c>
      <c r="I907">
        <v>1</v>
      </c>
      <c r="J907">
        <v>12</v>
      </c>
      <c r="K907" cm="1">
        <f t="array" ref="K907">IFERROR(_xlfn.XLOOKUP(D907&amp;A907, RBWR!A:A&amp;RBWR!C:C, RBWR!B:B), "N/A")</f>
        <v>73</v>
      </c>
      <c r="L907" cm="1">
        <f t="array" ref="L907">IFERROR(_xlfn.XLOOKUP(C907&amp;A907, RYOE!A:A&amp;RYOE!F:F, RYOE!C:C), "N/A")</f>
        <v>60</v>
      </c>
      <c r="M907" cm="1">
        <f t="array" ref="M907">IFERROR(_xlfn.XLOOKUP(C907&amp;A907, RYOE!A:A&amp;RYOE!F:F, RYOE!D:D), "N/A")</f>
        <v>0.41</v>
      </c>
      <c r="N907" cm="1">
        <f t="array" ref="N907">IFERROR(_xlfn.XLOOKUP(C907&amp;A907, RYOE!A:A&amp;RYOE!F:F, RYOE!E:E), "N/A")</f>
        <v>36.1</v>
      </c>
    </row>
    <row r="908" spans="1:14" ht="15" customHeight="1" x14ac:dyDescent="0.45">
      <c r="A908" s="7">
        <v>2020</v>
      </c>
      <c r="B908" s="5" t="s">
        <v>375</v>
      </c>
      <c r="C908" s="1" t="str">
        <f t="shared" si="28"/>
        <v>D'Andre Swift</v>
      </c>
      <c r="D908" s="1" t="str">
        <f t="shared" si="29"/>
        <v>DET</v>
      </c>
      <c r="E908" s="1">
        <v>114</v>
      </c>
      <c r="F908" s="1">
        <v>521</v>
      </c>
      <c r="G908" s="1">
        <v>4.5999999999999996</v>
      </c>
      <c r="H908" s="1">
        <v>8</v>
      </c>
      <c r="I908">
        <v>2</v>
      </c>
      <c r="J908">
        <v>13</v>
      </c>
      <c r="K908" cm="1">
        <f t="array" ref="K908">IFERROR(_xlfn.XLOOKUP(D908&amp;A908, RBWR!A:A&amp;RBWR!C:C, RBWR!B:B), "N/A")</f>
        <v>70</v>
      </c>
      <c r="L908" cm="1">
        <f t="array" ref="L908">IFERROR(_xlfn.XLOOKUP(C908&amp;A908, RYOE!A:A&amp;RYOE!F:F, RYOE!C:C), "N/A")</f>
        <v>11</v>
      </c>
      <c r="M908" cm="1">
        <f t="array" ref="M908">IFERROR(_xlfn.XLOOKUP(C908&amp;A908, RYOE!A:A&amp;RYOE!F:F, RYOE!D:D), "N/A")</f>
        <v>0.1</v>
      </c>
      <c r="N908" cm="1">
        <f t="array" ref="N908">IFERROR(_xlfn.XLOOKUP(C908&amp;A908, RYOE!A:A&amp;RYOE!F:F, RYOE!E:E), "N/A")</f>
        <v>33.299999999999997</v>
      </c>
    </row>
    <row r="909" spans="1:14" ht="15" customHeight="1" x14ac:dyDescent="0.45">
      <c r="A909" s="8">
        <v>2020</v>
      </c>
      <c r="B909" s="6" t="s">
        <v>372</v>
      </c>
      <c r="C909" s="2" t="str">
        <f t="shared" si="28"/>
        <v>Miles Sanders</v>
      </c>
      <c r="D909" s="2" t="str">
        <f t="shared" si="29"/>
        <v>PHI</v>
      </c>
      <c r="E909" s="2">
        <v>164</v>
      </c>
      <c r="F909" s="2">
        <v>867</v>
      </c>
      <c r="G909" s="2">
        <v>5.3</v>
      </c>
      <c r="H909" s="2">
        <v>6</v>
      </c>
      <c r="I909">
        <v>2</v>
      </c>
      <c r="J909">
        <v>12</v>
      </c>
      <c r="K909" cm="1">
        <f t="array" ref="K909">IFERROR(_xlfn.XLOOKUP(D909&amp;A909, RBWR!A:A&amp;RBWR!C:C, RBWR!B:B), "N/A")</f>
        <v>73</v>
      </c>
      <c r="L909" cm="1">
        <f t="array" ref="L909">IFERROR(_xlfn.XLOOKUP(C909&amp;A909, RYOE!A:A&amp;RYOE!F:F, RYOE!C:C), "N/A")</f>
        <v>8</v>
      </c>
      <c r="M909" cm="1">
        <f t="array" ref="M909">IFERROR(_xlfn.XLOOKUP(C909&amp;A909, RYOE!A:A&amp;RYOE!F:F, RYOE!D:D), "N/A")</f>
        <v>0.05</v>
      </c>
      <c r="N909" cm="1">
        <f t="array" ref="N909">IFERROR(_xlfn.XLOOKUP(C909&amp;A909, RYOE!A:A&amp;RYOE!F:F, RYOE!E:E), "N/A")</f>
        <v>34.4</v>
      </c>
    </row>
    <row r="910" spans="1:14" ht="15" customHeight="1" x14ac:dyDescent="0.45">
      <c r="A910" s="7">
        <v>2020</v>
      </c>
      <c r="B910" s="5" t="s">
        <v>159</v>
      </c>
      <c r="C910" s="1" t="str">
        <f t="shared" si="28"/>
        <v>Clyde Edwards-Helaire</v>
      </c>
      <c r="D910" s="1" t="str">
        <f t="shared" si="29"/>
        <v>KC</v>
      </c>
      <c r="E910" s="1">
        <v>181</v>
      </c>
      <c r="F910" s="1">
        <v>803</v>
      </c>
      <c r="G910" s="1">
        <v>4.4000000000000004</v>
      </c>
      <c r="H910" s="1">
        <v>4</v>
      </c>
      <c r="I910">
        <v>0</v>
      </c>
      <c r="J910">
        <v>13</v>
      </c>
      <c r="K910" cm="1">
        <f t="array" ref="K910">IFERROR(_xlfn.XLOOKUP(D910&amp;A910, RBWR!A:A&amp;RBWR!C:C, RBWR!B:B), "N/A")</f>
        <v>67</v>
      </c>
      <c r="L910" cm="1">
        <f t="array" ref="L910">IFERROR(_xlfn.XLOOKUP(C910&amp;A910, RYOE!A:A&amp;RYOE!F:F, RYOE!C:C), "N/A")</f>
        <v>-111</v>
      </c>
      <c r="M910" cm="1">
        <f t="array" ref="M910">IFERROR(_xlfn.XLOOKUP(C910&amp;A910, RYOE!A:A&amp;RYOE!F:F, RYOE!D:D), "N/A")</f>
        <v>-0.63</v>
      </c>
      <c r="N910" cm="1">
        <f t="array" ref="N910">IFERROR(_xlfn.XLOOKUP(C910&amp;A910, RYOE!A:A&amp;RYOE!F:F, RYOE!E:E), "N/A")</f>
        <v>33.5</v>
      </c>
    </row>
    <row r="911" spans="1:14" ht="15" customHeight="1" x14ac:dyDescent="0.45">
      <c r="A911" s="8">
        <v>2020</v>
      </c>
      <c r="B911" s="6" t="s">
        <v>557</v>
      </c>
      <c r="C911" s="2" t="str">
        <f t="shared" si="28"/>
        <v>Todd Gurley II</v>
      </c>
      <c r="D911" s="2" t="str">
        <f t="shared" si="29"/>
        <v>ATL</v>
      </c>
      <c r="E911" s="2">
        <v>195</v>
      </c>
      <c r="F911" s="2">
        <v>678</v>
      </c>
      <c r="G911" s="2">
        <v>3.5</v>
      </c>
      <c r="H911" s="2">
        <v>9</v>
      </c>
      <c r="I911">
        <v>0</v>
      </c>
      <c r="J911">
        <v>15</v>
      </c>
      <c r="K911" cm="1">
        <f t="array" ref="K911">IFERROR(_xlfn.XLOOKUP(D911&amp;A911, RBWR!A:A&amp;RBWR!C:C, RBWR!B:B), "N/A")</f>
        <v>69</v>
      </c>
      <c r="L911" cm="1">
        <f t="array" ref="L911">IFERROR(_xlfn.XLOOKUP(C911&amp;A911, RYOE!A:A&amp;RYOE!F:F, RYOE!C:C), "N/A")</f>
        <v>-103</v>
      </c>
      <c r="M911" cm="1">
        <f t="array" ref="M911">IFERROR(_xlfn.XLOOKUP(C911&amp;A911, RYOE!A:A&amp;RYOE!F:F, RYOE!D:D), "N/A")</f>
        <v>-0.54</v>
      </c>
      <c r="N911" cm="1">
        <f t="array" ref="N911">IFERROR(_xlfn.XLOOKUP(C911&amp;A911, RYOE!A:A&amp;RYOE!F:F, RYOE!E:E), "N/A")</f>
        <v>33.5</v>
      </c>
    </row>
    <row r="912" spans="1:14" ht="15" customHeight="1" x14ac:dyDescent="0.45">
      <c r="A912" s="7">
        <v>2020</v>
      </c>
      <c r="B912" s="5" t="s">
        <v>464</v>
      </c>
      <c r="C912" s="1" t="str">
        <f t="shared" si="28"/>
        <v>Nyheim Miller-Hines</v>
      </c>
      <c r="D912" s="1" t="str">
        <f t="shared" si="29"/>
        <v>IND</v>
      </c>
      <c r="E912" s="1">
        <v>89</v>
      </c>
      <c r="F912" s="1">
        <v>380</v>
      </c>
      <c r="G912" s="1">
        <v>4.3</v>
      </c>
      <c r="H912" s="1">
        <v>3</v>
      </c>
      <c r="I912">
        <v>0</v>
      </c>
      <c r="J912">
        <v>16</v>
      </c>
      <c r="K912" cm="1">
        <f t="array" ref="K912">IFERROR(_xlfn.XLOOKUP(D912&amp;A912, RBWR!A:A&amp;RBWR!C:C, RBWR!B:B), "N/A")</f>
        <v>72</v>
      </c>
      <c r="L912" cm="1">
        <f t="array" ref="L912">IFERROR(_xlfn.XLOOKUP(C912&amp;A912, RYOE!A:A&amp;RYOE!F:F, RYOE!C:C), "N/A")</f>
        <v>-7</v>
      </c>
      <c r="M912" cm="1">
        <f t="array" ref="M912">IFERROR(_xlfn.XLOOKUP(C912&amp;A912, RYOE!A:A&amp;RYOE!F:F, RYOE!D:D), "N/A")</f>
        <v>-0.08</v>
      </c>
      <c r="N912" cm="1">
        <f t="array" ref="N912">IFERROR(_xlfn.XLOOKUP(C912&amp;A912, RYOE!A:A&amp;RYOE!F:F, RYOE!E:E), "N/A")</f>
        <v>38.6</v>
      </c>
    </row>
    <row r="913" spans="1:14" ht="15" customHeight="1" x14ac:dyDescent="0.45">
      <c r="A913" s="8">
        <v>2020</v>
      </c>
      <c r="B913" s="6" t="s">
        <v>558</v>
      </c>
      <c r="C913" s="2" t="str">
        <f t="shared" si="28"/>
        <v>James Conner</v>
      </c>
      <c r="D913" s="2" t="str">
        <f t="shared" si="29"/>
        <v>PIT</v>
      </c>
      <c r="E913" s="2">
        <v>169</v>
      </c>
      <c r="F913" s="2">
        <v>721</v>
      </c>
      <c r="G913" s="2">
        <v>4.3</v>
      </c>
      <c r="H913" s="2">
        <v>6</v>
      </c>
      <c r="I913">
        <v>0</v>
      </c>
      <c r="J913">
        <v>13</v>
      </c>
      <c r="K913" cm="1">
        <f t="array" ref="K913">IFERROR(_xlfn.XLOOKUP(D913&amp;A913, RBWR!A:A&amp;RBWR!C:C, RBWR!B:B), "N/A")</f>
        <v>69</v>
      </c>
      <c r="L913" cm="1">
        <f t="array" ref="L913">IFERROR(_xlfn.XLOOKUP(C913&amp;A913, RYOE!A:A&amp;RYOE!F:F, RYOE!C:C), "N/A")</f>
        <v>-10</v>
      </c>
      <c r="M913" cm="1">
        <f t="array" ref="M913">IFERROR(_xlfn.XLOOKUP(C913&amp;A913, RYOE!A:A&amp;RYOE!F:F, RYOE!D:D), "N/A")</f>
        <v>-0.06</v>
      </c>
      <c r="N913" cm="1">
        <f t="array" ref="N913">IFERROR(_xlfn.XLOOKUP(C913&amp;A913, RYOE!A:A&amp;RYOE!F:F, RYOE!E:E), "N/A")</f>
        <v>34.4</v>
      </c>
    </row>
    <row r="914" spans="1:14" ht="15" customHeight="1" x14ac:dyDescent="0.45">
      <c r="A914" s="7">
        <v>2020</v>
      </c>
      <c r="B914" s="5" t="s">
        <v>476</v>
      </c>
      <c r="C914" s="1" t="str">
        <f t="shared" si="28"/>
        <v>Jeff Wilson Jr.</v>
      </c>
      <c r="D914" s="1" t="str">
        <f t="shared" si="29"/>
        <v>SF</v>
      </c>
      <c r="E914" s="1">
        <v>126</v>
      </c>
      <c r="F914" s="1">
        <v>600</v>
      </c>
      <c r="G914" s="1">
        <v>4.8</v>
      </c>
      <c r="H914" s="1">
        <v>7</v>
      </c>
      <c r="I914">
        <v>2</v>
      </c>
      <c r="J914">
        <v>12</v>
      </c>
      <c r="K914" cm="1">
        <f t="array" ref="K914">IFERROR(_xlfn.XLOOKUP(D914&amp;A914, RBWR!A:A&amp;RBWR!C:C, RBWR!B:B), "N/A")</f>
        <v>69</v>
      </c>
      <c r="L914" cm="1">
        <f t="array" ref="L914">IFERROR(_xlfn.XLOOKUP(C914&amp;A914, RYOE!A:A&amp;RYOE!F:F, RYOE!C:C), "N/A")</f>
        <v>5</v>
      </c>
      <c r="M914" cm="1">
        <f t="array" ref="M914">IFERROR(_xlfn.XLOOKUP(C914&amp;A914, RYOE!A:A&amp;RYOE!F:F, RYOE!D:D), "N/A")</f>
        <v>0.04</v>
      </c>
      <c r="N914" cm="1">
        <f t="array" ref="N914">IFERROR(_xlfn.XLOOKUP(C914&amp;A914, RYOE!A:A&amp;RYOE!F:F, RYOE!E:E), "N/A")</f>
        <v>39.799999999999997</v>
      </c>
    </row>
    <row r="915" spans="1:14" ht="15" customHeight="1" x14ac:dyDescent="0.45">
      <c r="A915" s="8">
        <v>2020</v>
      </c>
      <c r="B915" s="6" t="s">
        <v>416</v>
      </c>
      <c r="C915" s="2" t="str">
        <f t="shared" si="28"/>
        <v>Myles Gaskin</v>
      </c>
      <c r="D915" s="2" t="str">
        <f t="shared" si="29"/>
        <v>MIA</v>
      </c>
      <c r="E915" s="2">
        <v>142</v>
      </c>
      <c r="F915" s="2">
        <v>584</v>
      </c>
      <c r="G915" s="2">
        <v>4.0999999999999996</v>
      </c>
      <c r="H915" s="2">
        <v>3</v>
      </c>
      <c r="I915">
        <v>2</v>
      </c>
      <c r="J915">
        <v>10</v>
      </c>
      <c r="K915" cm="1">
        <f t="array" ref="K915">IFERROR(_xlfn.XLOOKUP(D915&amp;A915, RBWR!A:A&amp;RBWR!C:C, RBWR!B:B), "N/A")</f>
        <v>69</v>
      </c>
      <c r="L915" cm="1">
        <f t="array" ref="L915">IFERROR(_xlfn.XLOOKUP(C915&amp;A915, RYOE!A:A&amp;RYOE!F:F, RYOE!C:C), "N/A")</f>
        <v>19</v>
      </c>
      <c r="M915" cm="1">
        <f t="array" ref="M915">IFERROR(_xlfn.XLOOKUP(C915&amp;A915, RYOE!A:A&amp;RYOE!F:F, RYOE!D:D), "N/A")</f>
        <v>0.14000000000000001</v>
      </c>
      <c r="N915" cm="1">
        <f t="array" ref="N915">IFERROR(_xlfn.XLOOKUP(C915&amp;A915, RYOE!A:A&amp;RYOE!F:F, RYOE!E:E), "N/A")</f>
        <v>40.6</v>
      </c>
    </row>
    <row r="916" spans="1:14" ht="15" customHeight="1" x14ac:dyDescent="0.45">
      <c r="A916" s="7">
        <v>2020</v>
      </c>
      <c r="B916" s="5" t="s">
        <v>284</v>
      </c>
      <c r="C916" s="1" t="str">
        <f t="shared" si="28"/>
        <v>Gus Edwards</v>
      </c>
      <c r="D916" s="1" t="str">
        <f t="shared" si="29"/>
        <v>BAL</v>
      </c>
      <c r="E916" s="1">
        <v>144</v>
      </c>
      <c r="F916" s="1">
        <v>723</v>
      </c>
      <c r="G916" s="1">
        <v>5</v>
      </c>
      <c r="H916" s="1">
        <v>6</v>
      </c>
      <c r="I916">
        <v>1</v>
      </c>
      <c r="J916">
        <v>16</v>
      </c>
      <c r="K916" cm="1">
        <f t="array" ref="K916">IFERROR(_xlfn.XLOOKUP(D916&amp;A916, RBWR!A:A&amp;RBWR!C:C, RBWR!B:B), "N/A")</f>
        <v>73</v>
      </c>
      <c r="L916" cm="1">
        <f t="array" ref="L916">IFERROR(_xlfn.XLOOKUP(C916&amp;A916, RYOE!A:A&amp;RYOE!F:F, RYOE!C:C), "N/A")</f>
        <v>125</v>
      </c>
      <c r="M916" cm="1">
        <f t="array" ref="M916">IFERROR(_xlfn.XLOOKUP(C916&amp;A916, RYOE!A:A&amp;RYOE!F:F, RYOE!D:D), "N/A")</f>
        <v>0.88</v>
      </c>
      <c r="N916" cm="1">
        <f t="array" ref="N916">IFERROR(_xlfn.XLOOKUP(C916&amp;A916, RYOE!A:A&amp;RYOE!F:F, RYOE!E:E), "N/A")</f>
        <v>46.5</v>
      </c>
    </row>
    <row r="917" spans="1:14" ht="15" customHeight="1" x14ac:dyDescent="0.45">
      <c r="A917" s="8">
        <v>2020</v>
      </c>
      <c r="B917" s="6" t="s">
        <v>559</v>
      </c>
      <c r="C917" s="2" t="str">
        <f t="shared" si="28"/>
        <v>Wayne Gallman Jr.</v>
      </c>
      <c r="D917" s="2" t="str">
        <f t="shared" si="29"/>
        <v>NYG</v>
      </c>
      <c r="E917" s="2">
        <v>147</v>
      </c>
      <c r="F917" s="2">
        <v>682</v>
      </c>
      <c r="G917" s="2">
        <v>4.5999999999999996</v>
      </c>
      <c r="H917" s="2">
        <v>6</v>
      </c>
      <c r="I917">
        <v>0</v>
      </c>
      <c r="J917">
        <v>15</v>
      </c>
      <c r="K917" cm="1">
        <f t="array" ref="K917">IFERROR(_xlfn.XLOOKUP(D917&amp;A917, RBWR!A:A&amp;RBWR!C:C, RBWR!B:B), "N/A")</f>
        <v>70</v>
      </c>
      <c r="L917" cm="1">
        <f t="array" ref="L917">IFERROR(_xlfn.XLOOKUP(C917&amp;A917, RYOE!A:A&amp;RYOE!F:F, RYOE!C:C), "N/A")</f>
        <v>79</v>
      </c>
      <c r="M917" cm="1">
        <f t="array" ref="M917">IFERROR(_xlfn.XLOOKUP(C917&amp;A917, RYOE!A:A&amp;RYOE!F:F, RYOE!D:D), "N/A")</f>
        <v>0.55000000000000004</v>
      </c>
      <c r="N917" cm="1">
        <f t="array" ref="N917">IFERROR(_xlfn.XLOOKUP(C917&amp;A917, RYOE!A:A&amp;RYOE!F:F, RYOE!E:E), "N/A")</f>
        <v>46.2</v>
      </c>
    </row>
    <row r="918" spans="1:14" ht="15" customHeight="1" x14ac:dyDescent="0.45">
      <c r="A918" s="7">
        <v>2020</v>
      </c>
      <c r="B918" s="5" t="s">
        <v>457</v>
      </c>
      <c r="C918" s="1" t="str">
        <f t="shared" si="28"/>
        <v>Chase Edmonds</v>
      </c>
      <c r="D918" s="1" t="str">
        <f t="shared" si="29"/>
        <v>ARI</v>
      </c>
      <c r="E918" s="1">
        <v>97</v>
      </c>
      <c r="F918" s="1">
        <v>448</v>
      </c>
      <c r="G918" s="1">
        <v>4.5999999999999996</v>
      </c>
      <c r="H918" s="1">
        <v>1</v>
      </c>
      <c r="I918">
        <v>0</v>
      </c>
      <c r="J918">
        <v>16</v>
      </c>
      <c r="K918" cm="1">
        <f t="array" ref="K918">IFERROR(_xlfn.XLOOKUP(D918&amp;A918, RBWR!A:A&amp;RBWR!C:C, RBWR!B:B), "N/A")</f>
        <v>72</v>
      </c>
      <c r="L918" cm="1">
        <f t="array" ref="L918">IFERROR(_xlfn.XLOOKUP(C918&amp;A918, RYOE!A:A&amp;RYOE!F:F, RYOE!C:C), "N/A")</f>
        <v>-2</v>
      </c>
      <c r="M918" cm="1">
        <f t="array" ref="M918">IFERROR(_xlfn.XLOOKUP(C918&amp;A918, RYOE!A:A&amp;RYOE!F:F, RYOE!D:D), "N/A")</f>
        <v>-0.02</v>
      </c>
      <c r="N918" cm="1">
        <f t="array" ref="N918">IFERROR(_xlfn.XLOOKUP(C918&amp;A918, RYOE!A:A&amp;RYOE!F:F, RYOE!E:E), "N/A")</f>
        <v>35.799999999999997</v>
      </c>
    </row>
    <row r="919" spans="1:14" ht="15" customHeight="1" x14ac:dyDescent="0.45">
      <c r="A919" s="8">
        <v>2020</v>
      </c>
      <c r="B919" s="6" t="s">
        <v>305</v>
      </c>
      <c r="C919" s="2" t="str">
        <f t="shared" si="28"/>
        <v>Darrell Henderson Jr.</v>
      </c>
      <c r="D919" s="2" t="str">
        <f t="shared" si="29"/>
        <v>LAR</v>
      </c>
      <c r="E919" s="2">
        <v>138</v>
      </c>
      <c r="F919" s="2">
        <v>624</v>
      </c>
      <c r="G919" s="2">
        <v>4.5</v>
      </c>
      <c r="H919" s="2">
        <v>5</v>
      </c>
      <c r="I919">
        <v>0</v>
      </c>
      <c r="J919">
        <v>15</v>
      </c>
      <c r="K919" cm="1">
        <f t="array" ref="K919">IFERROR(_xlfn.XLOOKUP(D919&amp;A919, RBWR!A:A&amp;RBWR!C:C, RBWR!B:B), "N/A")</f>
        <v>70</v>
      </c>
      <c r="L919" cm="1">
        <f t="array" ref="L919">IFERROR(_xlfn.XLOOKUP(C919&amp;A919, RYOE!A:A&amp;RYOE!F:F, RYOE!C:C), "N/A")</f>
        <v>2</v>
      </c>
      <c r="M919" cm="1">
        <f t="array" ref="M919">IFERROR(_xlfn.XLOOKUP(C919&amp;A919, RYOE!A:A&amp;RYOE!F:F, RYOE!D:D), "N/A")</f>
        <v>0.01</v>
      </c>
      <c r="N919" cm="1">
        <f t="array" ref="N919">IFERROR(_xlfn.XLOOKUP(C919&amp;A919, RYOE!A:A&amp;RYOE!F:F, RYOE!E:E), "N/A")</f>
        <v>36.799999999999997</v>
      </c>
    </row>
    <row r="920" spans="1:14" ht="15" customHeight="1" x14ac:dyDescent="0.45">
      <c r="A920" s="7">
        <v>2020</v>
      </c>
      <c r="B920" s="5" t="s">
        <v>560</v>
      </c>
      <c r="C920" s="1" t="str">
        <f t="shared" si="28"/>
        <v>Latavius Murray</v>
      </c>
      <c r="D920" s="1" t="str">
        <f t="shared" si="29"/>
        <v>NO</v>
      </c>
      <c r="E920" s="1">
        <v>146</v>
      </c>
      <c r="F920" s="1">
        <v>656</v>
      </c>
      <c r="G920" s="1">
        <v>4.5</v>
      </c>
      <c r="H920" s="1">
        <v>4</v>
      </c>
      <c r="I920">
        <v>0</v>
      </c>
      <c r="J920">
        <v>15</v>
      </c>
      <c r="K920" cm="1">
        <f t="array" ref="K920">IFERROR(_xlfn.XLOOKUP(D920&amp;A920, RBWR!A:A&amp;RBWR!C:C, RBWR!B:B), "N/A")</f>
        <v>72</v>
      </c>
      <c r="L920" cm="1">
        <f t="array" ref="L920">IFERROR(_xlfn.XLOOKUP(C920&amp;A920, RYOE!A:A&amp;RYOE!F:F, RYOE!C:C), "N/A")</f>
        <v>14</v>
      </c>
      <c r="M920" cm="1">
        <f t="array" ref="M920">IFERROR(_xlfn.XLOOKUP(C920&amp;A920, RYOE!A:A&amp;RYOE!F:F, RYOE!D:D), "N/A")</f>
        <v>0.1</v>
      </c>
      <c r="N920" cm="1">
        <f t="array" ref="N920">IFERROR(_xlfn.XLOOKUP(C920&amp;A920, RYOE!A:A&amp;RYOE!F:F, RYOE!E:E), "N/A")</f>
        <v>37.5</v>
      </c>
    </row>
    <row r="921" spans="1:14" ht="15" customHeight="1" x14ac:dyDescent="0.45">
      <c r="A921" s="8">
        <v>2020</v>
      </c>
      <c r="B921" s="6" t="s">
        <v>561</v>
      </c>
      <c r="C921" s="2" t="str">
        <f t="shared" si="28"/>
        <v>Adrian Peterson</v>
      </c>
      <c r="D921" s="2" t="str">
        <f t="shared" si="29"/>
        <v>DET</v>
      </c>
      <c r="E921" s="2">
        <v>156</v>
      </c>
      <c r="F921" s="2">
        <v>604</v>
      </c>
      <c r="G921" s="2">
        <v>3.9</v>
      </c>
      <c r="H921" s="2">
        <v>7</v>
      </c>
      <c r="I921">
        <v>0</v>
      </c>
      <c r="J921">
        <v>16</v>
      </c>
      <c r="K921" cm="1">
        <f t="array" ref="K921">IFERROR(_xlfn.XLOOKUP(D921&amp;A921, RBWR!A:A&amp;RBWR!C:C, RBWR!B:B), "N/A")</f>
        <v>70</v>
      </c>
      <c r="L921" cm="1">
        <f t="array" ref="L921">IFERROR(_xlfn.XLOOKUP(C921&amp;A921, RYOE!A:A&amp;RYOE!F:F, RYOE!C:C), "N/A")</f>
        <v>-78</v>
      </c>
      <c r="M921" cm="1">
        <f t="array" ref="M921">IFERROR(_xlfn.XLOOKUP(C921&amp;A921, RYOE!A:A&amp;RYOE!F:F, RYOE!D:D), "N/A")</f>
        <v>-0.5</v>
      </c>
      <c r="N921" cm="1">
        <f t="array" ref="N921">IFERROR(_xlfn.XLOOKUP(C921&amp;A921, RYOE!A:A&amp;RYOE!F:F, RYOE!E:E), "N/A")</f>
        <v>27.7</v>
      </c>
    </row>
    <row r="922" spans="1:14" ht="15" customHeight="1" x14ac:dyDescent="0.45">
      <c r="A922" s="7">
        <v>2020</v>
      </c>
      <c r="B922" s="5" t="s">
        <v>398</v>
      </c>
      <c r="C922" s="1" t="str">
        <f t="shared" si="28"/>
        <v>J.D. McKissic</v>
      </c>
      <c r="D922" s="1" t="str">
        <f t="shared" si="29"/>
        <v>WAS</v>
      </c>
      <c r="E922" s="1">
        <v>85</v>
      </c>
      <c r="F922" s="1">
        <v>365</v>
      </c>
      <c r="G922" s="1">
        <v>4.3</v>
      </c>
      <c r="H922" s="1">
        <v>1</v>
      </c>
      <c r="I922">
        <v>1</v>
      </c>
      <c r="J922">
        <v>16</v>
      </c>
      <c r="K922" cm="1">
        <f t="array" ref="K922">IFERROR(_xlfn.XLOOKUP(D922&amp;A922, RBWR!A:A&amp;RBWR!C:C, RBWR!B:B), "N/A")</f>
        <v>73</v>
      </c>
      <c r="L922" cm="1">
        <f t="array" ref="L922">IFERROR(_xlfn.XLOOKUP(C922&amp;A922, RYOE!A:A&amp;RYOE!F:F, RYOE!C:C), "N/A")</f>
        <v>-52</v>
      </c>
      <c r="M922" cm="1">
        <f t="array" ref="M922">IFERROR(_xlfn.XLOOKUP(C922&amp;A922, RYOE!A:A&amp;RYOE!F:F, RYOE!D:D), "N/A")</f>
        <v>-0.61</v>
      </c>
      <c r="N922" cm="1">
        <f t="array" ref="N922">IFERROR(_xlfn.XLOOKUP(C922&amp;A922, RYOE!A:A&amp;RYOE!F:F, RYOE!E:E), "N/A")</f>
        <v>32.9</v>
      </c>
    </row>
    <row r="923" spans="1:14" ht="15" customHeight="1" x14ac:dyDescent="0.45">
      <c r="A923" s="8">
        <v>2020</v>
      </c>
      <c r="B923" s="6" t="s">
        <v>290</v>
      </c>
      <c r="C923" s="2" t="str">
        <f t="shared" si="28"/>
        <v>Austin Ekeler</v>
      </c>
      <c r="D923" s="2" t="str">
        <f t="shared" si="29"/>
        <v>LAC</v>
      </c>
      <c r="E923" s="2">
        <v>116</v>
      </c>
      <c r="F923" s="2">
        <v>530</v>
      </c>
      <c r="G923" s="2">
        <v>4.5999999999999996</v>
      </c>
      <c r="H923" s="2">
        <v>1</v>
      </c>
      <c r="I923">
        <v>0</v>
      </c>
      <c r="J923">
        <v>10</v>
      </c>
      <c r="K923" cm="1">
        <f t="array" ref="K923">IFERROR(_xlfn.XLOOKUP(D923&amp;A923, RBWR!A:A&amp;RBWR!C:C, RBWR!B:B), "N/A")</f>
        <v>67</v>
      </c>
      <c r="L923" cm="1">
        <f t="array" ref="L923">IFERROR(_xlfn.XLOOKUP(C923&amp;A923, RYOE!A:A&amp;RYOE!F:F, RYOE!C:C), "N/A")</f>
        <v>11</v>
      </c>
      <c r="M923" cm="1">
        <f t="array" ref="M923">IFERROR(_xlfn.XLOOKUP(C923&amp;A923, RYOE!A:A&amp;RYOE!F:F, RYOE!D:D), "N/A")</f>
        <v>0.1</v>
      </c>
      <c r="N923" cm="1">
        <f t="array" ref="N923">IFERROR(_xlfn.XLOOKUP(C923&amp;A923, RYOE!A:A&amp;RYOE!F:F, RYOE!E:E), "N/A")</f>
        <v>36.5</v>
      </c>
    </row>
    <row r="924" spans="1:14" ht="15" customHeight="1" x14ac:dyDescent="0.45">
      <c r="A924" s="7">
        <v>2020</v>
      </c>
      <c r="B924" s="5" t="s">
        <v>562</v>
      </c>
      <c r="C924" s="1" t="str">
        <f t="shared" si="28"/>
        <v>Giovani Bernard</v>
      </c>
      <c r="D924" s="1" t="str">
        <f t="shared" si="29"/>
        <v>CIN</v>
      </c>
      <c r="E924" s="1">
        <v>124</v>
      </c>
      <c r="F924" s="1">
        <v>416</v>
      </c>
      <c r="G924" s="1">
        <v>3.4</v>
      </c>
      <c r="H924" s="1">
        <v>3</v>
      </c>
      <c r="I924">
        <v>1</v>
      </c>
      <c r="J924">
        <v>16</v>
      </c>
      <c r="K924" cm="1">
        <f t="array" ref="K924">IFERROR(_xlfn.XLOOKUP(D924&amp;A924, RBWR!A:A&amp;RBWR!C:C, RBWR!B:B), "N/A")</f>
        <v>71</v>
      </c>
      <c r="L924" cm="1">
        <f t="array" ref="L924">IFERROR(_xlfn.XLOOKUP(C924&amp;A924, RYOE!A:A&amp;RYOE!F:F, RYOE!C:C), "N/A")</f>
        <v>-98</v>
      </c>
      <c r="M924" cm="1">
        <f t="array" ref="M924">IFERROR(_xlfn.XLOOKUP(C924&amp;A924, RYOE!A:A&amp;RYOE!F:F, RYOE!D:D), "N/A")</f>
        <v>-0.8</v>
      </c>
      <c r="N924" cm="1">
        <f t="array" ref="N924">IFERROR(_xlfn.XLOOKUP(C924&amp;A924, RYOE!A:A&amp;RYOE!F:F, RYOE!E:E), "N/A")</f>
        <v>33.6</v>
      </c>
    </row>
    <row r="925" spans="1:14" ht="15" customHeight="1" x14ac:dyDescent="0.45">
      <c r="A925" s="8">
        <v>2020</v>
      </c>
      <c r="B925" s="6" t="s">
        <v>376</v>
      </c>
      <c r="C925" s="2" t="str">
        <f t="shared" si="28"/>
        <v>Devin Singletary</v>
      </c>
      <c r="D925" s="2" t="str">
        <f t="shared" si="29"/>
        <v>BUF</v>
      </c>
      <c r="E925" s="2">
        <v>156</v>
      </c>
      <c r="F925" s="2">
        <v>687</v>
      </c>
      <c r="G925" s="2">
        <v>4.4000000000000004</v>
      </c>
      <c r="H925" s="2">
        <v>2</v>
      </c>
      <c r="I925">
        <v>1</v>
      </c>
      <c r="J925">
        <v>16</v>
      </c>
      <c r="K925" cm="1">
        <f t="array" ref="K925">IFERROR(_xlfn.XLOOKUP(D925&amp;A925, RBWR!A:A&amp;RBWR!C:C, RBWR!B:B), "N/A")</f>
        <v>69</v>
      </c>
      <c r="L925" cm="1">
        <f t="array" ref="L925">IFERROR(_xlfn.XLOOKUP(C925&amp;A925, RYOE!A:A&amp;RYOE!F:F, RYOE!C:C), "N/A")</f>
        <v>37</v>
      </c>
      <c r="M925" cm="1">
        <f t="array" ref="M925">IFERROR(_xlfn.XLOOKUP(C925&amp;A925, RYOE!A:A&amp;RYOE!F:F, RYOE!D:D), "N/A")</f>
        <v>0.24</v>
      </c>
      <c r="N925" cm="1">
        <f t="array" ref="N925">IFERROR(_xlfn.XLOOKUP(C925&amp;A925, RYOE!A:A&amp;RYOE!F:F, RYOE!E:E), "N/A")</f>
        <v>38.200000000000003</v>
      </c>
    </row>
    <row r="926" spans="1:14" ht="15" customHeight="1" x14ac:dyDescent="0.45">
      <c r="A926" s="7">
        <v>2020</v>
      </c>
      <c r="B926" s="5" t="s">
        <v>563</v>
      </c>
      <c r="C926" s="1" t="str">
        <f t="shared" si="28"/>
        <v>Jamaal Williams</v>
      </c>
      <c r="D926" s="1" t="str">
        <f t="shared" si="29"/>
        <v>GB</v>
      </c>
      <c r="E926" s="1">
        <v>119</v>
      </c>
      <c r="F926" s="1">
        <v>505</v>
      </c>
      <c r="G926" s="1">
        <v>4.2</v>
      </c>
      <c r="H926" s="1">
        <v>2</v>
      </c>
      <c r="I926">
        <v>0</v>
      </c>
      <c r="J926">
        <v>14</v>
      </c>
      <c r="K926" cm="1">
        <f t="array" ref="K926">IFERROR(_xlfn.XLOOKUP(D926&amp;A926, RBWR!A:A&amp;RBWR!C:C, RBWR!B:B), "N/A")</f>
        <v>74</v>
      </c>
      <c r="L926" cm="1">
        <f t="array" ref="L926">IFERROR(_xlfn.XLOOKUP(C926&amp;A926, RYOE!A:A&amp;RYOE!F:F, RYOE!C:C), "N/A")</f>
        <v>21</v>
      </c>
      <c r="M926" cm="1">
        <f t="array" ref="M926">IFERROR(_xlfn.XLOOKUP(C926&amp;A926, RYOE!A:A&amp;RYOE!F:F, RYOE!D:D), "N/A")</f>
        <v>0.18</v>
      </c>
      <c r="N926" cm="1">
        <f t="array" ref="N926">IFERROR(_xlfn.XLOOKUP(C926&amp;A926, RYOE!A:A&amp;RYOE!F:F, RYOE!E:E), "N/A")</f>
        <v>36.4</v>
      </c>
    </row>
    <row r="927" spans="1:14" ht="15" customHeight="1" x14ac:dyDescent="0.45">
      <c r="A927" s="8">
        <v>2020</v>
      </c>
      <c r="B927" s="6" t="s">
        <v>373</v>
      </c>
      <c r="C927" s="2" t="str">
        <f t="shared" si="28"/>
        <v>Leonard Fournette</v>
      </c>
      <c r="D927" s="2" t="str">
        <f t="shared" si="29"/>
        <v>TB</v>
      </c>
      <c r="E927" s="2">
        <v>97</v>
      </c>
      <c r="F927" s="2">
        <v>367</v>
      </c>
      <c r="G927" s="2">
        <v>3.8</v>
      </c>
      <c r="H927" s="2">
        <v>6</v>
      </c>
      <c r="I927">
        <v>0</v>
      </c>
      <c r="J927">
        <v>13</v>
      </c>
      <c r="K927" cm="1">
        <f t="array" ref="K927">IFERROR(_xlfn.XLOOKUP(D927&amp;A927, RBWR!A:A&amp;RBWR!C:C, RBWR!B:B), "N/A")</f>
        <v>70</v>
      </c>
      <c r="L927" cm="1">
        <f t="array" ref="L927">IFERROR(_xlfn.XLOOKUP(C927&amp;A927, RYOE!A:A&amp;RYOE!F:F, RYOE!C:C), "N/A")</f>
        <v>-25</v>
      </c>
      <c r="M927" cm="1">
        <f t="array" ref="M927">IFERROR(_xlfn.XLOOKUP(C927&amp;A927, RYOE!A:A&amp;RYOE!F:F, RYOE!D:D), "N/A")</f>
        <v>-0.27</v>
      </c>
      <c r="N927" cm="1">
        <f t="array" ref="N927">IFERROR(_xlfn.XLOOKUP(C927&amp;A927, RYOE!A:A&amp;RYOE!F:F, RYOE!E:E), "N/A")</f>
        <v>30.9</v>
      </c>
    </row>
    <row r="928" spans="1:14" ht="15" customHeight="1" x14ac:dyDescent="0.45">
      <c r="A928" s="7">
        <v>2020</v>
      </c>
      <c r="B928" s="5" t="s">
        <v>564</v>
      </c>
      <c r="C928" s="1" t="str">
        <f t="shared" si="28"/>
        <v>Jerick McKinnon</v>
      </c>
      <c r="D928" s="1" t="str">
        <f t="shared" si="29"/>
        <v>SF</v>
      </c>
      <c r="E928" s="1">
        <v>81</v>
      </c>
      <c r="F928" s="1">
        <v>319</v>
      </c>
      <c r="G928" s="1">
        <v>3.9</v>
      </c>
      <c r="H928" s="1">
        <v>5</v>
      </c>
      <c r="I928">
        <v>0</v>
      </c>
      <c r="J928">
        <v>16</v>
      </c>
      <c r="K928" cm="1">
        <f t="array" ref="K928">IFERROR(_xlfn.XLOOKUP(D928&amp;A928, RBWR!A:A&amp;RBWR!C:C, RBWR!B:B), "N/A")</f>
        <v>69</v>
      </c>
      <c r="L928" t="str" cm="1">
        <f t="array" ref="L928">IFERROR(_xlfn.XLOOKUP(C928&amp;A928, RYOE!A:A&amp;RYOE!F:F, RYOE!C:C), "N/A")</f>
        <v>N/A</v>
      </c>
      <c r="M928" t="str" cm="1">
        <f t="array" ref="M928">IFERROR(_xlfn.XLOOKUP(C928&amp;A928, RYOE!A:A&amp;RYOE!F:F, RYOE!D:D), "N/A")</f>
        <v>N/A</v>
      </c>
      <c r="N928" t="str" cm="1">
        <f t="array" ref="N928">IFERROR(_xlfn.XLOOKUP(C928&amp;A928, RYOE!A:A&amp;RYOE!F:F, RYOE!E:E), "N/A")</f>
        <v>N/A</v>
      </c>
    </row>
    <row r="929" spans="1:14" ht="15" customHeight="1" x14ac:dyDescent="0.45">
      <c r="A929" s="8">
        <v>2020</v>
      </c>
      <c r="B929" s="6" t="s">
        <v>285</v>
      </c>
      <c r="C929" s="2" t="str">
        <f t="shared" si="28"/>
        <v>Tony Pollard</v>
      </c>
      <c r="D929" s="2" t="str">
        <f t="shared" si="29"/>
        <v>DAL</v>
      </c>
      <c r="E929" s="2">
        <v>101</v>
      </c>
      <c r="F929" s="2">
        <v>435</v>
      </c>
      <c r="G929" s="2">
        <v>4.3</v>
      </c>
      <c r="H929" s="2">
        <v>4</v>
      </c>
      <c r="I929">
        <v>0</v>
      </c>
      <c r="J929">
        <v>16</v>
      </c>
      <c r="K929" cm="1">
        <f t="array" ref="K929">IFERROR(_xlfn.XLOOKUP(D929&amp;A929, RBWR!A:A&amp;RBWR!C:C, RBWR!B:B), "N/A")</f>
        <v>70</v>
      </c>
      <c r="L929" cm="1">
        <f t="array" ref="L929">IFERROR(_xlfn.XLOOKUP(C929&amp;A929, RYOE!A:A&amp;RYOE!F:F, RYOE!C:C), "N/A")</f>
        <v>13</v>
      </c>
      <c r="M929" cm="1">
        <f t="array" ref="M929">IFERROR(_xlfn.XLOOKUP(C929&amp;A929, RYOE!A:A&amp;RYOE!F:F, RYOE!D:D), "N/A")</f>
        <v>0.13</v>
      </c>
      <c r="N929" cm="1">
        <f t="array" ref="N929">IFERROR(_xlfn.XLOOKUP(C929&amp;A929, RYOE!A:A&amp;RYOE!F:F, RYOE!E:E), "N/A")</f>
        <v>31.3</v>
      </c>
    </row>
    <row r="930" spans="1:14" ht="15" customHeight="1" x14ac:dyDescent="0.45">
      <c r="A930" s="7">
        <v>2020</v>
      </c>
      <c r="B930" s="5" t="s">
        <v>377</v>
      </c>
      <c r="C930" s="1" t="str">
        <f t="shared" si="28"/>
        <v>Cam Akers</v>
      </c>
      <c r="D930" s="1" t="str">
        <f t="shared" si="29"/>
        <v>LAR</v>
      </c>
      <c r="E930" s="1">
        <v>145</v>
      </c>
      <c r="F930" s="1">
        <v>625</v>
      </c>
      <c r="G930" s="1">
        <v>4.3</v>
      </c>
      <c r="H930" s="1">
        <v>2</v>
      </c>
      <c r="I930">
        <v>1</v>
      </c>
      <c r="J930">
        <v>12</v>
      </c>
      <c r="K930" cm="1">
        <f t="array" ref="K930">IFERROR(_xlfn.XLOOKUP(D930&amp;A930, RBWR!A:A&amp;RBWR!C:C, RBWR!B:B), "N/A")</f>
        <v>70</v>
      </c>
      <c r="L930" cm="1">
        <f t="array" ref="L930">IFERROR(_xlfn.XLOOKUP(C930&amp;A930, RYOE!A:A&amp;RYOE!F:F, RYOE!C:C), "N/A")</f>
        <v>-39</v>
      </c>
      <c r="M930" cm="1">
        <f t="array" ref="M930">IFERROR(_xlfn.XLOOKUP(C930&amp;A930, RYOE!A:A&amp;RYOE!F:F, RYOE!D:D), "N/A")</f>
        <v>-0.28000000000000003</v>
      </c>
      <c r="N930" cm="1">
        <f t="array" ref="N930">IFERROR(_xlfn.XLOOKUP(C930&amp;A930, RYOE!A:A&amp;RYOE!F:F, RYOE!E:E), "N/A")</f>
        <v>28.2</v>
      </c>
    </row>
    <row r="931" spans="1:14" ht="15" customHeight="1" x14ac:dyDescent="0.45">
      <c r="A931" s="8">
        <v>2020</v>
      </c>
      <c r="B931" s="6" t="s">
        <v>463</v>
      </c>
      <c r="C931" s="2" t="str">
        <f t="shared" si="28"/>
        <v>Zack Moss</v>
      </c>
      <c r="D931" s="2" t="str">
        <f t="shared" si="29"/>
        <v>BUF</v>
      </c>
      <c r="E931" s="2">
        <v>112</v>
      </c>
      <c r="F931" s="2">
        <v>481</v>
      </c>
      <c r="G931" s="2">
        <v>4.3</v>
      </c>
      <c r="H931" s="2">
        <v>4</v>
      </c>
      <c r="I931">
        <v>0</v>
      </c>
      <c r="J931">
        <v>13</v>
      </c>
      <c r="K931" cm="1">
        <f t="array" ref="K931">IFERROR(_xlfn.XLOOKUP(D931&amp;A931, RBWR!A:A&amp;RBWR!C:C, RBWR!B:B), "N/A")</f>
        <v>69</v>
      </c>
      <c r="L931" cm="1">
        <f t="array" ref="L931">IFERROR(_xlfn.XLOOKUP(C931&amp;A931, RYOE!A:A&amp;RYOE!F:F, RYOE!C:C), "N/A")</f>
        <v>1</v>
      </c>
      <c r="M931" cm="1">
        <f t="array" ref="M931">IFERROR(_xlfn.XLOOKUP(C931&amp;A931, RYOE!A:A&amp;RYOE!F:F, RYOE!D:D), "N/A")</f>
        <v>0.01</v>
      </c>
      <c r="N931" cm="1">
        <f t="array" ref="N931">IFERROR(_xlfn.XLOOKUP(C931&amp;A931, RYOE!A:A&amp;RYOE!F:F, RYOE!E:E), "N/A")</f>
        <v>39.799999999999997</v>
      </c>
    </row>
    <row r="932" spans="1:14" ht="15" customHeight="1" x14ac:dyDescent="0.45">
      <c r="A932" s="7">
        <v>2020</v>
      </c>
      <c r="B932" s="5" t="s">
        <v>383</v>
      </c>
      <c r="C932" s="1" t="str">
        <f t="shared" si="28"/>
        <v>Damien Harris</v>
      </c>
      <c r="D932" s="1" t="str">
        <f t="shared" si="29"/>
        <v>NE</v>
      </c>
      <c r="E932" s="1">
        <v>137</v>
      </c>
      <c r="F932" s="1">
        <v>691</v>
      </c>
      <c r="G932" s="1">
        <v>5</v>
      </c>
      <c r="H932" s="1">
        <v>2</v>
      </c>
      <c r="I932">
        <v>0</v>
      </c>
      <c r="J932">
        <v>10</v>
      </c>
      <c r="K932" cm="1">
        <f t="array" ref="K932">IFERROR(_xlfn.XLOOKUP(D932&amp;A932, RBWR!A:A&amp;RBWR!C:C, RBWR!B:B), "N/A")</f>
        <v>72</v>
      </c>
      <c r="L932" cm="1">
        <f t="array" ref="L932">IFERROR(_xlfn.XLOOKUP(C932&amp;A932, RYOE!A:A&amp;RYOE!F:F, RYOE!C:C), "N/A")</f>
        <v>40</v>
      </c>
      <c r="M932" cm="1">
        <f t="array" ref="M932">IFERROR(_xlfn.XLOOKUP(C932&amp;A932, RYOE!A:A&amp;RYOE!F:F, RYOE!D:D), "N/A")</f>
        <v>0.28999999999999998</v>
      </c>
      <c r="N932" cm="1">
        <f t="array" ref="N932">IFERROR(_xlfn.XLOOKUP(C932&amp;A932, RYOE!A:A&amp;RYOE!F:F, RYOE!E:E), "N/A")</f>
        <v>40.9</v>
      </c>
    </row>
    <row r="933" spans="1:14" ht="15" customHeight="1" x14ac:dyDescent="0.45">
      <c r="A933" s="8">
        <v>2020</v>
      </c>
      <c r="B933" s="6" t="s">
        <v>403</v>
      </c>
      <c r="C933" s="2" t="str">
        <f t="shared" si="28"/>
        <v>Malcolm Brown</v>
      </c>
      <c r="D933" s="2" t="str">
        <f t="shared" si="29"/>
        <v>LAR</v>
      </c>
      <c r="E933" s="2">
        <v>101</v>
      </c>
      <c r="F933" s="2">
        <v>419</v>
      </c>
      <c r="G933" s="2">
        <v>4.0999999999999996</v>
      </c>
      <c r="H933" s="2">
        <v>5</v>
      </c>
      <c r="I933">
        <v>1</v>
      </c>
      <c r="J933">
        <v>16</v>
      </c>
      <c r="K933" cm="1">
        <f t="array" ref="K933">IFERROR(_xlfn.XLOOKUP(D933&amp;A933, RBWR!A:A&amp;RBWR!C:C, RBWR!B:B), "N/A")</f>
        <v>70</v>
      </c>
      <c r="L933" cm="1">
        <f t="array" ref="L933">IFERROR(_xlfn.XLOOKUP(C933&amp;A933, RYOE!A:A&amp;RYOE!F:F, RYOE!C:C), "N/A")</f>
        <v>-54</v>
      </c>
      <c r="M933" cm="1">
        <f t="array" ref="M933">IFERROR(_xlfn.XLOOKUP(C933&amp;A933, RYOE!A:A&amp;RYOE!F:F, RYOE!D:D), "N/A")</f>
        <v>-0.55000000000000004</v>
      </c>
      <c r="N933" cm="1">
        <f t="array" ref="N933">IFERROR(_xlfn.XLOOKUP(C933&amp;A933, RYOE!A:A&amp;RYOE!F:F, RYOE!E:E), "N/A")</f>
        <v>36.700000000000003</v>
      </c>
    </row>
    <row r="934" spans="1:14" ht="15" customHeight="1" x14ac:dyDescent="0.45">
      <c r="A934" s="7">
        <v>2020</v>
      </c>
      <c r="B934" s="5" t="s">
        <v>565</v>
      </c>
      <c r="C934" s="1" t="str">
        <f t="shared" si="28"/>
        <v>Frank Gore</v>
      </c>
      <c r="D934" s="1" t="str">
        <f t="shared" si="29"/>
        <v>NYJ</v>
      </c>
      <c r="E934" s="1">
        <v>187</v>
      </c>
      <c r="F934" s="1">
        <v>653</v>
      </c>
      <c r="G934" s="1">
        <v>3.5</v>
      </c>
      <c r="H934" s="1">
        <v>2</v>
      </c>
      <c r="I934">
        <v>1</v>
      </c>
      <c r="J934">
        <v>15</v>
      </c>
      <c r="K934" cm="1">
        <f t="array" ref="K934">IFERROR(_xlfn.XLOOKUP(D934&amp;A934, RBWR!A:A&amp;RBWR!C:C, RBWR!B:B), "N/A")</f>
        <v>67</v>
      </c>
      <c r="L934" cm="1">
        <f t="array" ref="L934">IFERROR(_xlfn.XLOOKUP(C934&amp;A934, RYOE!A:A&amp;RYOE!F:F, RYOE!C:C), "N/A")</f>
        <v>-92</v>
      </c>
      <c r="M934" cm="1">
        <f t="array" ref="M934">IFERROR(_xlfn.XLOOKUP(C934&amp;A934, RYOE!A:A&amp;RYOE!F:F, RYOE!D:D), "N/A")</f>
        <v>-0.5</v>
      </c>
      <c r="N934" cm="1">
        <f t="array" ref="N934">IFERROR(_xlfn.XLOOKUP(C934&amp;A934, RYOE!A:A&amp;RYOE!F:F, RYOE!E:E), "N/A")</f>
        <v>38</v>
      </c>
    </row>
    <row r="935" spans="1:14" ht="15" customHeight="1" x14ac:dyDescent="0.45">
      <c r="A935" s="8">
        <v>2020</v>
      </c>
      <c r="B935" s="6" t="s">
        <v>519</v>
      </c>
      <c r="C935" s="2" t="str">
        <f t="shared" si="28"/>
        <v>Raheem Mostert</v>
      </c>
      <c r="D935" s="2" t="str">
        <f t="shared" si="29"/>
        <v>SF</v>
      </c>
      <c r="E935" s="2">
        <v>104</v>
      </c>
      <c r="F935" s="2">
        <v>521</v>
      </c>
      <c r="G935" s="2">
        <v>5</v>
      </c>
      <c r="H935" s="2">
        <v>2</v>
      </c>
      <c r="I935">
        <v>1</v>
      </c>
      <c r="J935">
        <v>8</v>
      </c>
      <c r="K935" cm="1">
        <f t="array" ref="K935">IFERROR(_xlfn.XLOOKUP(D935&amp;A935, RBWR!A:A&amp;RBWR!C:C, RBWR!B:B), "N/A")</f>
        <v>69</v>
      </c>
      <c r="L935" cm="1">
        <f t="array" ref="L935">IFERROR(_xlfn.XLOOKUP(C935&amp;A935, RYOE!A:A&amp;RYOE!F:F, RYOE!C:C), "N/A")</f>
        <v>52</v>
      </c>
      <c r="M935" cm="1">
        <f t="array" ref="M935">IFERROR(_xlfn.XLOOKUP(C935&amp;A935, RYOE!A:A&amp;RYOE!F:F, RYOE!D:D), "N/A")</f>
        <v>0.51</v>
      </c>
      <c r="N935" cm="1">
        <f t="array" ref="N935">IFERROR(_xlfn.XLOOKUP(C935&amp;A935, RYOE!A:A&amp;RYOE!F:F, RYOE!E:E), "N/A")</f>
        <v>35.9</v>
      </c>
    </row>
    <row r="936" spans="1:14" ht="15" customHeight="1" x14ac:dyDescent="0.45">
      <c r="A936" s="7">
        <v>2020</v>
      </c>
      <c r="B936" s="5" t="s">
        <v>566</v>
      </c>
      <c r="C936" s="1" t="str">
        <f t="shared" si="28"/>
        <v>Rex Burkhead</v>
      </c>
      <c r="D936" s="1" t="str">
        <f t="shared" si="29"/>
        <v>NE</v>
      </c>
      <c r="E936" s="1">
        <v>67</v>
      </c>
      <c r="F936" s="1">
        <v>274</v>
      </c>
      <c r="G936" s="1">
        <v>4.0999999999999996</v>
      </c>
      <c r="H936" s="1">
        <v>3</v>
      </c>
      <c r="I936">
        <v>0</v>
      </c>
      <c r="J936">
        <v>10</v>
      </c>
      <c r="K936" cm="1">
        <f t="array" ref="K936">IFERROR(_xlfn.XLOOKUP(D936&amp;A936, RBWR!A:A&amp;RBWR!C:C, RBWR!B:B), "N/A")</f>
        <v>72</v>
      </c>
      <c r="L936" t="str" cm="1">
        <f t="array" ref="L936">IFERROR(_xlfn.XLOOKUP(C936&amp;A936, RYOE!A:A&amp;RYOE!F:F, RYOE!C:C), "N/A")</f>
        <v>N/A</v>
      </c>
      <c r="M936" t="str" cm="1">
        <f t="array" ref="M936">IFERROR(_xlfn.XLOOKUP(C936&amp;A936, RYOE!A:A&amp;RYOE!F:F, RYOE!D:D), "N/A")</f>
        <v>N/A</v>
      </c>
      <c r="N936" t="str" cm="1">
        <f t="array" ref="N936">IFERROR(_xlfn.XLOOKUP(C936&amp;A936, RYOE!A:A&amp;RYOE!F:F, RYOE!E:E), "N/A")</f>
        <v>N/A</v>
      </c>
    </row>
    <row r="937" spans="1:14" ht="15" customHeight="1" x14ac:dyDescent="0.45">
      <c r="A937" s="8">
        <v>2020</v>
      </c>
      <c r="B937" s="6" t="s">
        <v>282</v>
      </c>
      <c r="C937" s="2" t="str">
        <f t="shared" si="28"/>
        <v>Joe Mixon</v>
      </c>
      <c r="D937" s="2" t="str">
        <f t="shared" si="29"/>
        <v>CIN</v>
      </c>
      <c r="E937" s="2">
        <v>119</v>
      </c>
      <c r="F937" s="2">
        <v>428</v>
      </c>
      <c r="G937" s="2">
        <v>3.6</v>
      </c>
      <c r="H937" s="2">
        <v>3</v>
      </c>
      <c r="I937">
        <v>1</v>
      </c>
      <c r="J937">
        <v>6</v>
      </c>
      <c r="K937" cm="1">
        <f t="array" ref="K937">IFERROR(_xlfn.XLOOKUP(D937&amp;A937, RBWR!A:A&amp;RBWR!C:C, RBWR!B:B), "N/A")</f>
        <v>71</v>
      </c>
      <c r="L937" cm="1">
        <f t="array" ref="L937">IFERROR(_xlfn.XLOOKUP(C937&amp;A937, RYOE!A:A&amp;RYOE!F:F, RYOE!C:C), "N/A")</f>
        <v>-29</v>
      </c>
      <c r="M937" cm="1">
        <f t="array" ref="M937">IFERROR(_xlfn.XLOOKUP(C937&amp;A937, RYOE!A:A&amp;RYOE!F:F, RYOE!D:D), "N/A")</f>
        <v>-0.25</v>
      </c>
      <c r="N937" cm="1">
        <f t="array" ref="N937">IFERROR(_xlfn.XLOOKUP(C937&amp;A937, RYOE!A:A&amp;RYOE!F:F, RYOE!E:E), "N/A")</f>
        <v>37.6</v>
      </c>
    </row>
    <row r="938" spans="1:14" ht="15" customHeight="1" x14ac:dyDescent="0.45">
      <c r="A938" s="7">
        <v>2020</v>
      </c>
      <c r="B938" s="5" t="s">
        <v>294</v>
      </c>
      <c r="C938" s="1" t="str">
        <f t="shared" si="28"/>
        <v>Alexander Mattison</v>
      </c>
      <c r="D938" s="1" t="str">
        <f t="shared" si="29"/>
        <v>MIN</v>
      </c>
      <c r="E938" s="1">
        <v>96</v>
      </c>
      <c r="F938" s="1">
        <v>434</v>
      </c>
      <c r="G938" s="1">
        <v>4.5</v>
      </c>
      <c r="H938" s="1">
        <v>2</v>
      </c>
      <c r="I938">
        <v>0</v>
      </c>
      <c r="J938">
        <v>13</v>
      </c>
      <c r="K938" cm="1">
        <f t="array" ref="K938">IFERROR(_xlfn.XLOOKUP(D938&amp;A938, RBWR!A:A&amp;RBWR!C:C, RBWR!B:B), "N/A")</f>
        <v>70</v>
      </c>
      <c r="L938" cm="1">
        <f t="array" ref="L938">IFERROR(_xlfn.XLOOKUP(C938&amp;A938, RYOE!A:A&amp;RYOE!F:F, RYOE!C:C), "N/A")</f>
        <v>52</v>
      </c>
      <c r="M938" cm="1">
        <f t="array" ref="M938">IFERROR(_xlfn.XLOOKUP(C938&amp;A938, RYOE!A:A&amp;RYOE!F:F, RYOE!D:D), "N/A")</f>
        <v>0.55000000000000004</v>
      </c>
      <c r="N938" cm="1">
        <f t="array" ref="N938">IFERROR(_xlfn.XLOOKUP(C938&amp;A938, RYOE!A:A&amp;RYOE!F:F, RYOE!E:E), "N/A")</f>
        <v>46.8</v>
      </c>
    </row>
    <row r="939" spans="1:14" ht="15" customHeight="1" x14ac:dyDescent="0.45">
      <c r="A939" s="8">
        <v>2020</v>
      </c>
      <c r="B939" s="6" t="s">
        <v>460</v>
      </c>
      <c r="C939" s="2" t="str">
        <f t="shared" si="28"/>
        <v>Christian McCaffrey</v>
      </c>
      <c r="D939" s="2" t="str">
        <f t="shared" si="29"/>
        <v>CAR</v>
      </c>
      <c r="E939" s="2">
        <v>59</v>
      </c>
      <c r="F939" s="2">
        <v>225</v>
      </c>
      <c r="G939" s="2">
        <v>3.8</v>
      </c>
      <c r="H939" s="2">
        <v>5</v>
      </c>
      <c r="I939">
        <v>0</v>
      </c>
      <c r="J939">
        <v>3</v>
      </c>
      <c r="K939" cm="1">
        <f t="array" ref="K939">IFERROR(_xlfn.XLOOKUP(D939&amp;A939, RBWR!A:A&amp;RBWR!C:C, RBWR!B:B), "N/A")</f>
        <v>72</v>
      </c>
      <c r="L939" t="str" cm="1">
        <f t="array" ref="L939">IFERROR(_xlfn.XLOOKUP(C939&amp;A939, RYOE!A:A&amp;RYOE!F:F, RYOE!C:C), "N/A")</f>
        <v>N/A</v>
      </c>
      <c r="M939" t="str" cm="1">
        <f t="array" ref="M939">IFERROR(_xlfn.XLOOKUP(C939&amp;A939, RYOE!A:A&amp;RYOE!F:F, RYOE!D:D), "N/A")</f>
        <v>N/A</v>
      </c>
      <c r="N939" t="str" cm="1">
        <f t="array" ref="N939">IFERROR(_xlfn.XLOOKUP(C939&amp;A939, RYOE!A:A&amp;RYOE!F:F, RYOE!E:E), "N/A")</f>
        <v>N/A</v>
      </c>
    </row>
    <row r="940" spans="1:14" ht="15" customHeight="1" x14ac:dyDescent="0.45">
      <c r="A940" s="7">
        <v>2020</v>
      </c>
      <c r="B940" s="5" t="s">
        <v>317</v>
      </c>
      <c r="C940" s="1" t="str">
        <f t="shared" si="28"/>
        <v>Boston Scott</v>
      </c>
      <c r="D940" s="1" t="str">
        <f t="shared" si="29"/>
        <v>PHI</v>
      </c>
      <c r="E940" s="1">
        <v>80</v>
      </c>
      <c r="F940" s="1">
        <v>374</v>
      </c>
      <c r="G940" s="1">
        <v>4.7</v>
      </c>
      <c r="H940" s="1">
        <v>1</v>
      </c>
      <c r="I940">
        <v>0</v>
      </c>
      <c r="J940">
        <v>16</v>
      </c>
      <c r="K940" cm="1">
        <f t="array" ref="K940">IFERROR(_xlfn.XLOOKUP(D940&amp;A940, RBWR!A:A&amp;RBWR!C:C, RBWR!B:B), "N/A")</f>
        <v>73</v>
      </c>
      <c r="L940" t="str" cm="1">
        <f t="array" ref="L940">IFERROR(_xlfn.XLOOKUP(C940&amp;A940, RYOE!A:A&amp;RYOE!F:F, RYOE!C:C), "N/A")</f>
        <v>N/A</v>
      </c>
      <c r="M940" t="str" cm="1">
        <f t="array" ref="M940">IFERROR(_xlfn.XLOOKUP(C940&amp;A940, RYOE!A:A&amp;RYOE!F:F, RYOE!D:D), "N/A")</f>
        <v>N/A</v>
      </c>
      <c r="N940" t="str" cm="1">
        <f t="array" ref="N940">IFERROR(_xlfn.XLOOKUP(C940&amp;A940, RYOE!A:A&amp;RYOE!F:F, RYOE!E:E), "N/A")</f>
        <v>N/A</v>
      </c>
    </row>
    <row r="941" spans="1:14" ht="15" customHeight="1" x14ac:dyDescent="0.45">
      <c r="A941" s="8">
        <v>2020</v>
      </c>
      <c r="B941" s="6" t="s">
        <v>567</v>
      </c>
      <c r="C941" s="2" t="str">
        <f t="shared" si="28"/>
        <v>Brian Hill</v>
      </c>
      <c r="D941" s="2" t="str">
        <f t="shared" si="29"/>
        <v>ATL</v>
      </c>
      <c r="E941" s="2">
        <v>100</v>
      </c>
      <c r="F941" s="2">
        <v>465</v>
      </c>
      <c r="G941" s="2">
        <v>4.7</v>
      </c>
      <c r="H941" s="2">
        <v>1</v>
      </c>
      <c r="I941">
        <v>1</v>
      </c>
      <c r="J941">
        <v>16</v>
      </c>
      <c r="K941" cm="1">
        <f t="array" ref="K941">IFERROR(_xlfn.XLOOKUP(D941&amp;A941, RBWR!A:A&amp;RBWR!C:C, RBWR!B:B), "N/A")</f>
        <v>69</v>
      </c>
      <c r="L941" cm="1">
        <f t="array" ref="L941">IFERROR(_xlfn.XLOOKUP(C941&amp;A941, RYOE!A:A&amp;RYOE!F:F, RYOE!C:C), "N/A")</f>
        <v>-11</v>
      </c>
      <c r="M941" cm="1">
        <f t="array" ref="M941">IFERROR(_xlfn.XLOOKUP(C941&amp;A941, RYOE!A:A&amp;RYOE!F:F, RYOE!D:D), "N/A")</f>
        <v>-0.12</v>
      </c>
      <c r="N941" cm="1">
        <f t="array" ref="N941">IFERROR(_xlfn.XLOOKUP(C941&amp;A941, RYOE!A:A&amp;RYOE!F:F, RYOE!E:E), "N/A")</f>
        <v>30.6</v>
      </c>
    </row>
    <row r="942" spans="1:14" ht="15" customHeight="1" x14ac:dyDescent="0.45">
      <c r="A942" s="7">
        <v>2020</v>
      </c>
      <c r="B942" s="5" t="s">
        <v>568</v>
      </c>
      <c r="C942" s="1" t="str">
        <f t="shared" si="28"/>
        <v>Carlos Hyde</v>
      </c>
      <c r="D942" s="1" t="str">
        <f t="shared" si="29"/>
        <v>SEA</v>
      </c>
      <c r="E942" s="1">
        <v>81</v>
      </c>
      <c r="F942" s="1">
        <v>356</v>
      </c>
      <c r="G942" s="1">
        <v>4.4000000000000004</v>
      </c>
      <c r="H942" s="1">
        <v>4</v>
      </c>
      <c r="I942">
        <v>0</v>
      </c>
      <c r="J942">
        <v>10</v>
      </c>
      <c r="K942" cm="1">
        <f t="array" ref="K942">IFERROR(_xlfn.XLOOKUP(D942&amp;A942, RBWR!A:A&amp;RBWR!C:C, RBWR!B:B), "N/A")</f>
        <v>70</v>
      </c>
      <c r="L942" t="str" cm="1">
        <f t="array" ref="L942">IFERROR(_xlfn.XLOOKUP(C942&amp;A942, RYOE!A:A&amp;RYOE!F:F, RYOE!C:C), "N/A")</f>
        <v>N/A</v>
      </c>
      <c r="M942" t="str" cm="1">
        <f t="array" ref="M942">IFERROR(_xlfn.XLOOKUP(C942&amp;A942, RYOE!A:A&amp;RYOE!F:F, RYOE!D:D), "N/A")</f>
        <v>N/A</v>
      </c>
      <c r="N942" t="str" cm="1">
        <f t="array" ref="N942">IFERROR(_xlfn.XLOOKUP(C942&amp;A942, RYOE!A:A&amp;RYOE!F:F, RYOE!E:E), "N/A")</f>
        <v>N/A</v>
      </c>
    </row>
    <row r="943" spans="1:14" ht="15" customHeight="1" x14ac:dyDescent="0.45">
      <c r="A943" s="8">
        <v>2020</v>
      </c>
      <c r="B943" s="6" t="s">
        <v>569</v>
      </c>
      <c r="C943" s="2" t="str">
        <f t="shared" si="28"/>
        <v>Devontae Booker</v>
      </c>
      <c r="D943" s="2" t="str">
        <f t="shared" si="29"/>
        <v>LV</v>
      </c>
      <c r="E943" s="2">
        <v>93</v>
      </c>
      <c r="F943" s="2">
        <v>423</v>
      </c>
      <c r="G943" s="2">
        <v>4.5</v>
      </c>
      <c r="H943" s="2">
        <v>3</v>
      </c>
      <c r="I943">
        <v>0</v>
      </c>
      <c r="J943">
        <v>16</v>
      </c>
      <c r="K943" cm="1">
        <f t="array" ref="K943">IFERROR(_xlfn.XLOOKUP(D943&amp;A943, RBWR!A:A&amp;RBWR!C:C, RBWR!B:B), "N/A")</f>
        <v>69</v>
      </c>
      <c r="L943" cm="1">
        <f t="array" ref="L943">IFERROR(_xlfn.XLOOKUP(C943&amp;A943, RYOE!A:A&amp;RYOE!F:F, RYOE!C:C), "N/A")</f>
        <v>46</v>
      </c>
      <c r="M943" cm="1">
        <f t="array" ref="M943">IFERROR(_xlfn.XLOOKUP(C943&amp;A943, RYOE!A:A&amp;RYOE!F:F, RYOE!D:D), "N/A")</f>
        <v>0.5</v>
      </c>
      <c r="N943" cm="1">
        <f t="array" ref="N943">IFERROR(_xlfn.XLOOKUP(C943&amp;A943, RYOE!A:A&amp;RYOE!F:F, RYOE!E:E), "N/A")</f>
        <v>34.4</v>
      </c>
    </row>
    <row r="944" spans="1:14" ht="15" customHeight="1" x14ac:dyDescent="0.45">
      <c r="A944" s="7">
        <v>2020</v>
      </c>
      <c r="B944" s="5" t="s">
        <v>570</v>
      </c>
      <c r="C944" s="1" t="str">
        <f t="shared" si="28"/>
        <v>Sony Michel</v>
      </c>
      <c r="D944" s="1" t="str">
        <f t="shared" si="29"/>
        <v>NE</v>
      </c>
      <c r="E944" s="1">
        <v>79</v>
      </c>
      <c r="F944" s="1">
        <v>449</v>
      </c>
      <c r="G944" s="1">
        <v>5.7</v>
      </c>
      <c r="H944" s="1">
        <v>1</v>
      </c>
      <c r="I944">
        <v>0</v>
      </c>
      <c r="J944">
        <v>9</v>
      </c>
      <c r="K944" cm="1">
        <f t="array" ref="K944">IFERROR(_xlfn.XLOOKUP(D944&amp;A944, RBWR!A:A&amp;RBWR!C:C, RBWR!B:B), "N/A")</f>
        <v>72</v>
      </c>
      <c r="L944" t="str" cm="1">
        <f t="array" ref="L944">IFERROR(_xlfn.XLOOKUP(C944&amp;A944, RYOE!A:A&amp;RYOE!F:F, RYOE!C:C), "N/A")</f>
        <v>N/A</v>
      </c>
      <c r="M944" t="str" cm="1">
        <f t="array" ref="M944">IFERROR(_xlfn.XLOOKUP(C944&amp;A944, RYOE!A:A&amp;RYOE!F:F, RYOE!D:D), "N/A")</f>
        <v>N/A</v>
      </c>
      <c r="N944" t="str" cm="1">
        <f t="array" ref="N944">IFERROR(_xlfn.XLOOKUP(C944&amp;A944, RYOE!A:A&amp;RYOE!F:F, RYOE!E:E), "N/A")</f>
        <v>N/A</v>
      </c>
    </row>
    <row r="945" spans="1:14" ht="15" customHeight="1" x14ac:dyDescent="0.45">
      <c r="A945" s="8">
        <v>2020</v>
      </c>
      <c r="B945" s="6" t="s">
        <v>494</v>
      </c>
      <c r="C945" s="2" t="str">
        <f t="shared" si="28"/>
        <v>James White</v>
      </c>
      <c r="D945" s="2" t="str">
        <f t="shared" si="29"/>
        <v>NE</v>
      </c>
      <c r="E945" s="2">
        <v>35</v>
      </c>
      <c r="F945" s="2">
        <v>121</v>
      </c>
      <c r="G945" s="2">
        <v>3.5</v>
      </c>
      <c r="H945" s="2">
        <v>2</v>
      </c>
      <c r="I945">
        <v>0</v>
      </c>
      <c r="J945">
        <v>14</v>
      </c>
      <c r="K945" cm="1">
        <f t="array" ref="K945">IFERROR(_xlfn.XLOOKUP(D945&amp;A945, RBWR!A:A&amp;RBWR!C:C, RBWR!B:B), "N/A")</f>
        <v>72</v>
      </c>
      <c r="L945" t="str" cm="1">
        <f t="array" ref="L945">IFERROR(_xlfn.XLOOKUP(C945&amp;A945, RYOE!A:A&amp;RYOE!F:F, RYOE!C:C), "N/A")</f>
        <v>N/A</v>
      </c>
      <c r="M945" t="str" cm="1">
        <f t="array" ref="M945">IFERROR(_xlfn.XLOOKUP(C945&amp;A945, RYOE!A:A&amp;RYOE!F:F, RYOE!D:D), "N/A")</f>
        <v>N/A</v>
      </c>
      <c r="N945" t="str" cm="1">
        <f t="array" ref="N945">IFERROR(_xlfn.XLOOKUP(C945&amp;A945, RYOE!A:A&amp;RYOE!F:F, RYOE!E:E), "N/A")</f>
        <v>N/A</v>
      </c>
    </row>
    <row r="946" spans="1:14" ht="15" customHeight="1" x14ac:dyDescent="0.45">
      <c r="A946" s="7">
        <v>2020</v>
      </c>
      <c r="B946" s="5" t="s">
        <v>571</v>
      </c>
      <c r="C946" s="1" t="str">
        <f t="shared" si="28"/>
        <v>Kalen Ballage</v>
      </c>
      <c r="D946" s="1" t="str">
        <f t="shared" si="29"/>
        <v>LAC</v>
      </c>
      <c r="E946" s="1">
        <v>91</v>
      </c>
      <c r="F946" s="1">
        <v>303</v>
      </c>
      <c r="G946" s="1">
        <v>3.3</v>
      </c>
      <c r="H946" s="1">
        <v>3</v>
      </c>
      <c r="I946">
        <v>0</v>
      </c>
      <c r="J946">
        <v>11</v>
      </c>
      <c r="K946" cm="1">
        <f t="array" ref="K946">IFERROR(_xlfn.XLOOKUP(D946&amp;A946, RBWR!A:A&amp;RBWR!C:C, RBWR!B:B), "N/A")</f>
        <v>67</v>
      </c>
      <c r="L946" cm="1">
        <f t="array" ref="L946">IFERROR(_xlfn.XLOOKUP(C946&amp;A946, RYOE!A:A&amp;RYOE!F:F, RYOE!C:C), "N/A")</f>
        <v>-51</v>
      </c>
      <c r="M946" cm="1">
        <f t="array" ref="M946">IFERROR(_xlfn.XLOOKUP(C946&amp;A946, RYOE!A:A&amp;RYOE!F:F, RYOE!D:D), "N/A")</f>
        <v>-0.56999999999999995</v>
      </c>
      <c r="N946" cm="1">
        <f t="array" ref="N946">IFERROR(_xlfn.XLOOKUP(C946&amp;A946, RYOE!A:A&amp;RYOE!F:F, RYOE!E:E), "N/A")</f>
        <v>40.4</v>
      </c>
    </row>
    <row r="947" spans="1:14" ht="15" customHeight="1" x14ac:dyDescent="0.45">
      <c r="A947" s="8">
        <v>2020</v>
      </c>
      <c r="B947" s="6" t="s">
        <v>405</v>
      </c>
      <c r="C947" s="2" t="str">
        <f t="shared" si="28"/>
        <v>Benny Snell Jr.</v>
      </c>
      <c r="D947" s="2" t="str">
        <f t="shared" si="29"/>
        <v>PIT</v>
      </c>
      <c r="E947" s="2">
        <v>111</v>
      </c>
      <c r="F947" s="2">
        <v>368</v>
      </c>
      <c r="G947" s="2">
        <v>3.3</v>
      </c>
      <c r="H947" s="2">
        <v>4</v>
      </c>
      <c r="I947">
        <v>1</v>
      </c>
      <c r="J947">
        <v>16</v>
      </c>
      <c r="K947" cm="1">
        <f t="array" ref="K947">IFERROR(_xlfn.XLOOKUP(D947&amp;A947, RBWR!A:A&amp;RBWR!C:C, RBWR!B:B), "N/A")</f>
        <v>69</v>
      </c>
      <c r="L947" cm="1">
        <f t="array" ref="L947">IFERROR(_xlfn.XLOOKUP(C947&amp;A947, RYOE!A:A&amp;RYOE!F:F, RYOE!C:C), "N/A")</f>
        <v>-43</v>
      </c>
      <c r="M947" cm="1">
        <f t="array" ref="M947">IFERROR(_xlfn.XLOOKUP(C947&amp;A947, RYOE!A:A&amp;RYOE!F:F, RYOE!D:D), "N/A")</f>
        <v>-0.39</v>
      </c>
      <c r="N947" cm="1">
        <f t="array" ref="N947">IFERROR(_xlfn.XLOOKUP(C947&amp;A947, RYOE!A:A&amp;RYOE!F:F, RYOE!E:E), "N/A")</f>
        <v>33.299999999999997</v>
      </c>
    </row>
    <row r="948" spans="1:14" ht="15" customHeight="1" x14ac:dyDescent="0.45">
      <c r="A948" s="7">
        <v>2020</v>
      </c>
      <c r="B948" s="5" t="s">
        <v>205</v>
      </c>
      <c r="C948" s="1" t="str">
        <f t="shared" si="28"/>
        <v>Kyle Juszczyk</v>
      </c>
      <c r="D948" s="1" t="str">
        <f t="shared" si="29"/>
        <v>SF</v>
      </c>
      <c r="E948" s="1">
        <v>17</v>
      </c>
      <c r="F948" s="1">
        <v>64</v>
      </c>
      <c r="G948" s="1">
        <v>3.8</v>
      </c>
      <c r="H948" s="1">
        <v>2</v>
      </c>
      <c r="I948">
        <v>0</v>
      </c>
      <c r="J948">
        <v>16</v>
      </c>
      <c r="K948" cm="1">
        <f t="array" ref="K948">IFERROR(_xlfn.XLOOKUP(D948&amp;A948, RBWR!A:A&amp;RBWR!C:C, RBWR!B:B), "N/A")</f>
        <v>69</v>
      </c>
      <c r="L948" t="str" cm="1">
        <f t="array" ref="L948">IFERROR(_xlfn.XLOOKUP(C948&amp;A948, RYOE!A:A&amp;RYOE!F:F, RYOE!C:C), "N/A")</f>
        <v>N/A</v>
      </c>
      <c r="M948" t="str" cm="1">
        <f t="array" ref="M948">IFERROR(_xlfn.XLOOKUP(C948&amp;A948, RYOE!A:A&amp;RYOE!F:F, RYOE!D:D), "N/A")</f>
        <v>N/A</v>
      </c>
      <c r="N948" t="str" cm="1">
        <f t="array" ref="N948">IFERROR(_xlfn.XLOOKUP(C948&amp;A948, RYOE!A:A&amp;RYOE!F:F, RYOE!E:E), "N/A")</f>
        <v>N/A</v>
      </c>
    </row>
    <row r="949" spans="1:14" ht="15" customHeight="1" x14ac:dyDescent="0.45">
      <c r="A949" s="8">
        <v>2020</v>
      </c>
      <c r="B949" s="6" t="s">
        <v>572</v>
      </c>
      <c r="C949" s="2" t="str">
        <f t="shared" si="28"/>
        <v>Phillip Lindsay</v>
      </c>
      <c r="D949" s="2" t="str">
        <f t="shared" si="29"/>
        <v>DEN</v>
      </c>
      <c r="E949" s="2">
        <v>118</v>
      </c>
      <c r="F949" s="2">
        <v>502</v>
      </c>
      <c r="G949" s="2">
        <v>4.3</v>
      </c>
      <c r="H949" s="2">
        <v>1</v>
      </c>
      <c r="I949">
        <v>0</v>
      </c>
      <c r="J949">
        <v>11</v>
      </c>
      <c r="K949" cm="1">
        <f t="array" ref="K949">IFERROR(_xlfn.XLOOKUP(D949&amp;A949, RBWR!A:A&amp;RBWR!C:C, RBWR!B:B), "N/A")</f>
        <v>70</v>
      </c>
      <c r="L949" cm="1">
        <f t="array" ref="L949">IFERROR(_xlfn.XLOOKUP(C949&amp;A949, RYOE!A:A&amp;RYOE!F:F, RYOE!C:C), "N/A")</f>
        <v>10</v>
      </c>
      <c r="M949" cm="1">
        <f t="array" ref="M949">IFERROR(_xlfn.XLOOKUP(C949&amp;A949, RYOE!A:A&amp;RYOE!F:F, RYOE!D:D), "N/A")</f>
        <v>0.09</v>
      </c>
      <c r="N949" cm="1">
        <f t="array" ref="N949">IFERROR(_xlfn.XLOOKUP(C949&amp;A949, RYOE!A:A&amp;RYOE!F:F, RYOE!E:E), "N/A")</f>
        <v>34.799999999999997</v>
      </c>
    </row>
    <row r="950" spans="1:14" ht="15" customHeight="1" x14ac:dyDescent="0.45">
      <c r="A950" s="7">
        <v>2020</v>
      </c>
      <c r="B950" s="5" t="s">
        <v>573</v>
      </c>
      <c r="C950" s="1" t="str">
        <f t="shared" si="28"/>
        <v>Le'Veon Bell</v>
      </c>
      <c r="D950" s="1" t="str">
        <f t="shared" si="29"/>
        <v>KC</v>
      </c>
      <c r="E950" s="1">
        <v>82</v>
      </c>
      <c r="F950" s="1">
        <v>328</v>
      </c>
      <c r="G950" s="1">
        <v>4</v>
      </c>
      <c r="H950" s="1">
        <v>2</v>
      </c>
      <c r="I950">
        <v>0</v>
      </c>
      <c r="J950">
        <v>11</v>
      </c>
      <c r="K950" cm="1">
        <f t="array" ref="K950">IFERROR(_xlfn.XLOOKUP(D950&amp;A950, RBWR!A:A&amp;RBWR!C:C, RBWR!B:B), "N/A")</f>
        <v>67</v>
      </c>
      <c r="L950" t="str" cm="1">
        <f t="array" ref="L950">IFERROR(_xlfn.XLOOKUP(C950&amp;A950, RYOE!A:A&amp;RYOE!F:F, RYOE!C:C), "N/A")</f>
        <v>N/A</v>
      </c>
      <c r="M950" t="str" cm="1">
        <f t="array" ref="M950">IFERROR(_xlfn.XLOOKUP(C950&amp;A950, RYOE!A:A&amp;RYOE!F:F, RYOE!D:D), "N/A")</f>
        <v>N/A</v>
      </c>
      <c r="N950" t="str" cm="1">
        <f t="array" ref="N950">IFERROR(_xlfn.XLOOKUP(C950&amp;A950, RYOE!A:A&amp;RYOE!F:F, RYOE!E:E), "N/A")</f>
        <v>N/A</v>
      </c>
    </row>
    <row r="951" spans="1:14" ht="15" customHeight="1" x14ac:dyDescent="0.45">
      <c r="A951" s="8">
        <v>2020</v>
      </c>
      <c r="B951" s="6" t="s">
        <v>302</v>
      </c>
      <c r="C951" s="2" t="str">
        <f t="shared" si="28"/>
        <v>Joshua Kelley</v>
      </c>
      <c r="D951" s="2" t="str">
        <f t="shared" si="29"/>
        <v>LAC</v>
      </c>
      <c r="E951" s="2">
        <v>111</v>
      </c>
      <c r="F951" s="2">
        <v>354</v>
      </c>
      <c r="G951" s="2">
        <v>3.2</v>
      </c>
      <c r="H951" s="2">
        <v>2</v>
      </c>
      <c r="I951">
        <v>2</v>
      </c>
      <c r="J951">
        <v>14</v>
      </c>
      <c r="K951" cm="1">
        <f t="array" ref="K951">IFERROR(_xlfn.XLOOKUP(D951&amp;A951, RBWR!A:A&amp;RBWR!C:C, RBWR!B:B), "N/A")</f>
        <v>67</v>
      </c>
      <c r="L951" cm="1">
        <f t="array" ref="L951">IFERROR(_xlfn.XLOOKUP(C951&amp;A951, RYOE!A:A&amp;RYOE!F:F, RYOE!C:C), "N/A")</f>
        <v>-80</v>
      </c>
      <c r="M951" cm="1">
        <f t="array" ref="M951">IFERROR(_xlfn.XLOOKUP(C951&amp;A951, RYOE!A:A&amp;RYOE!F:F, RYOE!D:D), "N/A")</f>
        <v>-0.76</v>
      </c>
      <c r="N951" cm="1">
        <f t="array" ref="N951">IFERROR(_xlfn.XLOOKUP(C951&amp;A951, RYOE!A:A&amp;RYOE!F:F, RYOE!E:E), "N/A")</f>
        <v>26.7</v>
      </c>
    </row>
    <row r="952" spans="1:14" ht="15" customHeight="1" x14ac:dyDescent="0.45">
      <c r="A952" s="7">
        <v>2020</v>
      </c>
      <c r="B952" s="5" t="s">
        <v>308</v>
      </c>
      <c r="C952" s="1" t="str">
        <f t="shared" si="28"/>
        <v>Salvon Ahmed</v>
      </c>
      <c r="D952" s="1" t="str">
        <f t="shared" si="29"/>
        <v>MIA</v>
      </c>
      <c r="E952" s="1">
        <v>75</v>
      </c>
      <c r="F952" s="1">
        <v>319</v>
      </c>
      <c r="G952" s="1">
        <v>4.3</v>
      </c>
      <c r="H952" s="1">
        <v>3</v>
      </c>
      <c r="I952">
        <v>0</v>
      </c>
      <c r="J952">
        <v>6</v>
      </c>
      <c r="K952" cm="1">
        <f t="array" ref="K952">IFERROR(_xlfn.XLOOKUP(D952&amp;A952, RBWR!A:A&amp;RBWR!C:C, RBWR!B:B), "N/A")</f>
        <v>69</v>
      </c>
      <c r="L952" t="str" cm="1">
        <f t="array" ref="L952">IFERROR(_xlfn.XLOOKUP(C952&amp;A952, RYOE!A:A&amp;RYOE!F:F, RYOE!C:C), "N/A")</f>
        <v>N/A</v>
      </c>
      <c r="M952" t="str" cm="1">
        <f t="array" ref="M952">IFERROR(_xlfn.XLOOKUP(C952&amp;A952, RYOE!A:A&amp;RYOE!F:F, RYOE!D:D), "N/A")</f>
        <v>N/A</v>
      </c>
      <c r="N952" t="str" cm="1">
        <f t="array" ref="N952">IFERROR(_xlfn.XLOOKUP(C952&amp;A952, RYOE!A:A&amp;RYOE!F:F, RYOE!E:E), "N/A")</f>
        <v>N/A</v>
      </c>
    </row>
    <row r="953" spans="1:14" ht="15" customHeight="1" x14ac:dyDescent="0.45">
      <c r="A953" s="8">
        <v>2020</v>
      </c>
      <c r="B953" s="6" t="s">
        <v>574</v>
      </c>
      <c r="C953" s="2" t="str">
        <f t="shared" si="28"/>
        <v>Duke Johnson Jr.</v>
      </c>
      <c r="D953" s="2" t="str">
        <f t="shared" si="29"/>
        <v>HOU</v>
      </c>
      <c r="E953" s="2">
        <v>77</v>
      </c>
      <c r="F953" s="2">
        <v>235</v>
      </c>
      <c r="G953" s="2">
        <v>3.1</v>
      </c>
      <c r="H953" s="2">
        <v>1</v>
      </c>
      <c r="I953">
        <v>2</v>
      </c>
      <c r="J953">
        <v>11</v>
      </c>
      <c r="K953" cm="1">
        <f t="array" ref="K953">IFERROR(_xlfn.XLOOKUP(D953&amp;A953, RBWR!A:A&amp;RBWR!C:C, RBWR!B:B), "N/A")</f>
        <v>73</v>
      </c>
      <c r="L953" t="str" cm="1">
        <f t="array" ref="L953">IFERROR(_xlfn.XLOOKUP(C953&amp;A953, RYOE!A:A&amp;RYOE!F:F, RYOE!C:C), "N/A")</f>
        <v>N/A</v>
      </c>
      <c r="M953" t="str" cm="1">
        <f t="array" ref="M953">IFERROR(_xlfn.XLOOKUP(C953&amp;A953, RYOE!A:A&amp;RYOE!F:F, RYOE!D:D), "N/A")</f>
        <v>N/A</v>
      </c>
      <c r="N953" t="str" cm="1">
        <f t="array" ref="N953">IFERROR(_xlfn.XLOOKUP(C953&amp;A953, RYOE!A:A&amp;RYOE!F:F, RYOE!E:E), "N/A")</f>
        <v>N/A</v>
      </c>
    </row>
    <row r="954" spans="1:14" ht="15" customHeight="1" x14ac:dyDescent="0.45">
      <c r="A954" s="7">
        <v>2020</v>
      </c>
      <c r="B954" s="5" t="s">
        <v>83</v>
      </c>
      <c r="C954" s="1" t="str">
        <f t="shared" si="28"/>
        <v>Samaje Perine</v>
      </c>
      <c r="D954" s="1" t="str">
        <f t="shared" si="29"/>
        <v>CIN</v>
      </c>
      <c r="E954" s="1">
        <v>63</v>
      </c>
      <c r="F954" s="1">
        <v>301</v>
      </c>
      <c r="G954" s="1">
        <v>4.8</v>
      </c>
      <c r="H954" s="1">
        <v>3</v>
      </c>
      <c r="I954">
        <v>0</v>
      </c>
      <c r="J954">
        <v>16</v>
      </c>
      <c r="K954" cm="1">
        <f t="array" ref="K954">IFERROR(_xlfn.XLOOKUP(D954&amp;A954, RBWR!A:A&amp;RBWR!C:C, RBWR!B:B), "N/A")</f>
        <v>71</v>
      </c>
      <c r="L954" t="str" cm="1">
        <f t="array" ref="L954">IFERROR(_xlfn.XLOOKUP(C954&amp;A954, RYOE!A:A&amp;RYOE!F:F, RYOE!C:C), "N/A")</f>
        <v>N/A</v>
      </c>
      <c r="M954" t="str" cm="1">
        <f t="array" ref="M954">IFERROR(_xlfn.XLOOKUP(C954&amp;A954, RYOE!A:A&amp;RYOE!F:F, RYOE!D:D), "N/A")</f>
        <v>N/A</v>
      </c>
      <c r="N954" t="str" cm="1">
        <f t="array" ref="N954">IFERROR(_xlfn.XLOOKUP(C954&amp;A954, RYOE!A:A&amp;RYOE!F:F, RYOE!E:E), "N/A")</f>
        <v>N/A</v>
      </c>
    </row>
    <row r="955" spans="1:14" ht="15" customHeight="1" x14ac:dyDescent="0.45">
      <c r="A955" s="8">
        <v>2020</v>
      </c>
      <c r="B955" s="6" t="s">
        <v>575</v>
      </c>
      <c r="C955" s="2" t="str">
        <f t="shared" si="28"/>
        <v>Kerryon Johnson</v>
      </c>
      <c r="D955" s="2" t="str">
        <f t="shared" si="29"/>
        <v>DET</v>
      </c>
      <c r="E955" s="2">
        <v>52</v>
      </c>
      <c r="F955" s="2">
        <v>181</v>
      </c>
      <c r="G955" s="2">
        <v>3.5</v>
      </c>
      <c r="H955" s="2">
        <v>2</v>
      </c>
      <c r="I955">
        <v>1</v>
      </c>
      <c r="J955">
        <v>16</v>
      </c>
      <c r="K955" cm="1">
        <f t="array" ref="K955">IFERROR(_xlfn.XLOOKUP(D955&amp;A955, RBWR!A:A&amp;RBWR!C:C, RBWR!B:B), "N/A")</f>
        <v>70</v>
      </c>
      <c r="L955" t="str" cm="1">
        <f t="array" ref="L955">IFERROR(_xlfn.XLOOKUP(C955&amp;A955, RYOE!A:A&amp;RYOE!F:F, RYOE!C:C), "N/A")</f>
        <v>N/A</v>
      </c>
      <c r="M955" t="str" cm="1">
        <f t="array" ref="M955">IFERROR(_xlfn.XLOOKUP(C955&amp;A955, RYOE!A:A&amp;RYOE!F:F, RYOE!D:D), "N/A")</f>
        <v>N/A</v>
      </c>
      <c r="N955" t="str" cm="1">
        <f t="array" ref="N955">IFERROR(_xlfn.XLOOKUP(C955&amp;A955, RYOE!A:A&amp;RYOE!F:F, RYOE!E:E), "N/A")</f>
        <v>N/A</v>
      </c>
    </row>
    <row r="956" spans="1:14" ht="15" customHeight="1" x14ac:dyDescent="0.45">
      <c r="A956" s="7">
        <v>2020</v>
      </c>
      <c r="B956" s="5" t="s">
        <v>576</v>
      </c>
      <c r="C956" s="1" t="str">
        <f t="shared" si="28"/>
        <v>Peyton Barber</v>
      </c>
      <c r="D956" s="1" t="str">
        <f t="shared" si="29"/>
        <v>WAS</v>
      </c>
      <c r="E956" s="1">
        <v>94</v>
      </c>
      <c r="F956" s="1">
        <v>258</v>
      </c>
      <c r="G956" s="1">
        <v>2.7</v>
      </c>
      <c r="H956" s="1">
        <v>4</v>
      </c>
      <c r="I956">
        <v>0</v>
      </c>
      <c r="J956">
        <v>16</v>
      </c>
      <c r="K956" cm="1">
        <f t="array" ref="K956">IFERROR(_xlfn.XLOOKUP(D956&amp;A956, RBWR!A:A&amp;RBWR!C:C, RBWR!B:B), "N/A")</f>
        <v>73</v>
      </c>
      <c r="L956" cm="1">
        <f t="array" ref="L956">IFERROR(_xlfn.XLOOKUP(C956&amp;A956, RYOE!A:A&amp;RYOE!F:F, RYOE!C:C), "N/A")</f>
        <v>-75</v>
      </c>
      <c r="M956" cm="1">
        <f t="array" ref="M956">IFERROR(_xlfn.XLOOKUP(C956&amp;A956, RYOE!A:A&amp;RYOE!F:F, RYOE!D:D), "N/A")</f>
        <v>-0.79</v>
      </c>
      <c r="N956" cm="1">
        <f t="array" ref="N956">IFERROR(_xlfn.XLOOKUP(C956&amp;A956, RYOE!A:A&amp;RYOE!F:F, RYOE!E:E), "N/A")</f>
        <v>35.1</v>
      </c>
    </row>
    <row r="957" spans="1:14" ht="15" customHeight="1" x14ac:dyDescent="0.45">
      <c r="A957" s="8">
        <v>2020</v>
      </c>
      <c r="B957" s="6" t="s">
        <v>414</v>
      </c>
      <c r="C957" s="2" t="str">
        <f t="shared" si="28"/>
        <v>Jordan Wilkins</v>
      </c>
      <c r="D957" s="2" t="str">
        <f t="shared" si="29"/>
        <v>IND</v>
      </c>
      <c r="E957" s="2">
        <v>84</v>
      </c>
      <c r="F957" s="2">
        <v>308</v>
      </c>
      <c r="G957" s="2">
        <v>3.7</v>
      </c>
      <c r="H957" s="2">
        <v>1</v>
      </c>
      <c r="I957">
        <v>0</v>
      </c>
      <c r="J957">
        <v>15</v>
      </c>
      <c r="K957" cm="1">
        <f t="array" ref="K957">IFERROR(_xlfn.XLOOKUP(D957&amp;A957, RBWR!A:A&amp;RBWR!C:C, RBWR!B:B), "N/A")</f>
        <v>72</v>
      </c>
      <c r="L957" t="str" cm="1">
        <f t="array" ref="L957">IFERROR(_xlfn.XLOOKUP(C957&amp;A957, RYOE!A:A&amp;RYOE!F:F, RYOE!C:C), "N/A")</f>
        <v>N/A</v>
      </c>
      <c r="M957" t="str" cm="1">
        <f t="array" ref="M957">IFERROR(_xlfn.XLOOKUP(C957&amp;A957, RYOE!A:A&amp;RYOE!F:F, RYOE!D:D), "N/A")</f>
        <v>N/A</v>
      </c>
      <c r="N957" t="str" cm="1">
        <f t="array" ref="N957">IFERROR(_xlfn.XLOOKUP(C957&amp;A957, RYOE!A:A&amp;RYOE!F:F, RYOE!E:E), "N/A")</f>
        <v>N/A</v>
      </c>
    </row>
    <row r="958" spans="1:14" ht="15" customHeight="1" x14ac:dyDescent="0.45">
      <c r="A958" s="7">
        <v>2020</v>
      </c>
      <c r="B958" s="5" t="s">
        <v>396</v>
      </c>
      <c r="C958" s="1" t="str">
        <f t="shared" si="28"/>
        <v>Ty Johnson</v>
      </c>
      <c r="D958" s="1" t="str">
        <f t="shared" si="29"/>
        <v>NYJ</v>
      </c>
      <c r="E958" s="1">
        <v>54</v>
      </c>
      <c r="F958" s="1">
        <v>254</v>
      </c>
      <c r="G958" s="1">
        <v>4.7</v>
      </c>
      <c r="H958" s="1">
        <v>1</v>
      </c>
      <c r="I958">
        <v>0</v>
      </c>
      <c r="J958">
        <v>13</v>
      </c>
      <c r="K958" cm="1">
        <f t="array" ref="K958">IFERROR(_xlfn.XLOOKUP(D958&amp;A958, RBWR!A:A&amp;RBWR!C:C, RBWR!B:B), "N/A")</f>
        <v>67</v>
      </c>
      <c r="L958" t="str" cm="1">
        <f t="array" ref="L958">IFERROR(_xlfn.XLOOKUP(C958&amp;A958, RYOE!A:A&amp;RYOE!F:F, RYOE!C:C), "N/A")</f>
        <v>N/A</v>
      </c>
      <c r="M958" t="str" cm="1">
        <f t="array" ref="M958">IFERROR(_xlfn.XLOOKUP(C958&amp;A958, RYOE!A:A&amp;RYOE!F:F, RYOE!D:D), "N/A")</f>
        <v>N/A</v>
      </c>
      <c r="N958" t="str" cm="1">
        <f t="array" ref="N958">IFERROR(_xlfn.XLOOKUP(C958&amp;A958, RYOE!A:A&amp;RYOE!F:F, RYOE!E:E), "N/A")</f>
        <v>N/A</v>
      </c>
    </row>
    <row r="959" spans="1:14" ht="15" customHeight="1" x14ac:dyDescent="0.45">
      <c r="A959" s="8">
        <v>2020</v>
      </c>
      <c r="B959" s="6" t="s">
        <v>577</v>
      </c>
      <c r="C959" s="2" t="str">
        <f t="shared" si="28"/>
        <v>Mark Ingram II</v>
      </c>
      <c r="D959" s="2" t="str">
        <f t="shared" si="29"/>
        <v>BAL</v>
      </c>
      <c r="E959" s="2">
        <v>72</v>
      </c>
      <c r="F959" s="2">
        <v>299</v>
      </c>
      <c r="G959" s="2">
        <v>4.2</v>
      </c>
      <c r="H959" s="2">
        <v>2</v>
      </c>
      <c r="I959">
        <v>0</v>
      </c>
      <c r="J959">
        <v>11</v>
      </c>
      <c r="K959" cm="1">
        <f t="array" ref="K959">IFERROR(_xlfn.XLOOKUP(D959&amp;A959, RBWR!A:A&amp;RBWR!C:C, RBWR!B:B), "N/A")</f>
        <v>73</v>
      </c>
      <c r="L959" t="str" cm="1">
        <f t="array" ref="L959">IFERROR(_xlfn.XLOOKUP(C959&amp;A959, RYOE!A:A&amp;RYOE!F:F, RYOE!C:C), "N/A")</f>
        <v>N/A</v>
      </c>
      <c r="M959" t="str" cm="1">
        <f t="array" ref="M959">IFERROR(_xlfn.XLOOKUP(C959&amp;A959, RYOE!A:A&amp;RYOE!F:F, RYOE!D:D), "N/A")</f>
        <v>N/A</v>
      </c>
      <c r="N959" t="str" cm="1">
        <f t="array" ref="N959">IFERROR(_xlfn.XLOOKUP(C959&amp;A959, RYOE!A:A&amp;RYOE!F:F, RYOE!E:E), "N/A")</f>
        <v>N/A</v>
      </c>
    </row>
    <row r="960" spans="1:14" ht="15" customHeight="1" x14ac:dyDescent="0.45">
      <c r="A960" s="7">
        <v>2020</v>
      </c>
      <c r="B960" s="5" t="s">
        <v>467</v>
      </c>
      <c r="C960" s="1" t="str">
        <f t="shared" si="28"/>
        <v>Justin Jackson</v>
      </c>
      <c r="D960" s="1" t="str">
        <f t="shared" si="29"/>
        <v>LAC</v>
      </c>
      <c r="E960" s="1">
        <v>59</v>
      </c>
      <c r="F960" s="1">
        <v>270</v>
      </c>
      <c r="G960" s="1">
        <v>4.5999999999999996</v>
      </c>
      <c r="H960" s="1">
        <v>0</v>
      </c>
      <c r="I960">
        <v>0</v>
      </c>
      <c r="J960">
        <v>9</v>
      </c>
      <c r="K960" cm="1">
        <f t="array" ref="K960">IFERROR(_xlfn.XLOOKUP(D960&amp;A960, RBWR!A:A&amp;RBWR!C:C, RBWR!B:B), "N/A")</f>
        <v>67</v>
      </c>
      <c r="L960" t="str" cm="1">
        <f t="array" ref="L960">IFERROR(_xlfn.XLOOKUP(C960&amp;A960, RYOE!A:A&amp;RYOE!F:F, RYOE!C:C), "N/A")</f>
        <v>N/A</v>
      </c>
      <c r="M960" t="str" cm="1">
        <f t="array" ref="M960">IFERROR(_xlfn.XLOOKUP(C960&amp;A960, RYOE!A:A&amp;RYOE!F:F, RYOE!D:D), "N/A")</f>
        <v>N/A</v>
      </c>
      <c r="N960" t="str" cm="1">
        <f t="array" ref="N960">IFERROR(_xlfn.XLOOKUP(C960&amp;A960, RYOE!A:A&amp;RYOE!F:F, RYOE!E:E), "N/A")</f>
        <v>N/A</v>
      </c>
    </row>
    <row r="961" spans="1:14" ht="15" customHeight="1" x14ac:dyDescent="0.45">
      <c r="A961" s="8">
        <v>2020</v>
      </c>
      <c r="B961" s="6" t="s">
        <v>514</v>
      </c>
      <c r="C961" s="2" t="str">
        <f t="shared" si="28"/>
        <v>La'Mical Perine</v>
      </c>
      <c r="D961" s="2" t="str">
        <f t="shared" si="29"/>
        <v>NYJ</v>
      </c>
      <c r="E961" s="2">
        <v>64</v>
      </c>
      <c r="F961" s="2">
        <v>232</v>
      </c>
      <c r="G961" s="2">
        <v>3.6</v>
      </c>
      <c r="H961" s="2">
        <v>2</v>
      </c>
      <c r="I961">
        <v>0</v>
      </c>
      <c r="J961">
        <v>10</v>
      </c>
      <c r="K961" cm="1">
        <f t="array" ref="K961">IFERROR(_xlfn.XLOOKUP(D961&amp;A961, RBWR!A:A&amp;RBWR!C:C, RBWR!B:B), "N/A")</f>
        <v>67</v>
      </c>
      <c r="L961" t="str" cm="1">
        <f t="array" ref="L961">IFERROR(_xlfn.XLOOKUP(C961&amp;A961, RYOE!A:A&amp;RYOE!F:F, RYOE!C:C), "N/A")</f>
        <v>N/A</v>
      </c>
      <c r="M961" t="str" cm="1">
        <f t="array" ref="M961">IFERROR(_xlfn.XLOOKUP(C961&amp;A961, RYOE!A:A&amp;RYOE!F:F, RYOE!D:D), "N/A")</f>
        <v>N/A</v>
      </c>
      <c r="N961" t="str" cm="1">
        <f t="array" ref="N961">IFERROR(_xlfn.XLOOKUP(C961&amp;A961, RYOE!A:A&amp;RYOE!F:F, RYOE!E:E), "N/A")</f>
        <v>N/A</v>
      </c>
    </row>
    <row r="962" spans="1:14" ht="15" customHeight="1" x14ac:dyDescent="0.45">
      <c r="A962" s="7">
        <v>2020</v>
      </c>
      <c r="B962" s="5" t="s">
        <v>578</v>
      </c>
      <c r="C962" s="1" t="str">
        <f t="shared" ref="C962:C1025" si="30">TRIM(LEFT(B962, LEN(B962) - LEN(TRIM(RIGHT(SUBSTITUTE(TRIM(B962)," ",REPT(" ",100)),100)))))</f>
        <v>Ito Smith</v>
      </c>
      <c r="D962" s="1" t="str">
        <f t="shared" ref="D962:D1025" si="31">MID(B962, FIND("(", B962) + 1, FIND(")", B962) - FIND("(", B962) - 1)</f>
        <v>ATL</v>
      </c>
      <c r="E962" s="1">
        <v>63</v>
      </c>
      <c r="F962" s="1">
        <v>268</v>
      </c>
      <c r="G962" s="1">
        <v>4.3</v>
      </c>
      <c r="H962" s="1">
        <v>1</v>
      </c>
      <c r="I962">
        <v>0</v>
      </c>
      <c r="J962">
        <v>14</v>
      </c>
      <c r="K962" cm="1">
        <f t="array" ref="K962">IFERROR(_xlfn.XLOOKUP(D962&amp;A962, RBWR!A:A&amp;RBWR!C:C, RBWR!B:B), "N/A")</f>
        <v>69</v>
      </c>
      <c r="L962" t="str" cm="1">
        <f t="array" ref="L962">IFERROR(_xlfn.XLOOKUP(C962&amp;A962, RYOE!A:A&amp;RYOE!F:F, RYOE!C:C), "N/A")</f>
        <v>N/A</v>
      </c>
      <c r="M962" t="str" cm="1">
        <f t="array" ref="M962">IFERROR(_xlfn.XLOOKUP(C962&amp;A962, RYOE!A:A&amp;RYOE!F:F, RYOE!D:D), "N/A")</f>
        <v>N/A</v>
      </c>
      <c r="N962" t="str" cm="1">
        <f t="array" ref="N962">IFERROR(_xlfn.XLOOKUP(C962&amp;A962, RYOE!A:A&amp;RYOE!F:F, RYOE!E:E), "N/A")</f>
        <v>N/A</v>
      </c>
    </row>
    <row r="963" spans="1:14" ht="15" customHeight="1" x14ac:dyDescent="0.45">
      <c r="A963" s="8">
        <v>2020</v>
      </c>
      <c r="B963" s="6" t="s">
        <v>334</v>
      </c>
      <c r="C963" s="2" t="str">
        <f t="shared" si="30"/>
        <v>DeeJay Dallas</v>
      </c>
      <c r="D963" s="2" t="str">
        <f t="shared" si="31"/>
        <v>SEA</v>
      </c>
      <c r="E963" s="2">
        <v>34</v>
      </c>
      <c r="F963" s="2">
        <v>108</v>
      </c>
      <c r="G963" s="2">
        <v>3.2</v>
      </c>
      <c r="H963" s="2">
        <v>2</v>
      </c>
      <c r="I963">
        <v>0</v>
      </c>
      <c r="J963">
        <v>12</v>
      </c>
      <c r="K963" cm="1">
        <f t="array" ref="K963">IFERROR(_xlfn.XLOOKUP(D963&amp;A963, RBWR!A:A&amp;RBWR!C:C, RBWR!B:B), "N/A")</f>
        <v>70</v>
      </c>
      <c r="L963" t="str" cm="1">
        <f t="array" ref="L963">IFERROR(_xlfn.XLOOKUP(C963&amp;A963, RYOE!A:A&amp;RYOE!F:F, RYOE!C:C), "N/A")</f>
        <v>N/A</v>
      </c>
      <c r="M963" t="str" cm="1">
        <f t="array" ref="M963">IFERROR(_xlfn.XLOOKUP(C963&amp;A963, RYOE!A:A&amp;RYOE!F:F, RYOE!D:D), "N/A")</f>
        <v>N/A</v>
      </c>
      <c r="N963" t="str" cm="1">
        <f t="array" ref="N963">IFERROR(_xlfn.XLOOKUP(C963&amp;A963, RYOE!A:A&amp;RYOE!F:F, RYOE!E:E), "N/A")</f>
        <v>N/A</v>
      </c>
    </row>
    <row r="964" spans="1:14" ht="15" customHeight="1" x14ac:dyDescent="0.45">
      <c r="A964" s="7">
        <v>2020</v>
      </c>
      <c r="B964" s="5" t="s">
        <v>295</v>
      </c>
      <c r="C964" s="1" t="str">
        <f t="shared" si="30"/>
        <v>AJ Dillon</v>
      </c>
      <c r="D964" s="1" t="str">
        <f t="shared" si="31"/>
        <v>GB</v>
      </c>
      <c r="E964" s="1">
        <v>46</v>
      </c>
      <c r="F964" s="1">
        <v>242</v>
      </c>
      <c r="G964" s="1">
        <v>5.3</v>
      </c>
      <c r="H964" s="1">
        <v>2</v>
      </c>
      <c r="I964">
        <v>0</v>
      </c>
      <c r="J964">
        <v>11</v>
      </c>
      <c r="K964" cm="1">
        <f t="array" ref="K964">IFERROR(_xlfn.XLOOKUP(D964&amp;A964, RBWR!A:A&amp;RBWR!C:C, RBWR!B:B), "N/A")</f>
        <v>74</v>
      </c>
      <c r="L964" t="str" cm="1">
        <f t="array" ref="L964">IFERROR(_xlfn.XLOOKUP(C964&amp;A964, RYOE!A:A&amp;RYOE!F:F, RYOE!C:C), "N/A")</f>
        <v>N/A</v>
      </c>
      <c r="M964" t="str" cm="1">
        <f t="array" ref="M964">IFERROR(_xlfn.XLOOKUP(C964&amp;A964, RYOE!A:A&amp;RYOE!F:F, RYOE!D:D), "N/A")</f>
        <v>N/A</v>
      </c>
      <c r="N964" t="str" cm="1">
        <f t="array" ref="N964">IFERROR(_xlfn.XLOOKUP(C964&amp;A964, RYOE!A:A&amp;RYOE!F:F, RYOE!E:E), "N/A")</f>
        <v>N/A</v>
      </c>
    </row>
    <row r="965" spans="1:14" ht="15" customHeight="1" x14ac:dyDescent="0.45">
      <c r="A965" s="8">
        <v>2020</v>
      </c>
      <c r="B965" s="6" t="s">
        <v>579</v>
      </c>
      <c r="C965" s="2" t="str">
        <f t="shared" si="30"/>
        <v>Dion Lewis</v>
      </c>
      <c r="D965" s="2" t="str">
        <f t="shared" si="31"/>
        <v>NYG</v>
      </c>
      <c r="E965" s="2">
        <v>29</v>
      </c>
      <c r="F965" s="2">
        <v>115</v>
      </c>
      <c r="G965" s="2">
        <v>4</v>
      </c>
      <c r="H965" s="2">
        <v>2</v>
      </c>
      <c r="I965">
        <v>2</v>
      </c>
      <c r="J965">
        <v>16</v>
      </c>
      <c r="K965" cm="1">
        <f t="array" ref="K965">IFERROR(_xlfn.XLOOKUP(D965&amp;A965, RBWR!A:A&amp;RBWR!C:C, RBWR!B:B), "N/A")</f>
        <v>70</v>
      </c>
      <c r="L965" t="str" cm="1">
        <f t="array" ref="L965">IFERROR(_xlfn.XLOOKUP(C965&amp;A965, RYOE!A:A&amp;RYOE!F:F, RYOE!C:C), "N/A")</f>
        <v>N/A</v>
      </c>
      <c r="M965" t="str" cm="1">
        <f t="array" ref="M965">IFERROR(_xlfn.XLOOKUP(C965&amp;A965, RYOE!A:A&amp;RYOE!F:F, RYOE!D:D), "N/A")</f>
        <v>N/A</v>
      </c>
      <c r="N965" t="str" cm="1">
        <f t="array" ref="N965">IFERROR(_xlfn.XLOOKUP(C965&amp;A965, RYOE!A:A&amp;RYOE!F:F, RYOE!E:E), "N/A")</f>
        <v>N/A</v>
      </c>
    </row>
    <row r="966" spans="1:14" ht="15" customHeight="1" x14ac:dyDescent="0.45">
      <c r="A966" s="7">
        <v>2020</v>
      </c>
      <c r="B966" s="5" t="s">
        <v>580</v>
      </c>
      <c r="C966" s="1" t="str">
        <f t="shared" si="30"/>
        <v>Alfred Morris</v>
      </c>
      <c r="D966" s="1" t="str">
        <f t="shared" si="31"/>
        <v>NYG</v>
      </c>
      <c r="E966" s="1">
        <v>55</v>
      </c>
      <c r="F966" s="1">
        <v>238</v>
      </c>
      <c r="G966" s="1">
        <v>4.3</v>
      </c>
      <c r="H966" s="1">
        <v>1</v>
      </c>
      <c r="I966">
        <v>0</v>
      </c>
      <c r="J966">
        <v>9</v>
      </c>
      <c r="K966" cm="1">
        <f t="array" ref="K966">IFERROR(_xlfn.XLOOKUP(D966&amp;A966, RBWR!A:A&amp;RBWR!C:C, RBWR!B:B), "N/A")</f>
        <v>70</v>
      </c>
      <c r="L966" t="str" cm="1">
        <f t="array" ref="L966">IFERROR(_xlfn.XLOOKUP(C966&amp;A966, RYOE!A:A&amp;RYOE!F:F, RYOE!C:C), "N/A")</f>
        <v>N/A</v>
      </c>
      <c r="M966" t="str" cm="1">
        <f t="array" ref="M966">IFERROR(_xlfn.XLOOKUP(C966&amp;A966, RYOE!A:A&amp;RYOE!F:F, RYOE!D:D), "N/A")</f>
        <v>N/A</v>
      </c>
      <c r="N966" t="str" cm="1">
        <f t="array" ref="N966">IFERROR(_xlfn.XLOOKUP(C966&amp;A966, RYOE!A:A&amp;RYOE!F:F, RYOE!E:E), "N/A")</f>
        <v>N/A</v>
      </c>
    </row>
    <row r="967" spans="1:14" ht="15" customHeight="1" x14ac:dyDescent="0.45">
      <c r="A967" s="8">
        <v>2020</v>
      </c>
      <c r="B967" s="6" t="s">
        <v>581</v>
      </c>
      <c r="C967" s="2" t="str">
        <f t="shared" si="30"/>
        <v>Cordarrelle Patterson</v>
      </c>
      <c r="D967" s="2" t="str">
        <f t="shared" si="31"/>
        <v>CHI</v>
      </c>
      <c r="E967" s="2">
        <v>64</v>
      </c>
      <c r="F967" s="2">
        <v>232</v>
      </c>
      <c r="G967" s="2">
        <v>3.6</v>
      </c>
      <c r="H967" s="2">
        <v>1</v>
      </c>
      <c r="I967">
        <v>0</v>
      </c>
      <c r="J967">
        <v>16</v>
      </c>
      <c r="K967" cm="1">
        <f t="array" ref="K967">IFERROR(_xlfn.XLOOKUP(D967&amp;A967, RBWR!A:A&amp;RBWR!C:C, RBWR!B:B), "N/A")</f>
        <v>71</v>
      </c>
      <c r="L967" t="str" cm="1">
        <f t="array" ref="L967">IFERROR(_xlfn.XLOOKUP(C967&amp;A967, RYOE!A:A&amp;RYOE!F:F, RYOE!C:C), "N/A")</f>
        <v>N/A</v>
      </c>
      <c r="M967" t="str" cm="1">
        <f t="array" ref="M967">IFERROR(_xlfn.XLOOKUP(C967&amp;A967, RYOE!A:A&amp;RYOE!F:F, RYOE!D:D), "N/A")</f>
        <v>N/A</v>
      </c>
      <c r="N967" t="str" cm="1">
        <f t="array" ref="N967">IFERROR(_xlfn.XLOOKUP(C967&amp;A967, RYOE!A:A&amp;RYOE!F:F, RYOE!E:E), "N/A")</f>
        <v>N/A</v>
      </c>
    </row>
    <row r="968" spans="1:14" ht="15" customHeight="1" x14ac:dyDescent="0.45">
      <c r="A968" s="7">
        <v>2020</v>
      </c>
      <c r="B968" s="5" t="s">
        <v>452</v>
      </c>
      <c r="C968" s="1" t="str">
        <f t="shared" si="30"/>
        <v>Darrel Williams</v>
      </c>
      <c r="D968" s="1" t="str">
        <f t="shared" si="31"/>
        <v>KC</v>
      </c>
      <c r="E968" s="1">
        <v>39</v>
      </c>
      <c r="F968" s="1">
        <v>169</v>
      </c>
      <c r="G968" s="1">
        <v>4.3</v>
      </c>
      <c r="H968" s="1">
        <v>1</v>
      </c>
      <c r="I968">
        <v>0</v>
      </c>
      <c r="J968">
        <v>16</v>
      </c>
      <c r="K968" cm="1">
        <f t="array" ref="K968">IFERROR(_xlfn.XLOOKUP(D968&amp;A968, RBWR!A:A&amp;RBWR!C:C, RBWR!B:B), "N/A")</f>
        <v>67</v>
      </c>
      <c r="L968" t="str" cm="1">
        <f t="array" ref="L968">IFERROR(_xlfn.XLOOKUP(C968&amp;A968, RYOE!A:A&amp;RYOE!F:F, RYOE!C:C), "N/A")</f>
        <v>N/A</v>
      </c>
      <c r="M968" t="str" cm="1">
        <f t="array" ref="M968">IFERROR(_xlfn.XLOOKUP(C968&amp;A968, RYOE!A:A&amp;RYOE!F:F, RYOE!D:D), "N/A")</f>
        <v>N/A</v>
      </c>
      <c r="N968" t="str" cm="1">
        <f t="array" ref="N968">IFERROR(_xlfn.XLOOKUP(C968&amp;A968, RYOE!A:A&amp;RYOE!F:F, RYOE!E:E), "N/A")</f>
        <v>N/A</v>
      </c>
    </row>
    <row r="969" spans="1:14" ht="15" customHeight="1" x14ac:dyDescent="0.45">
      <c r="A969" s="8">
        <v>2020</v>
      </c>
      <c r="B969" s="6" t="s">
        <v>582</v>
      </c>
      <c r="C969" s="2" t="str">
        <f t="shared" si="30"/>
        <v>Matt Breida</v>
      </c>
      <c r="D969" s="2" t="str">
        <f t="shared" si="31"/>
        <v>MIA</v>
      </c>
      <c r="E969" s="2">
        <v>59</v>
      </c>
      <c r="F969" s="2">
        <v>254</v>
      </c>
      <c r="G969" s="2">
        <v>4.3</v>
      </c>
      <c r="H969" s="2">
        <v>0</v>
      </c>
      <c r="I969">
        <v>1</v>
      </c>
      <c r="J969">
        <v>12</v>
      </c>
      <c r="K969" cm="1">
        <f t="array" ref="K969">IFERROR(_xlfn.XLOOKUP(D969&amp;A969, RBWR!A:A&amp;RBWR!C:C, RBWR!B:B), "N/A")</f>
        <v>69</v>
      </c>
      <c r="L969" t="str" cm="1">
        <f t="array" ref="L969">IFERROR(_xlfn.XLOOKUP(C969&amp;A969, RYOE!A:A&amp;RYOE!F:F, RYOE!C:C), "N/A")</f>
        <v>N/A</v>
      </c>
      <c r="M969" t="str" cm="1">
        <f t="array" ref="M969">IFERROR(_xlfn.XLOOKUP(C969&amp;A969, RYOE!A:A&amp;RYOE!F:F, RYOE!D:D), "N/A")</f>
        <v>N/A</v>
      </c>
      <c r="N969" t="str" cm="1">
        <f t="array" ref="N969">IFERROR(_xlfn.XLOOKUP(C969&amp;A969, RYOE!A:A&amp;RYOE!F:F, RYOE!E:E), "N/A")</f>
        <v>N/A</v>
      </c>
    </row>
    <row r="970" spans="1:14" ht="15" customHeight="1" x14ac:dyDescent="0.45">
      <c r="A970" s="7">
        <v>2020</v>
      </c>
      <c r="B970" s="5" t="s">
        <v>501</v>
      </c>
      <c r="C970" s="1" t="str">
        <f t="shared" si="30"/>
        <v>Jalen Richard</v>
      </c>
      <c r="D970" s="1" t="str">
        <f t="shared" si="31"/>
        <v>LV</v>
      </c>
      <c r="E970" s="1">
        <v>22</v>
      </c>
      <c r="F970" s="1">
        <v>123</v>
      </c>
      <c r="G970" s="1">
        <v>5.6</v>
      </c>
      <c r="H970" s="1">
        <v>1</v>
      </c>
      <c r="I970">
        <v>0</v>
      </c>
      <c r="J970">
        <v>13</v>
      </c>
      <c r="K970" cm="1">
        <f t="array" ref="K970">IFERROR(_xlfn.XLOOKUP(D970&amp;A970, RBWR!A:A&amp;RBWR!C:C, RBWR!B:B), "N/A")</f>
        <v>69</v>
      </c>
      <c r="L970" t="str" cm="1">
        <f t="array" ref="L970">IFERROR(_xlfn.XLOOKUP(C970&amp;A970, RYOE!A:A&amp;RYOE!F:F, RYOE!C:C), "N/A")</f>
        <v>N/A</v>
      </c>
      <c r="M970" t="str" cm="1">
        <f t="array" ref="M970">IFERROR(_xlfn.XLOOKUP(C970&amp;A970, RYOE!A:A&amp;RYOE!F:F, RYOE!D:D), "N/A")</f>
        <v>N/A</v>
      </c>
      <c r="N970" t="str" cm="1">
        <f t="array" ref="N970">IFERROR(_xlfn.XLOOKUP(C970&amp;A970, RYOE!A:A&amp;RYOE!F:F, RYOE!E:E), "N/A")</f>
        <v>N/A</v>
      </c>
    </row>
    <row r="971" spans="1:14" ht="15" customHeight="1" x14ac:dyDescent="0.45">
      <c r="A971" s="8">
        <v>2020</v>
      </c>
      <c r="B971" s="6" t="s">
        <v>474</v>
      </c>
      <c r="C971" s="2" t="str">
        <f t="shared" si="30"/>
        <v>Jeremy McNichols</v>
      </c>
      <c r="D971" s="2" t="str">
        <f t="shared" si="31"/>
        <v>TEN</v>
      </c>
      <c r="E971" s="2">
        <v>47</v>
      </c>
      <c r="F971" s="2">
        <v>204</v>
      </c>
      <c r="G971" s="2">
        <v>4.3</v>
      </c>
      <c r="H971" s="2">
        <v>1</v>
      </c>
      <c r="I971">
        <v>0</v>
      </c>
      <c r="J971">
        <v>16</v>
      </c>
      <c r="K971" cm="1">
        <f t="array" ref="K971">IFERROR(_xlfn.XLOOKUP(D971&amp;A971, RBWR!A:A&amp;RBWR!C:C, RBWR!B:B), "N/A")</f>
        <v>70</v>
      </c>
      <c r="L971" t="str" cm="1">
        <f t="array" ref="L971">IFERROR(_xlfn.XLOOKUP(C971&amp;A971, RYOE!A:A&amp;RYOE!F:F, RYOE!C:C), "N/A")</f>
        <v>N/A</v>
      </c>
      <c r="M971" t="str" cm="1">
        <f t="array" ref="M971">IFERROR(_xlfn.XLOOKUP(C971&amp;A971, RYOE!A:A&amp;RYOE!F:F, RYOE!D:D), "N/A")</f>
        <v>N/A</v>
      </c>
      <c r="N971" t="str" cm="1">
        <f t="array" ref="N971">IFERROR(_xlfn.XLOOKUP(C971&amp;A971, RYOE!A:A&amp;RYOE!F:F, RYOE!E:E), "N/A")</f>
        <v>N/A</v>
      </c>
    </row>
    <row r="972" spans="1:14" ht="15" customHeight="1" x14ac:dyDescent="0.45">
      <c r="A972" s="7">
        <v>2020</v>
      </c>
      <c r="B972" s="5" t="s">
        <v>583</v>
      </c>
      <c r="C972" s="1" t="str">
        <f t="shared" si="30"/>
        <v>Josh Adams</v>
      </c>
      <c r="D972" s="1" t="str">
        <f t="shared" si="31"/>
        <v>NYJ</v>
      </c>
      <c r="E972" s="1">
        <v>29</v>
      </c>
      <c r="F972" s="1">
        <v>157</v>
      </c>
      <c r="G972" s="1">
        <v>5.4</v>
      </c>
      <c r="H972" s="1">
        <v>2</v>
      </c>
      <c r="I972">
        <v>0</v>
      </c>
      <c r="J972">
        <v>8</v>
      </c>
      <c r="K972" cm="1">
        <f t="array" ref="K972">IFERROR(_xlfn.XLOOKUP(D972&amp;A972, RBWR!A:A&amp;RBWR!C:C, RBWR!B:B), "N/A")</f>
        <v>67</v>
      </c>
      <c r="L972" t="str" cm="1">
        <f t="array" ref="L972">IFERROR(_xlfn.XLOOKUP(C972&amp;A972, RYOE!A:A&amp;RYOE!F:F, RYOE!C:C), "N/A")</f>
        <v>N/A</v>
      </c>
      <c r="M972" t="str" cm="1">
        <f t="array" ref="M972">IFERROR(_xlfn.XLOOKUP(C972&amp;A972, RYOE!A:A&amp;RYOE!F:F, RYOE!D:D), "N/A")</f>
        <v>N/A</v>
      </c>
      <c r="N972" t="str" cm="1">
        <f t="array" ref="N972">IFERROR(_xlfn.XLOOKUP(C972&amp;A972, RYOE!A:A&amp;RYOE!F:F, RYOE!E:E), "N/A")</f>
        <v>N/A</v>
      </c>
    </row>
    <row r="973" spans="1:14" ht="15" customHeight="1" x14ac:dyDescent="0.45">
      <c r="A973" s="8">
        <v>2020</v>
      </c>
      <c r="B973" s="6" t="s">
        <v>468</v>
      </c>
      <c r="C973" s="2" t="str">
        <f t="shared" si="30"/>
        <v>Jordan Howard</v>
      </c>
      <c r="D973" s="2" t="str">
        <f t="shared" si="31"/>
        <v>PHI</v>
      </c>
      <c r="E973" s="2">
        <v>35</v>
      </c>
      <c r="F973" s="2">
        <v>60</v>
      </c>
      <c r="G973" s="2">
        <v>1.7</v>
      </c>
      <c r="H973" s="2">
        <v>4</v>
      </c>
      <c r="I973">
        <v>0</v>
      </c>
      <c r="J973">
        <v>7</v>
      </c>
      <c r="K973" cm="1">
        <f t="array" ref="K973">IFERROR(_xlfn.XLOOKUP(D973&amp;A973, RBWR!A:A&amp;RBWR!C:C, RBWR!B:B), "N/A")</f>
        <v>73</v>
      </c>
      <c r="L973" t="str" cm="1">
        <f t="array" ref="L973">IFERROR(_xlfn.XLOOKUP(C973&amp;A973, RYOE!A:A&amp;RYOE!F:F, RYOE!C:C), "N/A")</f>
        <v>N/A</v>
      </c>
      <c r="M973" t="str" cm="1">
        <f t="array" ref="M973">IFERROR(_xlfn.XLOOKUP(C973&amp;A973, RYOE!A:A&amp;RYOE!F:F, RYOE!D:D), "N/A")</f>
        <v>N/A</v>
      </c>
      <c r="N973" t="str" cm="1">
        <f t="array" ref="N973">IFERROR(_xlfn.XLOOKUP(C973&amp;A973, RYOE!A:A&amp;RYOE!F:F, RYOE!E:E), "N/A")</f>
        <v>N/A</v>
      </c>
    </row>
    <row r="974" spans="1:14" ht="15" customHeight="1" x14ac:dyDescent="0.45">
      <c r="A974" s="7">
        <v>2020</v>
      </c>
      <c r="B974" s="5" t="s">
        <v>584</v>
      </c>
      <c r="C974" s="1" t="str">
        <f t="shared" si="30"/>
        <v>Devonta Freeman</v>
      </c>
      <c r="D974" s="1" t="str">
        <f t="shared" si="31"/>
        <v>NYG</v>
      </c>
      <c r="E974" s="1">
        <v>54</v>
      </c>
      <c r="F974" s="1">
        <v>172</v>
      </c>
      <c r="G974" s="1">
        <v>3.2</v>
      </c>
      <c r="H974" s="1">
        <v>1</v>
      </c>
      <c r="I974">
        <v>0</v>
      </c>
      <c r="J974">
        <v>5</v>
      </c>
      <c r="K974" cm="1">
        <f t="array" ref="K974">IFERROR(_xlfn.XLOOKUP(D974&amp;A974, RBWR!A:A&amp;RBWR!C:C, RBWR!B:B), "N/A")</f>
        <v>70</v>
      </c>
      <c r="L974" t="str" cm="1">
        <f t="array" ref="L974">IFERROR(_xlfn.XLOOKUP(C974&amp;A974, RYOE!A:A&amp;RYOE!F:F, RYOE!C:C), "N/A")</f>
        <v>N/A</v>
      </c>
      <c r="M974" t="str" cm="1">
        <f t="array" ref="M974">IFERROR(_xlfn.XLOOKUP(C974&amp;A974, RYOE!A:A&amp;RYOE!F:F, RYOE!D:D), "N/A")</f>
        <v>N/A</v>
      </c>
      <c r="N974" t="str" cm="1">
        <f t="array" ref="N974">IFERROR(_xlfn.XLOOKUP(C974&amp;A974, RYOE!A:A&amp;RYOE!F:F, RYOE!E:E), "N/A")</f>
        <v>N/A</v>
      </c>
    </row>
    <row r="975" spans="1:14" ht="15" customHeight="1" x14ac:dyDescent="0.45">
      <c r="A975" s="8">
        <v>2020</v>
      </c>
      <c r="B975" s="6" t="s">
        <v>510</v>
      </c>
      <c r="C975" s="2" t="str">
        <f t="shared" si="30"/>
        <v>Rodney Smith</v>
      </c>
      <c r="D975" s="2" t="str">
        <f t="shared" si="31"/>
        <v>CAR</v>
      </c>
      <c r="E975" s="2">
        <v>41</v>
      </c>
      <c r="F975" s="2">
        <v>156</v>
      </c>
      <c r="G975" s="2">
        <v>3.8</v>
      </c>
      <c r="H975" s="2">
        <v>1</v>
      </c>
      <c r="I975">
        <v>0</v>
      </c>
      <c r="J975">
        <v>7</v>
      </c>
      <c r="K975" cm="1">
        <f t="array" ref="K975">IFERROR(_xlfn.XLOOKUP(D975&amp;A975, RBWR!A:A&amp;RBWR!C:C, RBWR!B:B), "N/A")</f>
        <v>72</v>
      </c>
      <c r="L975" t="str" cm="1">
        <f t="array" ref="L975">IFERROR(_xlfn.XLOOKUP(C975&amp;A975, RYOE!A:A&amp;RYOE!F:F, RYOE!C:C), "N/A")</f>
        <v>N/A</v>
      </c>
      <c r="M975" t="str" cm="1">
        <f t="array" ref="M975">IFERROR(_xlfn.XLOOKUP(C975&amp;A975, RYOE!A:A&amp;RYOE!F:F, RYOE!D:D), "N/A")</f>
        <v>N/A</v>
      </c>
      <c r="N975" t="str" cm="1">
        <f t="array" ref="N975">IFERROR(_xlfn.XLOOKUP(C975&amp;A975, RYOE!A:A&amp;RYOE!F:F, RYOE!E:E), "N/A")</f>
        <v>N/A</v>
      </c>
    </row>
    <row r="976" spans="1:14" ht="15" customHeight="1" x14ac:dyDescent="0.45">
      <c r="A976" s="7">
        <v>2020</v>
      </c>
      <c r="B976" s="5" t="s">
        <v>585</v>
      </c>
      <c r="C976" s="1" t="str">
        <f t="shared" si="30"/>
        <v>Darwin Thompson</v>
      </c>
      <c r="D976" s="1" t="str">
        <f t="shared" si="31"/>
        <v>KC</v>
      </c>
      <c r="E976" s="1">
        <v>27</v>
      </c>
      <c r="F976" s="1">
        <v>97</v>
      </c>
      <c r="G976" s="1">
        <v>3.6</v>
      </c>
      <c r="H976" s="1">
        <v>1</v>
      </c>
      <c r="I976">
        <v>1</v>
      </c>
      <c r="J976">
        <v>13</v>
      </c>
      <c r="K976" cm="1">
        <f t="array" ref="K976">IFERROR(_xlfn.XLOOKUP(D976&amp;A976, RBWR!A:A&amp;RBWR!C:C, RBWR!B:B), "N/A")</f>
        <v>67</v>
      </c>
      <c r="L976" t="str" cm="1">
        <f t="array" ref="L976">IFERROR(_xlfn.XLOOKUP(C976&amp;A976, RYOE!A:A&amp;RYOE!F:F, RYOE!C:C), "N/A")</f>
        <v>N/A</v>
      </c>
      <c r="M976" t="str" cm="1">
        <f t="array" ref="M976">IFERROR(_xlfn.XLOOKUP(C976&amp;A976, RYOE!A:A&amp;RYOE!F:F, RYOE!D:D), "N/A")</f>
        <v>N/A</v>
      </c>
      <c r="N976" t="str" cm="1">
        <f t="array" ref="N976">IFERROR(_xlfn.XLOOKUP(C976&amp;A976, RYOE!A:A&amp;RYOE!F:F, RYOE!E:E), "N/A")</f>
        <v>N/A</v>
      </c>
    </row>
    <row r="977" spans="1:14" ht="15" customHeight="1" x14ac:dyDescent="0.45">
      <c r="A977" s="8">
        <v>2020</v>
      </c>
      <c r="B977" s="6" t="s">
        <v>586</v>
      </c>
      <c r="C977" s="2" t="str">
        <f t="shared" si="30"/>
        <v>Royce Freeman</v>
      </c>
      <c r="D977" s="2" t="str">
        <f t="shared" si="31"/>
        <v>DEN</v>
      </c>
      <c r="E977" s="2">
        <v>35</v>
      </c>
      <c r="F977" s="2">
        <v>170</v>
      </c>
      <c r="G977" s="2">
        <v>4.9000000000000004</v>
      </c>
      <c r="H977" s="2">
        <v>0</v>
      </c>
      <c r="I977">
        <v>0</v>
      </c>
      <c r="J977">
        <v>16</v>
      </c>
      <c r="K977" cm="1">
        <f t="array" ref="K977">IFERROR(_xlfn.XLOOKUP(D977&amp;A977, RBWR!A:A&amp;RBWR!C:C, RBWR!B:B), "N/A")</f>
        <v>70</v>
      </c>
      <c r="L977" t="str" cm="1">
        <f t="array" ref="L977">IFERROR(_xlfn.XLOOKUP(C977&amp;A977, RYOE!A:A&amp;RYOE!F:F, RYOE!C:C), "N/A")</f>
        <v>N/A</v>
      </c>
      <c r="M977" t="str" cm="1">
        <f t="array" ref="M977">IFERROR(_xlfn.XLOOKUP(C977&amp;A977, RYOE!A:A&amp;RYOE!F:F, RYOE!D:D), "N/A")</f>
        <v>N/A</v>
      </c>
      <c r="N977" t="str" cm="1">
        <f t="array" ref="N977">IFERROR(_xlfn.XLOOKUP(C977&amp;A977, RYOE!A:A&amp;RYOE!F:F, RYOE!E:E), "N/A")</f>
        <v>N/A</v>
      </c>
    </row>
    <row r="978" spans="1:14" ht="15" customHeight="1" x14ac:dyDescent="0.45">
      <c r="A978" s="7">
        <v>2020</v>
      </c>
      <c r="B978" s="5" t="s">
        <v>487</v>
      </c>
      <c r="C978" s="1" t="str">
        <f t="shared" si="30"/>
        <v>JaMycal Hasty</v>
      </c>
      <c r="D978" s="1" t="str">
        <f t="shared" si="31"/>
        <v>SF</v>
      </c>
      <c r="E978" s="1">
        <v>39</v>
      </c>
      <c r="F978" s="1">
        <v>148</v>
      </c>
      <c r="G978" s="1">
        <v>3.8</v>
      </c>
      <c r="H978" s="1">
        <v>1</v>
      </c>
      <c r="I978">
        <v>0</v>
      </c>
      <c r="J978">
        <v>8</v>
      </c>
      <c r="K978" cm="1">
        <f t="array" ref="K978">IFERROR(_xlfn.XLOOKUP(D978&amp;A978, RBWR!A:A&amp;RBWR!C:C, RBWR!B:B), "N/A")</f>
        <v>69</v>
      </c>
      <c r="L978" t="str" cm="1">
        <f t="array" ref="L978">IFERROR(_xlfn.XLOOKUP(C978&amp;A978, RYOE!A:A&amp;RYOE!F:F, RYOE!C:C), "N/A")</f>
        <v>N/A</v>
      </c>
      <c r="M978" t="str" cm="1">
        <f t="array" ref="M978">IFERROR(_xlfn.XLOOKUP(C978&amp;A978, RYOE!A:A&amp;RYOE!F:F, RYOE!D:D), "N/A")</f>
        <v>N/A</v>
      </c>
      <c r="N978" t="str" cm="1">
        <f t="array" ref="N978">IFERROR(_xlfn.XLOOKUP(C978&amp;A978, RYOE!A:A&amp;RYOE!F:F, RYOE!E:E), "N/A")</f>
        <v>N/A</v>
      </c>
    </row>
    <row r="979" spans="1:14" ht="15" customHeight="1" x14ac:dyDescent="0.45">
      <c r="A979" s="8">
        <v>2020</v>
      </c>
      <c r="B979" s="6" t="s">
        <v>399</v>
      </c>
      <c r="C979" s="2" t="str">
        <f t="shared" si="30"/>
        <v>Travis Homer</v>
      </c>
      <c r="D979" s="2" t="str">
        <f t="shared" si="31"/>
        <v>SEA</v>
      </c>
      <c r="E979" s="2">
        <v>25</v>
      </c>
      <c r="F979" s="2">
        <v>88</v>
      </c>
      <c r="G979" s="2">
        <v>3.5</v>
      </c>
      <c r="H979" s="2">
        <v>0</v>
      </c>
      <c r="I979">
        <v>0</v>
      </c>
      <c r="J979">
        <v>9</v>
      </c>
      <c r="K979" cm="1">
        <f t="array" ref="K979">IFERROR(_xlfn.XLOOKUP(D979&amp;A979, RBWR!A:A&amp;RBWR!C:C, RBWR!B:B), "N/A")</f>
        <v>70</v>
      </c>
      <c r="L979" t="str" cm="1">
        <f t="array" ref="L979">IFERROR(_xlfn.XLOOKUP(C979&amp;A979, RYOE!A:A&amp;RYOE!F:F, RYOE!C:C), "N/A")</f>
        <v>N/A</v>
      </c>
      <c r="M979" t="str" cm="1">
        <f t="array" ref="M979">IFERROR(_xlfn.XLOOKUP(C979&amp;A979, RYOE!A:A&amp;RYOE!F:F, RYOE!D:D), "N/A")</f>
        <v>N/A</v>
      </c>
      <c r="N979" t="str" cm="1">
        <f t="array" ref="N979">IFERROR(_xlfn.XLOOKUP(C979&amp;A979, RYOE!A:A&amp;RYOE!F:F, RYOE!E:E), "N/A")</f>
        <v>N/A</v>
      </c>
    </row>
    <row r="980" spans="1:14" ht="15" customHeight="1" x14ac:dyDescent="0.45">
      <c r="A980" s="7">
        <v>2020</v>
      </c>
      <c r="B980" s="5" t="s">
        <v>587</v>
      </c>
      <c r="C980" s="1" t="str">
        <f t="shared" si="30"/>
        <v>Chris Thompson</v>
      </c>
      <c r="D980" s="1" t="str">
        <f t="shared" si="31"/>
        <v>JAC</v>
      </c>
      <c r="E980" s="1">
        <v>7</v>
      </c>
      <c r="F980" s="1">
        <v>20</v>
      </c>
      <c r="G980" s="1">
        <v>2.9</v>
      </c>
      <c r="H980" s="1">
        <v>0</v>
      </c>
      <c r="I980">
        <v>0</v>
      </c>
      <c r="J980">
        <v>8</v>
      </c>
      <c r="K980" cm="1">
        <f t="array" ref="K980">IFERROR(_xlfn.XLOOKUP(D980&amp;A980, RBWR!A:A&amp;RBWR!C:C, RBWR!B:B), "N/A")</f>
        <v>69</v>
      </c>
      <c r="L980" t="str" cm="1">
        <f t="array" ref="L980">IFERROR(_xlfn.XLOOKUP(C980&amp;A980, RYOE!A:A&amp;RYOE!F:F, RYOE!C:C), "N/A")</f>
        <v>N/A</v>
      </c>
      <c r="M980" t="str" cm="1">
        <f t="array" ref="M980">IFERROR(_xlfn.XLOOKUP(C980&amp;A980, RYOE!A:A&amp;RYOE!F:F, RYOE!D:D), "N/A")</f>
        <v>N/A</v>
      </c>
      <c r="N980" t="str" cm="1">
        <f t="array" ref="N980">IFERROR(_xlfn.XLOOKUP(C980&amp;A980, RYOE!A:A&amp;RYOE!F:F, RYOE!E:E), "N/A")</f>
        <v>N/A</v>
      </c>
    </row>
    <row r="981" spans="1:14" ht="15" customHeight="1" x14ac:dyDescent="0.45">
      <c r="A981" s="8">
        <v>2020</v>
      </c>
      <c r="B981" s="6" t="s">
        <v>588</v>
      </c>
      <c r="C981" s="2" t="str">
        <f t="shared" si="30"/>
        <v>Ameer Abdullah</v>
      </c>
      <c r="D981" s="2" t="str">
        <f t="shared" si="31"/>
        <v>MIN</v>
      </c>
      <c r="E981" s="2">
        <v>8</v>
      </c>
      <c r="F981" s="2">
        <v>42</v>
      </c>
      <c r="G981" s="2">
        <v>5.3</v>
      </c>
      <c r="H981" s="2">
        <v>0</v>
      </c>
      <c r="I981">
        <v>0</v>
      </c>
      <c r="J981">
        <v>16</v>
      </c>
      <c r="K981" cm="1">
        <f t="array" ref="K981">IFERROR(_xlfn.XLOOKUP(D981&amp;A981, RBWR!A:A&amp;RBWR!C:C, RBWR!B:B), "N/A")</f>
        <v>70</v>
      </c>
      <c r="L981" t="str" cm="1">
        <f t="array" ref="L981">IFERROR(_xlfn.XLOOKUP(C981&amp;A981, RYOE!A:A&amp;RYOE!F:F, RYOE!C:C), "N/A")</f>
        <v>N/A</v>
      </c>
      <c r="M981" t="str" cm="1">
        <f t="array" ref="M981">IFERROR(_xlfn.XLOOKUP(C981&amp;A981, RYOE!A:A&amp;RYOE!F:F, RYOE!D:D), "N/A")</f>
        <v>N/A</v>
      </c>
      <c r="N981" t="str" cm="1">
        <f t="array" ref="N981">IFERROR(_xlfn.XLOOKUP(C981&amp;A981, RYOE!A:A&amp;RYOE!F:F, RYOE!E:E), "N/A")</f>
        <v>N/A</v>
      </c>
    </row>
    <row r="982" spans="1:14" ht="15" customHeight="1" x14ac:dyDescent="0.45">
      <c r="A982" s="7">
        <v>2020</v>
      </c>
      <c r="B982" s="5" t="s">
        <v>589</v>
      </c>
      <c r="C982" s="1" t="str">
        <f t="shared" si="30"/>
        <v>Antonio Williams</v>
      </c>
      <c r="D982" s="1" t="str">
        <f t="shared" si="31"/>
        <v>BUF</v>
      </c>
      <c r="E982" s="1">
        <v>12</v>
      </c>
      <c r="F982" s="1">
        <v>63</v>
      </c>
      <c r="G982" s="1">
        <v>5.3</v>
      </c>
      <c r="H982" s="1">
        <v>2</v>
      </c>
      <c r="I982">
        <v>0</v>
      </c>
      <c r="J982">
        <v>1</v>
      </c>
      <c r="K982" cm="1">
        <f t="array" ref="K982">IFERROR(_xlfn.XLOOKUP(D982&amp;A982, RBWR!A:A&amp;RBWR!C:C, RBWR!B:B), "N/A")</f>
        <v>69</v>
      </c>
      <c r="L982" t="str" cm="1">
        <f t="array" ref="L982">IFERROR(_xlfn.XLOOKUP(C982&amp;A982, RYOE!A:A&amp;RYOE!F:F, RYOE!C:C), "N/A")</f>
        <v>N/A</v>
      </c>
      <c r="M982" t="str" cm="1">
        <f t="array" ref="M982">IFERROR(_xlfn.XLOOKUP(C982&amp;A982, RYOE!A:A&amp;RYOE!F:F, RYOE!D:D), "N/A")</f>
        <v>N/A</v>
      </c>
      <c r="N982" t="str" cm="1">
        <f t="array" ref="N982">IFERROR(_xlfn.XLOOKUP(C982&amp;A982, RYOE!A:A&amp;RYOE!F:F, RYOE!E:E), "N/A")</f>
        <v>N/A</v>
      </c>
    </row>
    <row r="983" spans="1:14" ht="15" customHeight="1" x14ac:dyDescent="0.45">
      <c r="A983" s="8">
        <v>2020</v>
      </c>
      <c r="B983" s="6" t="s">
        <v>469</v>
      </c>
      <c r="C983" s="2" t="str">
        <f t="shared" si="30"/>
        <v>Alex Collins</v>
      </c>
      <c r="D983" s="2" t="str">
        <f t="shared" si="31"/>
        <v>SEA</v>
      </c>
      <c r="E983" s="2">
        <v>18</v>
      </c>
      <c r="F983" s="2">
        <v>77</v>
      </c>
      <c r="G983" s="2">
        <v>4.3</v>
      </c>
      <c r="H983" s="2">
        <v>2</v>
      </c>
      <c r="I983">
        <v>0</v>
      </c>
      <c r="J983">
        <v>3</v>
      </c>
      <c r="K983" cm="1">
        <f t="array" ref="K983">IFERROR(_xlfn.XLOOKUP(D983&amp;A983, RBWR!A:A&amp;RBWR!C:C, RBWR!B:B), "N/A")</f>
        <v>70</v>
      </c>
      <c r="L983" t="str" cm="1">
        <f t="array" ref="L983">IFERROR(_xlfn.XLOOKUP(C983&amp;A983, RYOE!A:A&amp;RYOE!F:F, RYOE!C:C), "N/A")</f>
        <v>N/A</v>
      </c>
      <c r="M983" t="str" cm="1">
        <f t="array" ref="M983">IFERROR(_xlfn.XLOOKUP(C983&amp;A983, RYOE!A:A&amp;RYOE!F:F, RYOE!D:D), "N/A")</f>
        <v>N/A</v>
      </c>
      <c r="N983" t="str" cm="1">
        <f t="array" ref="N983">IFERROR(_xlfn.XLOOKUP(C983&amp;A983, RYOE!A:A&amp;RYOE!F:F, RYOE!E:E), "N/A")</f>
        <v>N/A</v>
      </c>
    </row>
    <row r="984" spans="1:14" ht="15" customHeight="1" x14ac:dyDescent="0.45">
      <c r="A984" s="7">
        <v>2020</v>
      </c>
      <c r="B984" s="5" t="s">
        <v>481</v>
      </c>
      <c r="C984" s="1" t="str">
        <f t="shared" si="30"/>
        <v>Dare Ogunbowale</v>
      </c>
      <c r="D984" s="1" t="str">
        <f t="shared" si="31"/>
        <v>JAC</v>
      </c>
      <c r="E984" s="1">
        <v>32</v>
      </c>
      <c r="F984" s="1">
        <v>145</v>
      </c>
      <c r="G984" s="1">
        <v>4.5</v>
      </c>
      <c r="H984" s="1">
        <v>0</v>
      </c>
      <c r="I984">
        <v>0</v>
      </c>
      <c r="J984">
        <v>14</v>
      </c>
      <c r="K984" cm="1">
        <f t="array" ref="K984">IFERROR(_xlfn.XLOOKUP(D984&amp;A984, RBWR!A:A&amp;RBWR!C:C, RBWR!B:B), "N/A")</f>
        <v>69</v>
      </c>
      <c r="L984" t="str" cm="1">
        <f t="array" ref="L984">IFERROR(_xlfn.XLOOKUP(C984&amp;A984, RYOE!A:A&amp;RYOE!F:F, RYOE!C:C), "N/A")</f>
        <v>N/A</v>
      </c>
      <c r="M984" t="str" cm="1">
        <f t="array" ref="M984">IFERROR(_xlfn.XLOOKUP(C984&amp;A984, RYOE!A:A&amp;RYOE!F:F, RYOE!D:D), "N/A")</f>
        <v>N/A</v>
      </c>
      <c r="N984" t="str" cm="1">
        <f t="array" ref="N984">IFERROR(_xlfn.XLOOKUP(C984&amp;A984, RYOE!A:A&amp;RYOE!F:F, RYOE!E:E), "N/A")</f>
        <v>N/A</v>
      </c>
    </row>
    <row r="985" spans="1:14" ht="15" customHeight="1" x14ac:dyDescent="0.45">
      <c r="A985" s="8">
        <v>2020</v>
      </c>
      <c r="B985" s="6" t="s">
        <v>329</v>
      </c>
      <c r="C985" s="2" t="str">
        <f t="shared" si="30"/>
        <v>Ke'Shawn Vaughn</v>
      </c>
      <c r="D985" s="2" t="str">
        <f t="shared" si="31"/>
        <v>TB</v>
      </c>
      <c r="E985" s="2">
        <v>26</v>
      </c>
      <c r="F985" s="2">
        <v>109</v>
      </c>
      <c r="G985" s="2">
        <v>4.2</v>
      </c>
      <c r="H985" s="2">
        <v>0</v>
      </c>
      <c r="I985">
        <v>1</v>
      </c>
      <c r="J985">
        <v>10</v>
      </c>
      <c r="K985" cm="1">
        <f t="array" ref="K985">IFERROR(_xlfn.XLOOKUP(D985&amp;A985, RBWR!A:A&amp;RBWR!C:C, RBWR!B:B), "N/A")</f>
        <v>70</v>
      </c>
      <c r="L985" t="str" cm="1">
        <f t="array" ref="L985">IFERROR(_xlfn.XLOOKUP(C985&amp;A985, RYOE!A:A&amp;RYOE!F:F, RYOE!C:C), "N/A")</f>
        <v>N/A</v>
      </c>
      <c r="M985" t="str" cm="1">
        <f t="array" ref="M985">IFERROR(_xlfn.XLOOKUP(C985&amp;A985, RYOE!A:A&amp;RYOE!F:F, RYOE!D:D), "N/A")</f>
        <v>N/A</v>
      </c>
      <c r="N985" t="str" cm="1">
        <f t="array" ref="N985">IFERROR(_xlfn.XLOOKUP(C985&amp;A985, RYOE!A:A&amp;RYOE!F:F, RYOE!E:E), "N/A")</f>
        <v>N/A</v>
      </c>
    </row>
    <row r="986" spans="1:14" ht="15" customHeight="1" x14ac:dyDescent="0.45">
      <c r="A986" s="7">
        <v>2020</v>
      </c>
      <c r="B986" s="5" t="s">
        <v>424</v>
      </c>
      <c r="C986" s="1" t="str">
        <f t="shared" si="30"/>
        <v>D'Ernest Johnson</v>
      </c>
      <c r="D986" s="1" t="str">
        <f t="shared" si="31"/>
        <v>CLE</v>
      </c>
      <c r="E986" s="1">
        <v>33</v>
      </c>
      <c r="F986" s="1">
        <v>166</v>
      </c>
      <c r="G986" s="1">
        <v>5</v>
      </c>
      <c r="H986" s="1">
        <v>0</v>
      </c>
      <c r="I986">
        <v>0</v>
      </c>
      <c r="J986">
        <v>16</v>
      </c>
      <c r="K986" cm="1">
        <f t="array" ref="K986">IFERROR(_xlfn.XLOOKUP(D986&amp;A986, RBWR!A:A&amp;RBWR!C:C, RBWR!B:B), "N/A")</f>
        <v>71</v>
      </c>
      <c r="L986" t="str" cm="1">
        <f t="array" ref="L986">IFERROR(_xlfn.XLOOKUP(C986&amp;A986, RYOE!A:A&amp;RYOE!F:F, RYOE!C:C), "N/A")</f>
        <v>N/A</v>
      </c>
      <c r="M986" t="str" cm="1">
        <f t="array" ref="M986">IFERROR(_xlfn.XLOOKUP(C986&amp;A986, RYOE!A:A&amp;RYOE!F:F, RYOE!D:D), "N/A")</f>
        <v>N/A</v>
      </c>
      <c r="N986" t="str" cm="1">
        <f t="array" ref="N986">IFERROR(_xlfn.XLOOKUP(C986&amp;A986, RYOE!A:A&amp;RYOE!F:F, RYOE!E:E), "N/A")</f>
        <v>N/A</v>
      </c>
    </row>
    <row r="987" spans="1:14" ht="15" customHeight="1" x14ac:dyDescent="0.45">
      <c r="A987" s="8">
        <v>2020</v>
      </c>
      <c r="B987" s="6" t="s">
        <v>168</v>
      </c>
      <c r="C987" s="2" t="str">
        <f t="shared" si="30"/>
        <v>C.J. Ham</v>
      </c>
      <c r="D987" s="2" t="str">
        <f t="shared" si="31"/>
        <v>MIN</v>
      </c>
      <c r="E987" s="2">
        <v>5</v>
      </c>
      <c r="F987" s="2">
        <v>18</v>
      </c>
      <c r="G987" s="2">
        <v>3.6</v>
      </c>
      <c r="H987" s="2">
        <v>0</v>
      </c>
      <c r="I987">
        <v>0</v>
      </c>
      <c r="J987">
        <v>15</v>
      </c>
      <c r="K987" cm="1">
        <f t="array" ref="K987">IFERROR(_xlfn.XLOOKUP(D987&amp;A987, RBWR!A:A&amp;RBWR!C:C, RBWR!B:B), "N/A")</f>
        <v>70</v>
      </c>
      <c r="L987" t="str" cm="1">
        <f t="array" ref="L987">IFERROR(_xlfn.XLOOKUP(C987&amp;A987, RYOE!A:A&amp;RYOE!F:F, RYOE!C:C), "N/A")</f>
        <v>N/A</v>
      </c>
      <c r="M987" t="str" cm="1">
        <f t="array" ref="M987">IFERROR(_xlfn.XLOOKUP(C987&amp;A987, RYOE!A:A&amp;RYOE!F:F, RYOE!D:D), "N/A")</f>
        <v>N/A</v>
      </c>
      <c r="N987" t="str" cm="1">
        <f t="array" ref="N987">IFERROR(_xlfn.XLOOKUP(C987&amp;A987, RYOE!A:A&amp;RYOE!F:F, RYOE!E:E), "N/A")</f>
        <v>N/A</v>
      </c>
    </row>
    <row r="988" spans="1:14" ht="15" customHeight="1" x14ac:dyDescent="0.45">
      <c r="A988" s="7">
        <v>2020</v>
      </c>
      <c r="B988" s="5" t="s">
        <v>498</v>
      </c>
      <c r="C988" s="1" t="str">
        <f t="shared" si="30"/>
        <v>Alec Ingold</v>
      </c>
      <c r="D988" s="1" t="str">
        <f t="shared" si="31"/>
        <v>LV</v>
      </c>
      <c r="E988" s="1">
        <v>3</v>
      </c>
      <c r="F988" s="1">
        <v>4</v>
      </c>
      <c r="G988" s="1">
        <v>1.3</v>
      </c>
      <c r="H988" s="1">
        <v>0</v>
      </c>
      <c r="I988">
        <v>0</v>
      </c>
      <c r="J988">
        <v>16</v>
      </c>
      <c r="K988" cm="1">
        <f t="array" ref="K988">IFERROR(_xlfn.XLOOKUP(D988&amp;A988, RBWR!A:A&amp;RBWR!C:C, RBWR!B:B), "N/A")</f>
        <v>69</v>
      </c>
      <c r="L988" t="str" cm="1">
        <f t="array" ref="L988">IFERROR(_xlfn.XLOOKUP(C988&amp;A988, RYOE!A:A&amp;RYOE!F:F, RYOE!C:C), "N/A")</f>
        <v>N/A</v>
      </c>
      <c r="M988" t="str" cm="1">
        <f t="array" ref="M988">IFERROR(_xlfn.XLOOKUP(C988&amp;A988, RYOE!A:A&amp;RYOE!F:F, RYOE!D:D), "N/A")</f>
        <v>N/A</v>
      </c>
      <c r="N988" t="str" cm="1">
        <f t="array" ref="N988">IFERROR(_xlfn.XLOOKUP(C988&amp;A988, RYOE!A:A&amp;RYOE!F:F, RYOE!E:E), "N/A")</f>
        <v>N/A</v>
      </c>
    </row>
    <row r="989" spans="1:14" ht="15" customHeight="1" x14ac:dyDescent="0.45">
      <c r="A989" s="8">
        <v>2020</v>
      </c>
      <c r="B989" s="6" t="s">
        <v>265</v>
      </c>
      <c r="C989" s="2" t="str">
        <f t="shared" si="30"/>
        <v>Trayveon Williams</v>
      </c>
      <c r="D989" s="2" t="str">
        <f t="shared" si="31"/>
        <v>CIN</v>
      </c>
      <c r="E989" s="2">
        <v>26</v>
      </c>
      <c r="F989" s="2">
        <v>157</v>
      </c>
      <c r="G989" s="2">
        <v>6</v>
      </c>
      <c r="H989" s="2">
        <v>0</v>
      </c>
      <c r="I989">
        <v>1</v>
      </c>
      <c r="J989">
        <v>10</v>
      </c>
      <c r="K989" cm="1">
        <f t="array" ref="K989">IFERROR(_xlfn.XLOOKUP(D989&amp;A989, RBWR!A:A&amp;RBWR!C:C, RBWR!B:B), "N/A")</f>
        <v>71</v>
      </c>
      <c r="L989" t="str" cm="1">
        <f t="array" ref="L989">IFERROR(_xlfn.XLOOKUP(C989&amp;A989, RYOE!A:A&amp;RYOE!F:F, RYOE!C:C), "N/A")</f>
        <v>N/A</v>
      </c>
      <c r="M989" t="str" cm="1">
        <f t="array" ref="M989">IFERROR(_xlfn.XLOOKUP(C989&amp;A989, RYOE!A:A&amp;RYOE!F:F, RYOE!D:D), "N/A")</f>
        <v>N/A</v>
      </c>
      <c r="N989" t="str" cm="1">
        <f t="array" ref="N989">IFERROR(_xlfn.XLOOKUP(C989&amp;A989, RYOE!A:A&amp;RYOE!F:F, RYOE!E:E), "N/A")</f>
        <v>N/A</v>
      </c>
    </row>
    <row r="990" spans="1:14" ht="15" customHeight="1" x14ac:dyDescent="0.45">
      <c r="A990" s="7">
        <v>2020</v>
      </c>
      <c r="B990" s="5" t="s">
        <v>346</v>
      </c>
      <c r="C990" s="1" t="str">
        <f t="shared" si="30"/>
        <v>Anthony McFarland Jr.</v>
      </c>
      <c r="D990" s="1" t="str">
        <f t="shared" si="31"/>
        <v>PIT</v>
      </c>
      <c r="E990" s="1">
        <v>33</v>
      </c>
      <c r="F990" s="1">
        <v>113</v>
      </c>
      <c r="G990" s="1">
        <v>3.4</v>
      </c>
      <c r="H990" s="1">
        <v>0</v>
      </c>
      <c r="I990">
        <v>0</v>
      </c>
      <c r="J990">
        <v>11</v>
      </c>
      <c r="K990" cm="1">
        <f t="array" ref="K990">IFERROR(_xlfn.XLOOKUP(D990&amp;A990, RBWR!A:A&amp;RBWR!C:C, RBWR!B:B), "N/A")</f>
        <v>69</v>
      </c>
      <c r="L990" t="str" cm="1">
        <f t="array" ref="L990">IFERROR(_xlfn.XLOOKUP(C990&amp;A990, RYOE!A:A&amp;RYOE!F:F, RYOE!C:C), "N/A")</f>
        <v>N/A</v>
      </c>
      <c r="M990" t="str" cm="1">
        <f t="array" ref="M990">IFERROR(_xlfn.XLOOKUP(C990&amp;A990, RYOE!A:A&amp;RYOE!F:F, RYOE!D:D), "N/A")</f>
        <v>N/A</v>
      </c>
      <c r="N990" t="str" cm="1">
        <f t="array" ref="N990">IFERROR(_xlfn.XLOOKUP(C990&amp;A990, RYOE!A:A&amp;RYOE!F:F, RYOE!E:E), "N/A")</f>
        <v>N/A</v>
      </c>
    </row>
    <row r="991" spans="1:14" ht="15" customHeight="1" x14ac:dyDescent="0.45">
      <c r="A991" s="8">
        <v>2020</v>
      </c>
      <c r="B991" s="6" t="s">
        <v>461</v>
      </c>
      <c r="C991" s="2" t="str">
        <f t="shared" si="30"/>
        <v>D'Onta Foreman</v>
      </c>
      <c r="D991" s="2" t="str">
        <f t="shared" si="31"/>
        <v>TEN</v>
      </c>
      <c r="E991" s="2">
        <v>22</v>
      </c>
      <c r="F991" s="2">
        <v>95</v>
      </c>
      <c r="G991" s="2">
        <v>4.3</v>
      </c>
      <c r="H991" s="2">
        <v>0</v>
      </c>
      <c r="I991">
        <v>0</v>
      </c>
      <c r="J991">
        <v>6</v>
      </c>
      <c r="K991" cm="1">
        <f t="array" ref="K991">IFERROR(_xlfn.XLOOKUP(D991&amp;A991, RBWR!A:A&amp;RBWR!C:C, RBWR!B:B), "N/A")</f>
        <v>70</v>
      </c>
      <c r="L991" t="str" cm="1">
        <f t="array" ref="L991">IFERROR(_xlfn.XLOOKUP(C991&amp;A991, RYOE!A:A&amp;RYOE!F:F, RYOE!C:C), "N/A")</f>
        <v>N/A</v>
      </c>
      <c r="M991" t="str" cm="1">
        <f t="array" ref="M991">IFERROR(_xlfn.XLOOKUP(C991&amp;A991, RYOE!A:A&amp;RYOE!F:F, RYOE!D:D), "N/A")</f>
        <v>N/A</v>
      </c>
      <c r="N991" t="str" cm="1">
        <f t="array" ref="N991">IFERROR(_xlfn.XLOOKUP(C991&amp;A991, RYOE!A:A&amp;RYOE!F:F, RYOE!E:E), "N/A")</f>
        <v>N/A</v>
      </c>
    </row>
    <row r="992" spans="1:14" ht="15" customHeight="1" x14ac:dyDescent="0.45">
      <c r="A992" s="7">
        <v>2020</v>
      </c>
      <c r="B992" s="5" t="s">
        <v>590</v>
      </c>
      <c r="C992" s="1" t="str">
        <f t="shared" si="30"/>
        <v>Corey Clement</v>
      </c>
      <c r="D992" s="1" t="str">
        <f t="shared" si="31"/>
        <v>PHI</v>
      </c>
      <c r="E992" s="1">
        <v>21</v>
      </c>
      <c r="F992" s="1">
        <v>75</v>
      </c>
      <c r="G992" s="1">
        <v>3.6</v>
      </c>
      <c r="H992" s="1">
        <v>1</v>
      </c>
      <c r="I992">
        <v>0</v>
      </c>
      <c r="J992">
        <v>15</v>
      </c>
      <c r="K992" cm="1">
        <f t="array" ref="K992">IFERROR(_xlfn.XLOOKUP(D992&amp;A992, RBWR!A:A&amp;RBWR!C:C, RBWR!B:B), "N/A")</f>
        <v>73</v>
      </c>
      <c r="L992" t="str" cm="1">
        <f t="array" ref="L992">IFERROR(_xlfn.XLOOKUP(C992&amp;A992, RYOE!A:A&amp;RYOE!F:F, RYOE!C:C), "N/A")</f>
        <v>N/A</v>
      </c>
      <c r="M992" t="str" cm="1">
        <f t="array" ref="M992">IFERROR(_xlfn.XLOOKUP(C992&amp;A992, RYOE!A:A&amp;RYOE!F:F, RYOE!D:D), "N/A")</f>
        <v>N/A</v>
      </c>
      <c r="N992" t="str" cm="1">
        <f t="array" ref="N992">IFERROR(_xlfn.XLOOKUP(C992&amp;A992, RYOE!A:A&amp;RYOE!F:F, RYOE!E:E), "N/A")</f>
        <v>N/A</v>
      </c>
    </row>
    <row r="993" spans="1:14" ht="15" customHeight="1" x14ac:dyDescent="0.45">
      <c r="A993" s="8">
        <v>2020</v>
      </c>
      <c r="B993" s="6" t="s">
        <v>591</v>
      </c>
      <c r="C993" s="2" t="str">
        <f t="shared" si="30"/>
        <v>T.J. Yeldon</v>
      </c>
      <c r="D993" s="2" t="str">
        <f t="shared" si="31"/>
        <v>BUF</v>
      </c>
      <c r="E993" s="2">
        <v>10</v>
      </c>
      <c r="F993" s="2">
        <v>70</v>
      </c>
      <c r="G993" s="2">
        <v>7</v>
      </c>
      <c r="H993" s="2">
        <v>0</v>
      </c>
      <c r="I993">
        <v>0</v>
      </c>
      <c r="J993">
        <v>3</v>
      </c>
      <c r="K993" cm="1">
        <f t="array" ref="K993">IFERROR(_xlfn.XLOOKUP(D993&amp;A993, RBWR!A:A&amp;RBWR!C:C, RBWR!B:B), "N/A")</f>
        <v>69</v>
      </c>
      <c r="L993" t="str" cm="1">
        <f t="array" ref="L993">IFERROR(_xlfn.XLOOKUP(C993&amp;A993, RYOE!A:A&amp;RYOE!F:F, RYOE!C:C), "N/A")</f>
        <v>N/A</v>
      </c>
      <c r="M993" t="str" cm="1">
        <f t="array" ref="M993">IFERROR(_xlfn.XLOOKUP(C993&amp;A993, RYOE!A:A&amp;RYOE!F:F, RYOE!D:D), "N/A")</f>
        <v>N/A</v>
      </c>
      <c r="N993" t="str" cm="1">
        <f t="array" ref="N993">IFERROR(_xlfn.XLOOKUP(C993&amp;A993, RYOE!A:A&amp;RYOE!F:F, RYOE!E:E), "N/A")</f>
        <v>N/A</v>
      </c>
    </row>
    <row r="994" spans="1:14" ht="15" customHeight="1" x14ac:dyDescent="0.45">
      <c r="A994" s="7">
        <v>2020</v>
      </c>
      <c r="B994" s="5" t="s">
        <v>515</v>
      </c>
      <c r="C994" s="1" t="str">
        <f t="shared" si="30"/>
        <v>Gabe Nabers</v>
      </c>
      <c r="D994" s="1" t="str">
        <f t="shared" si="31"/>
        <v>LAC</v>
      </c>
      <c r="E994" s="1">
        <v>2</v>
      </c>
      <c r="F994" s="1">
        <v>7</v>
      </c>
      <c r="G994" s="1">
        <v>3.5</v>
      </c>
      <c r="H994" s="1">
        <v>0</v>
      </c>
      <c r="I994">
        <v>0</v>
      </c>
      <c r="J994">
        <v>16</v>
      </c>
      <c r="K994" cm="1">
        <f t="array" ref="K994">IFERROR(_xlfn.XLOOKUP(D994&amp;A994, RBWR!A:A&amp;RBWR!C:C, RBWR!B:B), "N/A")</f>
        <v>67</v>
      </c>
      <c r="L994" t="str" cm="1">
        <f t="array" ref="L994">IFERROR(_xlfn.XLOOKUP(C994&amp;A994, RYOE!A:A&amp;RYOE!F:F, RYOE!C:C), "N/A")</f>
        <v>N/A</v>
      </c>
      <c r="M994" t="str" cm="1">
        <f t="array" ref="M994">IFERROR(_xlfn.XLOOKUP(C994&amp;A994, RYOE!A:A&amp;RYOE!F:F, RYOE!D:D), "N/A")</f>
        <v>N/A</v>
      </c>
      <c r="N994" t="str" cm="1">
        <f t="array" ref="N994">IFERROR(_xlfn.XLOOKUP(C994&amp;A994, RYOE!A:A&amp;RYOE!F:F, RYOE!E:E), "N/A")</f>
        <v>N/A</v>
      </c>
    </row>
    <row r="995" spans="1:14" ht="15" customHeight="1" x14ac:dyDescent="0.45">
      <c r="A995" s="8">
        <v>2020</v>
      </c>
      <c r="B995" s="6" t="s">
        <v>592</v>
      </c>
      <c r="C995" s="2" t="str">
        <f t="shared" si="30"/>
        <v>Tyler Ervin</v>
      </c>
      <c r="D995" s="2" t="str">
        <f t="shared" si="31"/>
        <v>GB</v>
      </c>
      <c r="E995" s="2">
        <v>13</v>
      </c>
      <c r="F995" s="2">
        <v>67</v>
      </c>
      <c r="G995" s="2">
        <v>5.2</v>
      </c>
      <c r="H995" s="2">
        <v>0</v>
      </c>
      <c r="I995">
        <v>0</v>
      </c>
      <c r="J995">
        <v>8</v>
      </c>
      <c r="K995" cm="1">
        <f t="array" ref="K995">IFERROR(_xlfn.XLOOKUP(D995&amp;A995, RBWR!A:A&amp;RBWR!C:C, RBWR!B:B), "N/A")</f>
        <v>74</v>
      </c>
      <c r="L995" t="str" cm="1">
        <f t="array" ref="L995">IFERROR(_xlfn.XLOOKUP(C995&amp;A995, RYOE!A:A&amp;RYOE!F:F, RYOE!C:C), "N/A")</f>
        <v>N/A</v>
      </c>
      <c r="M995" t="str" cm="1">
        <f t="array" ref="M995">IFERROR(_xlfn.XLOOKUP(C995&amp;A995, RYOE!A:A&amp;RYOE!F:F, RYOE!D:D), "N/A")</f>
        <v>N/A</v>
      </c>
      <c r="N995" t="str" cm="1">
        <f t="array" ref="N995">IFERROR(_xlfn.XLOOKUP(C995&amp;A995, RYOE!A:A&amp;RYOE!F:F, RYOE!E:E), "N/A")</f>
        <v>N/A</v>
      </c>
    </row>
    <row r="996" spans="1:14" ht="15" customHeight="1" x14ac:dyDescent="0.45">
      <c r="A996" s="7">
        <v>2020</v>
      </c>
      <c r="B996" s="5" t="s">
        <v>521</v>
      </c>
      <c r="C996" s="1" t="str">
        <f t="shared" si="30"/>
        <v>Reggie Bonnafon</v>
      </c>
      <c r="D996" s="1" t="str">
        <f t="shared" si="31"/>
        <v>CAR</v>
      </c>
      <c r="E996" s="1">
        <v>12</v>
      </c>
      <c r="F996" s="1">
        <v>69</v>
      </c>
      <c r="G996" s="1">
        <v>5.8</v>
      </c>
      <c r="H996" s="1">
        <v>0</v>
      </c>
      <c r="I996">
        <v>0</v>
      </c>
      <c r="J996">
        <v>2</v>
      </c>
      <c r="K996" cm="1">
        <f t="array" ref="K996">IFERROR(_xlfn.XLOOKUP(D996&amp;A996, RBWR!A:A&amp;RBWR!C:C, RBWR!B:B), "N/A")</f>
        <v>72</v>
      </c>
      <c r="L996" t="str" cm="1">
        <f t="array" ref="L996">IFERROR(_xlfn.XLOOKUP(C996&amp;A996, RYOE!A:A&amp;RYOE!F:F, RYOE!C:C), "N/A")</f>
        <v>N/A</v>
      </c>
      <c r="M996" t="str" cm="1">
        <f t="array" ref="M996">IFERROR(_xlfn.XLOOKUP(C996&amp;A996, RYOE!A:A&amp;RYOE!F:F, RYOE!D:D), "N/A")</f>
        <v>N/A</v>
      </c>
      <c r="N996" t="str" cm="1">
        <f t="array" ref="N996">IFERROR(_xlfn.XLOOKUP(C996&amp;A996, RYOE!A:A&amp;RYOE!F:F, RYOE!E:E), "N/A")</f>
        <v>N/A</v>
      </c>
    </row>
    <row r="997" spans="1:14" ht="15" customHeight="1" x14ac:dyDescent="0.45">
      <c r="A997" s="8">
        <v>2020</v>
      </c>
      <c r="B997" s="6" t="s">
        <v>520</v>
      </c>
      <c r="C997" s="2" t="str">
        <f t="shared" si="30"/>
        <v>Darrynton Evans</v>
      </c>
      <c r="D997" s="2" t="str">
        <f t="shared" si="31"/>
        <v>TEN</v>
      </c>
      <c r="E997" s="2">
        <v>14</v>
      </c>
      <c r="F997" s="2">
        <v>54</v>
      </c>
      <c r="G997" s="2">
        <v>3.9</v>
      </c>
      <c r="H997" s="2">
        <v>0</v>
      </c>
      <c r="I997">
        <v>0</v>
      </c>
      <c r="J997">
        <v>5</v>
      </c>
      <c r="K997" cm="1">
        <f t="array" ref="K997">IFERROR(_xlfn.XLOOKUP(D997&amp;A997, RBWR!A:A&amp;RBWR!C:C, RBWR!B:B), "N/A")</f>
        <v>70</v>
      </c>
      <c r="L997" t="str" cm="1">
        <f t="array" ref="L997">IFERROR(_xlfn.XLOOKUP(C997&amp;A997, RYOE!A:A&amp;RYOE!F:F, RYOE!C:C), "N/A")</f>
        <v>N/A</v>
      </c>
      <c r="M997" t="str" cm="1">
        <f t="array" ref="M997">IFERROR(_xlfn.XLOOKUP(C997&amp;A997, RYOE!A:A&amp;RYOE!F:F, RYOE!D:D), "N/A")</f>
        <v>N/A</v>
      </c>
      <c r="N997" t="str" cm="1">
        <f t="array" ref="N997">IFERROR(_xlfn.XLOOKUP(C997&amp;A997, RYOE!A:A&amp;RYOE!F:F, RYOE!E:E), "N/A")</f>
        <v>N/A</v>
      </c>
    </row>
    <row r="998" spans="1:14" ht="15" customHeight="1" x14ac:dyDescent="0.45">
      <c r="A998" s="7">
        <v>2020</v>
      </c>
      <c r="B998" s="5" t="s">
        <v>593</v>
      </c>
      <c r="C998" s="1" t="str">
        <f t="shared" si="30"/>
        <v>LeSean McCoy</v>
      </c>
      <c r="D998" s="1" t="str">
        <f t="shared" si="31"/>
        <v>TB</v>
      </c>
      <c r="E998" s="1">
        <v>10</v>
      </c>
      <c r="F998" s="1">
        <v>31</v>
      </c>
      <c r="G998" s="1">
        <v>3.1</v>
      </c>
      <c r="H998" s="1">
        <v>0</v>
      </c>
      <c r="I998">
        <v>0</v>
      </c>
      <c r="J998">
        <v>10</v>
      </c>
      <c r="K998" cm="1">
        <f t="array" ref="K998">IFERROR(_xlfn.XLOOKUP(D998&amp;A998, RBWR!A:A&amp;RBWR!C:C, RBWR!B:B), "N/A")</f>
        <v>70</v>
      </c>
      <c r="L998" t="str" cm="1">
        <f t="array" ref="L998">IFERROR(_xlfn.XLOOKUP(C998&amp;A998, RYOE!A:A&amp;RYOE!F:F, RYOE!C:C), "N/A")</f>
        <v>N/A</v>
      </c>
      <c r="M998" t="str" cm="1">
        <f t="array" ref="M998">IFERROR(_xlfn.XLOOKUP(C998&amp;A998, RYOE!A:A&amp;RYOE!F:F, RYOE!D:D), "N/A")</f>
        <v>N/A</v>
      </c>
      <c r="N998" t="str" cm="1">
        <f t="array" ref="N998">IFERROR(_xlfn.XLOOKUP(C998&amp;A998, RYOE!A:A&amp;RYOE!F:F, RYOE!E:E), "N/A")</f>
        <v>N/A</v>
      </c>
    </row>
    <row r="999" spans="1:14" ht="15" customHeight="1" x14ac:dyDescent="0.45">
      <c r="A999" s="8">
        <v>2020</v>
      </c>
      <c r="B999" s="6" t="s">
        <v>594</v>
      </c>
      <c r="C999" s="2" t="str">
        <f t="shared" si="30"/>
        <v>Mike Boone</v>
      </c>
      <c r="D999" s="2" t="str">
        <f t="shared" si="31"/>
        <v>MIN</v>
      </c>
      <c r="E999" s="2">
        <v>11</v>
      </c>
      <c r="F999" s="2">
        <v>59</v>
      </c>
      <c r="G999" s="2">
        <v>5.4</v>
      </c>
      <c r="H999" s="2">
        <v>1</v>
      </c>
      <c r="I999">
        <v>0</v>
      </c>
      <c r="J999">
        <v>16</v>
      </c>
      <c r="K999" cm="1">
        <f t="array" ref="K999">IFERROR(_xlfn.XLOOKUP(D999&amp;A999, RBWR!A:A&amp;RBWR!C:C, RBWR!B:B), "N/A")</f>
        <v>70</v>
      </c>
      <c r="L999" t="str" cm="1">
        <f t="array" ref="L999">IFERROR(_xlfn.XLOOKUP(C999&amp;A999, RYOE!A:A&amp;RYOE!F:F, RYOE!C:C), "N/A")</f>
        <v>N/A</v>
      </c>
      <c r="M999" t="str" cm="1">
        <f t="array" ref="M999">IFERROR(_xlfn.XLOOKUP(C999&amp;A999, RYOE!A:A&amp;RYOE!F:F, RYOE!D:D), "N/A")</f>
        <v>N/A</v>
      </c>
      <c r="N999" t="str" cm="1">
        <f t="array" ref="N999">IFERROR(_xlfn.XLOOKUP(C999&amp;A999, RYOE!A:A&amp;RYOE!F:F, RYOE!E:E), "N/A")</f>
        <v>N/A</v>
      </c>
    </row>
    <row r="1000" spans="1:14" ht="15" customHeight="1" x14ac:dyDescent="0.45">
      <c r="A1000" s="7">
        <v>2020</v>
      </c>
      <c r="B1000" s="5" t="s">
        <v>499</v>
      </c>
      <c r="C1000" s="1" t="str">
        <f t="shared" si="30"/>
        <v>Ty Montgomery II</v>
      </c>
      <c r="D1000" s="1" t="str">
        <f t="shared" si="31"/>
        <v>NO</v>
      </c>
      <c r="E1000" s="1">
        <v>19</v>
      </c>
      <c r="F1000" s="1">
        <v>101</v>
      </c>
      <c r="G1000" s="1">
        <v>5.3</v>
      </c>
      <c r="H1000" s="1">
        <v>0</v>
      </c>
      <c r="I1000">
        <v>0</v>
      </c>
      <c r="J1000">
        <v>6</v>
      </c>
      <c r="K1000" cm="1">
        <f t="array" ref="K1000">IFERROR(_xlfn.XLOOKUP(D1000&amp;A1000, RBWR!A:A&amp;RBWR!C:C, RBWR!B:B), "N/A")</f>
        <v>72</v>
      </c>
      <c r="L1000" t="str" cm="1">
        <f t="array" ref="L1000">IFERROR(_xlfn.XLOOKUP(C1000&amp;A1000, RYOE!A:A&amp;RYOE!F:F, RYOE!C:C), "N/A")</f>
        <v>N/A</v>
      </c>
      <c r="M1000" t="str" cm="1">
        <f t="array" ref="M1000">IFERROR(_xlfn.XLOOKUP(C1000&amp;A1000, RYOE!A:A&amp;RYOE!F:F, RYOE!D:D), "N/A")</f>
        <v>N/A</v>
      </c>
      <c r="N1000" t="str" cm="1">
        <f t="array" ref="N1000">IFERROR(_xlfn.XLOOKUP(C1000&amp;A1000, RYOE!A:A&amp;RYOE!F:F, RYOE!E:E), "N/A")</f>
        <v>N/A</v>
      </c>
    </row>
    <row r="1001" spans="1:14" ht="15" customHeight="1" x14ac:dyDescent="0.45">
      <c r="A1001" s="8">
        <v>2020</v>
      </c>
      <c r="B1001" s="6" t="s">
        <v>527</v>
      </c>
      <c r="C1001" s="2" t="str">
        <f t="shared" si="30"/>
        <v>Ryan Nall</v>
      </c>
      <c r="D1001" s="2" t="str">
        <f t="shared" si="31"/>
        <v>CHI</v>
      </c>
      <c r="E1001" s="2">
        <v>3</v>
      </c>
      <c r="F1001" s="2">
        <v>0</v>
      </c>
      <c r="G1001" s="2">
        <v>0</v>
      </c>
      <c r="H1001" s="2">
        <v>0</v>
      </c>
      <c r="I1001">
        <v>0</v>
      </c>
      <c r="J1001">
        <v>15</v>
      </c>
      <c r="K1001" cm="1">
        <f t="array" ref="K1001">IFERROR(_xlfn.XLOOKUP(D1001&amp;A1001, RBWR!A:A&amp;RBWR!C:C, RBWR!B:B), "N/A")</f>
        <v>71</v>
      </c>
      <c r="L1001" t="str" cm="1">
        <f t="array" ref="L1001">IFERROR(_xlfn.XLOOKUP(C1001&amp;A1001, RYOE!A:A&amp;RYOE!F:F, RYOE!C:C), "N/A")</f>
        <v>N/A</v>
      </c>
      <c r="M1001" t="str" cm="1">
        <f t="array" ref="M1001">IFERROR(_xlfn.XLOOKUP(C1001&amp;A1001, RYOE!A:A&amp;RYOE!F:F, RYOE!D:D), "N/A")</f>
        <v>N/A</v>
      </c>
      <c r="N1001" t="str" cm="1">
        <f t="array" ref="N1001">IFERROR(_xlfn.XLOOKUP(C1001&amp;A1001, RYOE!A:A&amp;RYOE!F:F, RYOE!E:E), "N/A")</f>
        <v>N/A</v>
      </c>
    </row>
    <row r="1002" spans="1:14" ht="15" customHeight="1" x14ac:dyDescent="0.45">
      <c r="A1002" s="7">
        <v>2020</v>
      </c>
      <c r="B1002" s="5" t="s">
        <v>595</v>
      </c>
      <c r="C1002" s="1" t="str">
        <f t="shared" si="30"/>
        <v>DeAndre Washington</v>
      </c>
      <c r="D1002" s="1" t="str">
        <f t="shared" si="31"/>
        <v>MIA</v>
      </c>
      <c r="E1002" s="1">
        <v>31</v>
      </c>
      <c r="F1002" s="1">
        <v>91</v>
      </c>
      <c r="G1002" s="1">
        <v>2.9</v>
      </c>
      <c r="H1002" s="1">
        <v>0</v>
      </c>
      <c r="I1002">
        <v>0</v>
      </c>
      <c r="J1002">
        <v>4</v>
      </c>
      <c r="K1002" cm="1">
        <f t="array" ref="K1002">IFERROR(_xlfn.XLOOKUP(D1002&amp;A1002, RBWR!A:A&amp;RBWR!C:C, RBWR!B:B), "N/A")</f>
        <v>69</v>
      </c>
      <c r="L1002" t="str" cm="1">
        <f t="array" ref="L1002">IFERROR(_xlfn.XLOOKUP(C1002&amp;A1002, RYOE!A:A&amp;RYOE!F:F, RYOE!C:C), "N/A")</f>
        <v>N/A</v>
      </c>
      <c r="M1002" t="str" cm="1">
        <f t="array" ref="M1002">IFERROR(_xlfn.XLOOKUP(C1002&amp;A1002, RYOE!A:A&amp;RYOE!F:F, RYOE!D:D), "N/A")</f>
        <v>N/A</v>
      </c>
      <c r="N1002" t="str" cm="1">
        <f t="array" ref="N1002">IFERROR(_xlfn.XLOOKUP(C1002&amp;A1002, RYOE!A:A&amp;RYOE!F:F, RYOE!E:E), "N/A")</f>
        <v>N/A</v>
      </c>
    </row>
    <row r="1003" spans="1:14" ht="15" customHeight="1" x14ac:dyDescent="0.45">
      <c r="A1003" s="8">
        <v>2020</v>
      </c>
      <c r="B1003" s="6" t="s">
        <v>518</v>
      </c>
      <c r="C1003" s="2" t="str">
        <f t="shared" si="30"/>
        <v>Patrick Laird</v>
      </c>
      <c r="D1003" s="2" t="str">
        <f t="shared" si="31"/>
        <v>MIA</v>
      </c>
      <c r="E1003" s="2">
        <v>13</v>
      </c>
      <c r="F1003" s="2">
        <v>72</v>
      </c>
      <c r="G1003" s="2">
        <v>5.5</v>
      </c>
      <c r="H1003" s="2">
        <v>0</v>
      </c>
      <c r="I1003">
        <v>1</v>
      </c>
      <c r="J1003">
        <v>16</v>
      </c>
      <c r="K1003" cm="1">
        <f t="array" ref="K1003">IFERROR(_xlfn.XLOOKUP(D1003&amp;A1003, RBWR!A:A&amp;RBWR!C:C, RBWR!B:B), "N/A")</f>
        <v>69</v>
      </c>
      <c r="L1003" t="str" cm="1">
        <f t="array" ref="L1003">IFERROR(_xlfn.XLOOKUP(C1003&amp;A1003, RYOE!A:A&amp;RYOE!F:F, RYOE!C:C), "N/A")</f>
        <v>N/A</v>
      </c>
      <c r="M1003" t="str" cm="1">
        <f t="array" ref="M1003">IFERROR(_xlfn.XLOOKUP(C1003&amp;A1003, RYOE!A:A&amp;RYOE!F:F, RYOE!D:D), "N/A")</f>
        <v>N/A</v>
      </c>
      <c r="N1003" t="str" cm="1">
        <f t="array" ref="N1003">IFERROR(_xlfn.XLOOKUP(C1003&amp;A1003, RYOE!A:A&amp;RYOE!F:F, RYOE!E:E), "N/A")</f>
        <v>N/A</v>
      </c>
    </row>
    <row r="1004" spans="1:14" ht="15" customHeight="1" x14ac:dyDescent="0.45">
      <c r="A1004" s="7">
        <v>2020</v>
      </c>
      <c r="B1004" s="5" t="s">
        <v>596</v>
      </c>
      <c r="C1004" s="1" t="str">
        <f t="shared" si="30"/>
        <v>Troymaine Pope</v>
      </c>
      <c r="D1004" s="1" t="str">
        <f t="shared" si="31"/>
        <v>LAC</v>
      </c>
      <c r="E1004" s="1">
        <v>15</v>
      </c>
      <c r="F1004" s="1">
        <v>76</v>
      </c>
      <c r="G1004" s="1">
        <v>5.0999999999999996</v>
      </c>
      <c r="H1004" s="1">
        <v>0</v>
      </c>
      <c r="I1004">
        <v>0</v>
      </c>
      <c r="J1004">
        <v>6</v>
      </c>
      <c r="K1004" cm="1">
        <f t="array" ref="K1004">IFERROR(_xlfn.XLOOKUP(D1004&amp;A1004, RBWR!A:A&amp;RBWR!C:C, RBWR!B:B), "N/A")</f>
        <v>67</v>
      </c>
      <c r="L1004" t="str" cm="1">
        <f t="array" ref="L1004">IFERROR(_xlfn.XLOOKUP(C1004&amp;A1004, RYOE!A:A&amp;RYOE!F:F, RYOE!C:C), "N/A")</f>
        <v>N/A</v>
      </c>
      <c r="M1004" t="str" cm="1">
        <f t="array" ref="M1004">IFERROR(_xlfn.XLOOKUP(C1004&amp;A1004, RYOE!A:A&amp;RYOE!F:F, RYOE!D:D), "N/A")</f>
        <v>N/A</v>
      </c>
      <c r="N1004" t="str" cm="1">
        <f t="array" ref="N1004">IFERROR(_xlfn.XLOOKUP(C1004&amp;A1004, RYOE!A:A&amp;RYOE!F:F, RYOE!E:E), "N/A")</f>
        <v>N/A</v>
      </c>
    </row>
    <row r="1005" spans="1:14" ht="15" customHeight="1" x14ac:dyDescent="0.45">
      <c r="A1005" s="8">
        <v>2020</v>
      </c>
      <c r="B1005" s="6" t="s">
        <v>533</v>
      </c>
      <c r="C1005" s="2" t="str">
        <f t="shared" si="30"/>
        <v>Tarik Cohen</v>
      </c>
      <c r="D1005" s="2" t="str">
        <f t="shared" si="31"/>
        <v>CHI</v>
      </c>
      <c r="E1005" s="2">
        <v>14</v>
      </c>
      <c r="F1005" s="2">
        <v>74</v>
      </c>
      <c r="G1005" s="2">
        <v>5.3</v>
      </c>
      <c r="H1005" s="2">
        <v>0</v>
      </c>
      <c r="I1005">
        <v>0</v>
      </c>
      <c r="J1005">
        <v>3</v>
      </c>
      <c r="K1005" cm="1">
        <f t="array" ref="K1005">IFERROR(_xlfn.XLOOKUP(D1005&amp;A1005, RBWR!A:A&amp;RBWR!C:C, RBWR!B:B), "N/A")</f>
        <v>71</v>
      </c>
      <c r="L1005" t="str" cm="1">
        <f t="array" ref="L1005">IFERROR(_xlfn.XLOOKUP(C1005&amp;A1005, RYOE!A:A&amp;RYOE!F:F, RYOE!C:C), "N/A")</f>
        <v>N/A</v>
      </c>
      <c r="M1005" t="str" cm="1">
        <f t="array" ref="M1005">IFERROR(_xlfn.XLOOKUP(C1005&amp;A1005, RYOE!A:A&amp;RYOE!F:F, RYOE!D:D), "N/A")</f>
        <v>N/A</v>
      </c>
      <c r="N1005" t="str" cm="1">
        <f t="array" ref="N1005">IFERROR(_xlfn.XLOOKUP(C1005&amp;A1005, RYOE!A:A&amp;RYOE!F:F, RYOE!E:E), "N/A")</f>
        <v>N/A</v>
      </c>
    </row>
    <row r="1006" spans="1:14" ht="15" customHeight="1" x14ac:dyDescent="0.45">
      <c r="A1006" s="7">
        <v>2020</v>
      </c>
      <c r="B1006" s="5" t="s">
        <v>428</v>
      </c>
      <c r="C1006" s="1" t="str">
        <f t="shared" si="30"/>
        <v>J.J. Taylor</v>
      </c>
      <c r="D1006" s="1" t="str">
        <f t="shared" si="31"/>
        <v>NE</v>
      </c>
      <c r="E1006" s="1">
        <v>23</v>
      </c>
      <c r="F1006" s="1">
        <v>110</v>
      </c>
      <c r="G1006" s="1">
        <v>4.8</v>
      </c>
      <c r="H1006" s="1">
        <v>0</v>
      </c>
      <c r="I1006">
        <v>0</v>
      </c>
      <c r="J1006">
        <v>6</v>
      </c>
      <c r="K1006" cm="1">
        <f t="array" ref="K1006">IFERROR(_xlfn.XLOOKUP(D1006&amp;A1006, RBWR!A:A&amp;RBWR!C:C, RBWR!B:B), "N/A")</f>
        <v>72</v>
      </c>
      <c r="L1006" t="str" cm="1">
        <f t="array" ref="L1006">IFERROR(_xlfn.XLOOKUP(C1006&amp;A1006, RYOE!A:A&amp;RYOE!F:F, RYOE!C:C), "N/A")</f>
        <v>N/A</v>
      </c>
      <c r="M1006" t="str" cm="1">
        <f t="array" ref="M1006">IFERROR(_xlfn.XLOOKUP(C1006&amp;A1006, RYOE!A:A&amp;RYOE!F:F, RYOE!D:D), "N/A")</f>
        <v>N/A</v>
      </c>
      <c r="N1006" t="str" cm="1">
        <f t="array" ref="N1006">IFERROR(_xlfn.XLOOKUP(C1006&amp;A1006, RYOE!A:A&amp;RYOE!F:F, RYOE!E:E), "N/A")</f>
        <v>N/A</v>
      </c>
    </row>
    <row r="1007" spans="1:14" ht="15" customHeight="1" x14ac:dyDescent="0.45">
      <c r="A1007" s="8">
        <v>2020</v>
      </c>
      <c r="B1007" s="6" t="s">
        <v>513</v>
      </c>
      <c r="C1007" s="2" t="str">
        <f t="shared" si="30"/>
        <v>Jakob Johnson</v>
      </c>
      <c r="D1007" s="2" t="str">
        <f t="shared" si="31"/>
        <v>NE</v>
      </c>
      <c r="E1007" s="2">
        <v>0</v>
      </c>
      <c r="F1007" s="2">
        <v>0</v>
      </c>
      <c r="G1007" s="2">
        <v>0</v>
      </c>
      <c r="H1007" s="2">
        <v>0</v>
      </c>
      <c r="I1007">
        <v>0</v>
      </c>
      <c r="J1007">
        <v>16</v>
      </c>
      <c r="K1007" cm="1">
        <f t="array" ref="K1007">IFERROR(_xlfn.XLOOKUP(D1007&amp;A1007, RBWR!A:A&amp;RBWR!C:C, RBWR!B:B), "N/A")</f>
        <v>72</v>
      </c>
      <c r="L1007" t="str" cm="1">
        <f t="array" ref="L1007">IFERROR(_xlfn.XLOOKUP(C1007&amp;A1007, RYOE!A:A&amp;RYOE!F:F, RYOE!C:C), "N/A")</f>
        <v>N/A</v>
      </c>
      <c r="M1007" t="str" cm="1">
        <f t="array" ref="M1007">IFERROR(_xlfn.XLOOKUP(C1007&amp;A1007, RYOE!A:A&amp;RYOE!F:F, RYOE!D:D), "N/A")</f>
        <v>N/A</v>
      </c>
      <c r="N1007" t="str" cm="1">
        <f t="array" ref="N1007">IFERROR(_xlfn.XLOOKUP(C1007&amp;A1007, RYOE!A:A&amp;RYOE!F:F, RYOE!E:E), "N/A")</f>
        <v>N/A</v>
      </c>
    </row>
    <row r="1008" spans="1:14" ht="15" customHeight="1" x14ac:dyDescent="0.45">
      <c r="A1008" s="7">
        <v>2020</v>
      </c>
      <c r="B1008" s="5" t="s">
        <v>283</v>
      </c>
      <c r="C1008" s="1" t="str">
        <f t="shared" si="30"/>
        <v>Saquon Barkley</v>
      </c>
      <c r="D1008" s="1" t="str">
        <f t="shared" si="31"/>
        <v>NYG</v>
      </c>
      <c r="E1008" s="1">
        <v>19</v>
      </c>
      <c r="F1008" s="1">
        <v>34</v>
      </c>
      <c r="G1008" s="1">
        <v>1.8</v>
      </c>
      <c r="H1008" s="1">
        <v>0</v>
      </c>
      <c r="I1008">
        <v>0</v>
      </c>
      <c r="J1008">
        <v>2</v>
      </c>
      <c r="K1008" cm="1">
        <f t="array" ref="K1008">IFERROR(_xlfn.XLOOKUP(D1008&amp;A1008, RBWR!A:A&amp;RBWR!C:C, RBWR!B:B), "N/A")</f>
        <v>70</v>
      </c>
      <c r="L1008" t="str" cm="1">
        <f t="array" ref="L1008">IFERROR(_xlfn.XLOOKUP(C1008&amp;A1008, RYOE!A:A&amp;RYOE!F:F, RYOE!C:C), "N/A")</f>
        <v>N/A</v>
      </c>
      <c r="M1008" t="str" cm="1">
        <f t="array" ref="M1008">IFERROR(_xlfn.XLOOKUP(C1008&amp;A1008, RYOE!A:A&amp;RYOE!F:F, RYOE!D:D), "N/A")</f>
        <v>N/A</v>
      </c>
      <c r="N1008" t="str" cm="1">
        <f t="array" ref="N1008">IFERROR(_xlfn.XLOOKUP(C1008&amp;A1008, RYOE!A:A&amp;RYOE!F:F, RYOE!E:E), "N/A")</f>
        <v>N/A</v>
      </c>
    </row>
    <row r="1009" spans="1:14" ht="15" customHeight="1" x14ac:dyDescent="0.45">
      <c r="A1009" s="8">
        <v>2020</v>
      </c>
      <c r="B1009" s="6" t="s">
        <v>543</v>
      </c>
      <c r="C1009" s="2" t="str">
        <f t="shared" si="30"/>
        <v>Artavis Pierce</v>
      </c>
      <c r="D1009" s="2" t="str">
        <f t="shared" si="31"/>
        <v>CHI</v>
      </c>
      <c r="E1009" s="2">
        <v>6</v>
      </c>
      <c r="F1009" s="2">
        <v>34</v>
      </c>
      <c r="G1009" s="2">
        <v>5.7</v>
      </c>
      <c r="H1009" s="2">
        <v>1</v>
      </c>
      <c r="I1009">
        <v>0</v>
      </c>
      <c r="J1009">
        <v>5</v>
      </c>
      <c r="K1009" cm="1">
        <f t="array" ref="K1009">IFERROR(_xlfn.XLOOKUP(D1009&amp;A1009, RBWR!A:A&amp;RBWR!C:C, RBWR!B:B), "N/A")</f>
        <v>71</v>
      </c>
      <c r="L1009" t="str" cm="1">
        <f t="array" ref="L1009">IFERROR(_xlfn.XLOOKUP(C1009&amp;A1009, RYOE!A:A&amp;RYOE!F:F, RYOE!C:C), "N/A")</f>
        <v>N/A</v>
      </c>
      <c r="M1009" t="str" cm="1">
        <f t="array" ref="M1009">IFERROR(_xlfn.XLOOKUP(C1009&amp;A1009, RYOE!A:A&amp;RYOE!F:F, RYOE!D:D), "N/A")</f>
        <v>N/A</v>
      </c>
      <c r="N1009" t="str" cm="1">
        <f t="array" ref="N1009">IFERROR(_xlfn.XLOOKUP(C1009&amp;A1009, RYOE!A:A&amp;RYOE!F:F, RYOE!E:E), "N/A")</f>
        <v>N/A</v>
      </c>
    </row>
    <row r="1010" spans="1:14" ht="15" customHeight="1" x14ac:dyDescent="0.45">
      <c r="A1010" s="7">
        <v>2020</v>
      </c>
      <c r="B1010" s="5" t="s">
        <v>402</v>
      </c>
      <c r="C1010" s="1" t="str">
        <f t="shared" si="30"/>
        <v>Tevin Coleman</v>
      </c>
      <c r="D1010" s="1" t="str">
        <f t="shared" si="31"/>
        <v>SF</v>
      </c>
      <c r="E1010" s="1">
        <v>28</v>
      </c>
      <c r="F1010" s="1">
        <v>53</v>
      </c>
      <c r="G1010" s="1">
        <v>1.9</v>
      </c>
      <c r="H1010" s="1">
        <v>0</v>
      </c>
      <c r="I1010">
        <v>0</v>
      </c>
      <c r="J1010">
        <v>8</v>
      </c>
      <c r="K1010" cm="1">
        <f t="array" ref="K1010">IFERROR(_xlfn.XLOOKUP(D1010&amp;A1010, RBWR!A:A&amp;RBWR!C:C, RBWR!B:B), "N/A")</f>
        <v>69</v>
      </c>
      <c r="L1010" t="str" cm="1">
        <f t="array" ref="L1010">IFERROR(_xlfn.XLOOKUP(C1010&amp;A1010, RYOE!A:A&amp;RYOE!F:F, RYOE!C:C), "N/A")</f>
        <v>N/A</v>
      </c>
      <c r="M1010" t="str" cm="1">
        <f t="array" ref="M1010">IFERROR(_xlfn.XLOOKUP(C1010&amp;A1010, RYOE!A:A&amp;RYOE!F:F, RYOE!D:D), "N/A")</f>
        <v>N/A</v>
      </c>
      <c r="N1010" t="str" cm="1">
        <f t="array" ref="N1010">IFERROR(_xlfn.XLOOKUP(C1010&amp;A1010, RYOE!A:A&amp;RYOE!F:F, RYOE!E:E), "N/A")</f>
        <v>N/A</v>
      </c>
    </row>
    <row r="1011" spans="1:14" ht="15" customHeight="1" x14ac:dyDescent="0.45">
      <c r="A1011" s="8">
        <v>2020</v>
      </c>
      <c r="B1011" s="6" t="s">
        <v>173</v>
      </c>
      <c r="C1011" s="2" t="str">
        <f t="shared" si="30"/>
        <v>Patrick Ricard</v>
      </c>
      <c r="D1011" s="2" t="str">
        <f t="shared" si="31"/>
        <v>BAL</v>
      </c>
      <c r="E1011" s="2">
        <v>1</v>
      </c>
      <c r="F1011" s="2">
        <v>-1</v>
      </c>
      <c r="G1011" s="2">
        <v>-1</v>
      </c>
      <c r="H1011" s="2">
        <v>0</v>
      </c>
      <c r="I1011">
        <v>1</v>
      </c>
      <c r="J1011">
        <v>15</v>
      </c>
      <c r="K1011" cm="1">
        <f t="array" ref="K1011">IFERROR(_xlfn.XLOOKUP(D1011&amp;A1011, RBWR!A:A&amp;RBWR!C:C, RBWR!B:B), "N/A")</f>
        <v>73</v>
      </c>
      <c r="L1011" t="str" cm="1">
        <f t="array" ref="L1011">IFERROR(_xlfn.XLOOKUP(C1011&amp;A1011, RYOE!A:A&amp;RYOE!F:F, RYOE!C:C), "N/A")</f>
        <v>N/A</v>
      </c>
      <c r="M1011" t="str" cm="1">
        <f t="array" ref="M1011">IFERROR(_xlfn.XLOOKUP(C1011&amp;A1011, RYOE!A:A&amp;RYOE!F:F, RYOE!D:D), "N/A")</f>
        <v>N/A</v>
      </c>
      <c r="N1011" t="str" cm="1">
        <f t="array" ref="N1011">IFERROR(_xlfn.XLOOKUP(C1011&amp;A1011, RYOE!A:A&amp;RYOE!F:F, RYOE!E:E), "N/A")</f>
        <v>N/A</v>
      </c>
    </row>
    <row r="1012" spans="1:14" ht="15" customHeight="1" x14ac:dyDescent="0.45">
      <c r="A1012" s="7">
        <v>2020</v>
      </c>
      <c r="B1012" s="5" t="s">
        <v>118</v>
      </c>
      <c r="C1012" s="1" t="str">
        <f t="shared" si="30"/>
        <v>Justice Hill</v>
      </c>
      <c r="D1012" s="1" t="str">
        <f t="shared" si="31"/>
        <v>BAL</v>
      </c>
      <c r="E1012" s="1">
        <v>12</v>
      </c>
      <c r="F1012" s="1">
        <v>60</v>
      </c>
      <c r="G1012" s="1">
        <v>5</v>
      </c>
      <c r="H1012" s="1">
        <v>0</v>
      </c>
      <c r="I1012">
        <v>0</v>
      </c>
      <c r="J1012">
        <v>12</v>
      </c>
      <c r="K1012" cm="1">
        <f t="array" ref="K1012">IFERROR(_xlfn.XLOOKUP(D1012&amp;A1012, RBWR!A:A&amp;RBWR!C:C, RBWR!B:B), "N/A")</f>
        <v>73</v>
      </c>
      <c r="L1012" t="str" cm="1">
        <f t="array" ref="L1012">IFERROR(_xlfn.XLOOKUP(C1012&amp;A1012, RYOE!A:A&amp;RYOE!F:F, RYOE!C:C), "N/A")</f>
        <v>N/A</v>
      </c>
      <c r="M1012" t="str" cm="1">
        <f t="array" ref="M1012">IFERROR(_xlfn.XLOOKUP(C1012&amp;A1012, RYOE!A:A&amp;RYOE!F:F, RYOE!D:D), "N/A")</f>
        <v>N/A</v>
      </c>
      <c r="N1012" t="str" cm="1">
        <f t="array" ref="N1012">IFERROR(_xlfn.XLOOKUP(C1012&amp;A1012, RYOE!A:A&amp;RYOE!F:F, RYOE!E:E), "N/A")</f>
        <v>N/A</v>
      </c>
    </row>
    <row r="1013" spans="1:14" ht="15" customHeight="1" x14ac:dyDescent="0.45">
      <c r="A1013" s="8">
        <v>2020</v>
      </c>
      <c r="B1013" s="6" t="s">
        <v>597</v>
      </c>
      <c r="C1013" s="2" t="str">
        <f t="shared" si="30"/>
        <v>C.J. Prosise</v>
      </c>
      <c r="D1013" s="2" t="str">
        <f t="shared" si="31"/>
        <v>HOU</v>
      </c>
      <c r="E1013" s="2">
        <v>10</v>
      </c>
      <c r="F1013" s="2">
        <v>19</v>
      </c>
      <c r="G1013" s="2">
        <v>1.9</v>
      </c>
      <c r="H1013" s="2">
        <v>0</v>
      </c>
      <c r="I1013">
        <v>1</v>
      </c>
      <c r="J1013">
        <v>10</v>
      </c>
      <c r="K1013" cm="1">
        <f t="array" ref="K1013">IFERROR(_xlfn.XLOOKUP(D1013&amp;A1013, RBWR!A:A&amp;RBWR!C:C, RBWR!B:B), "N/A")</f>
        <v>73</v>
      </c>
      <c r="L1013" t="str" cm="1">
        <f t="array" ref="L1013">IFERROR(_xlfn.XLOOKUP(C1013&amp;A1013, RYOE!A:A&amp;RYOE!F:F, RYOE!C:C), "N/A")</f>
        <v>N/A</v>
      </c>
      <c r="M1013" t="str" cm="1">
        <f t="array" ref="M1013">IFERROR(_xlfn.XLOOKUP(C1013&amp;A1013, RYOE!A:A&amp;RYOE!F:F, RYOE!D:D), "N/A")</f>
        <v>N/A</v>
      </c>
      <c r="N1013" t="str" cm="1">
        <f t="array" ref="N1013">IFERROR(_xlfn.XLOOKUP(C1013&amp;A1013, RYOE!A:A&amp;RYOE!F:F, RYOE!E:E), "N/A")</f>
        <v>N/A</v>
      </c>
    </row>
    <row r="1014" spans="1:14" ht="15" customHeight="1" x14ac:dyDescent="0.45">
      <c r="A1014" s="7">
        <v>2020</v>
      </c>
      <c r="B1014" s="5" t="s">
        <v>171</v>
      </c>
      <c r="C1014" s="1" t="str">
        <f t="shared" si="30"/>
        <v>Reggie Gilliam</v>
      </c>
      <c r="D1014" s="1" t="str">
        <f t="shared" si="31"/>
        <v>BUF</v>
      </c>
      <c r="E1014" s="1">
        <v>0</v>
      </c>
      <c r="F1014" s="1">
        <v>0</v>
      </c>
      <c r="G1014" s="1">
        <v>0</v>
      </c>
      <c r="H1014" s="1">
        <v>0</v>
      </c>
      <c r="I1014">
        <v>0</v>
      </c>
      <c r="J1014">
        <v>14</v>
      </c>
      <c r="K1014" cm="1">
        <f t="array" ref="K1014">IFERROR(_xlfn.XLOOKUP(D1014&amp;A1014, RBWR!A:A&amp;RBWR!C:C, RBWR!B:B), "N/A")</f>
        <v>69</v>
      </c>
      <c r="L1014" t="str" cm="1">
        <f t="array" ref="L1014">IFERROR(_xlfn.XLOOKUP(C1014&amp;A1014, RYOE!A:A&amp;RYOE!F:F, RYOE!C:C), "N/A")</f>
        <v>N/A</v>
      </c>
      <c r="M1014" t="str" cm="1">
        <f t="array" ref="M1014">IFERROR(_xlfn.XLOOKUP(C1014&amp;A1014, RYOE!A:A&amp;RYOE!F:F, RYOE!D:D), "N/A")</f>
        <v>N/A</v>
      </c>
      <c r="N1014" t="str" cm="1">
        <f t="array" ref="N1014">IFERROR(_xlfn.XLOOKUP(C1014&amp;A1014, RYOE!A:A&amp;RYOE!F:F, RYOE!E:E), "N/A")</f>
        <v>N/A</v>
      </c>
    </row>
    <row r="1015" spans="1:14" ht="15" customHeight="1" x14ac:dyDescent="0.45">
      <c r="A1015" s="8">
        <v>2020</v>
      </c>
      <c r="B1015" s="6" t="s">
        <v>598</v>
      </c>
      <c r="C1015" s="2" t="str">
        <f t="shared" si="30"/>
        <v>Jaylen Samuels</v>
      </c>
      <c r="D1015" s="2" t="str">
        <f t="shared" si="31"/>
        <v>PIT</v>
      </c>
      <c r="E1015" s="2">
        <v>9</v>
      </c>
      <c r="F1015" s="2">
        <v>28</v>
      </c>
      <c r="G1015" s="2">
        <v>3.1</v>
      </c>
      <c r="H1015" s="2">
        <v>0</v>
      </c>
      <c r="I1015">
        <v>0</v>
      </c>
      <c r="J1015">
        <v>14</v>
      </c>
      <c r="K1015" cm="1">
        <f t="array" ref="K1015">IFERROR(_xlfn.XLOOKUP(D1015&amp;A1015, RBWR!A:A&amp;RBWR!C:C, RBWR!B:B), "N/A")</f>
        <v>69</v>
      </c>
      <c r="L1015" t="str" cm="1">
        <f t="array" ref="L1015">IFERROR(_xlfn.XLOOKUP(C1015&amp;A1015, RYOE!A:A&amp;RYOE!F:F, RYOE!C:C), "N/A")</f>
        <v>N/A</v>
      </c>
      <c r="M1015" t="str" cm="1">
        <f t="array" ref="M1015">IFERROR(_xlfn.XLOOKUP(C1015&amp;A1015, RYOE!A:A&amp;RYOE!F:F, RYOE!D:D), "N/A")</f>
        <v>N/A</v>
      </c>
      <c r="N1015" t="str" cm="1">
        <f t="array" ref="N1015">IFERROR(_xlfn.XLOOKUP(C1015&amp;A1015, RYOE!A:A&amp;RYOE!F:F, RYOE!E:E), "N/A")</f>
        <v>N/A</v>
      </c>
    </row>
    <row r="1016" spans="1:14" ht="15" customHeight="1" x14ac:dyDescent="0.45">
      <c r="A1016" s="7">
        <v>2020</v>
      </c>
      <c r="B1016" s="5" t="s">
        <v>599</v>
      </c>
      <c r="C1016" s="1" t="str">
        <f t="shared" si="30"/>
        <v>Anthony Sherman</v>
      </c>
      <c r="D1016" s="1" t="str">
        <f t="shared" si="31"/>
        <v>KC</v>
      </c>
      <c r="E1016" s="1">
        <v>3</v>
      </c>
      <c r="F1016" s="1">
        <v>8</v>
      </c>
      <c r="G1016" s="1">
        <v>2.7</v>
      </c>
      <c r="H1016" s="1">
        <v>0</v>
      </c>
      <c r="I1016">
        <v>0</v>
      </c>
      <c r="J1016">
        <v>12</v>
      </c>
      <c r="K1016" cm="1">
        <f t="array" ref="K1016">IFERROR(_xlfn.XLOOKUP(D1016&amp;A1016, RBWR!A:A&amp;RBWR!C:C, RBWR!B:B), "N/A")</f>
        <v>67</v>
      </c>
      <c r="L1016" t="str" cm="1">
        <f t="array" ref="L1016">IFERROR(_xlfn.XLOOKUP(C1016&amp;A1016, RYOE!A:A&amp;RYOE!F:F, RYOE!C:C), "N/A")</f>
        <v>N/A</v>
      </c>
      <c r="M1016" t="str" cm="1">
        <f t="array" ref="M1016">IFERROR(_xlfn.XLOOKUP(C1016&amp;A1016, RYOE!A:A&amp;RYOE!F:F, RYOE!D:D), "N/A")</f>
        <v>N/A</v>
      </c>
      <c r="N1016" t="str" cm="1">
        <f t="array" ref="N1016">IFERROR(_xlfn.XLOOKUP(C1016&amp;A1016, RYOE!A:A&amp;RYOE!F:F, RYOE!E:E), "N/A")</f>
        <v>N/A</v>
      </c>
    </row>
    <row r="1017" spans="1:14" ht="15" customHeight="1" x14ac:dyDescent="0.45">
      <c r="A1017" s="8">
        <v>2020</v>
      </c>
      <c r="B1017" s="6" t="s">
        <v>507</v>
      </c>
      <c r="C1017" s="2" t="str">
        <f t="shared" si="30"/>
        <v>Jonathan Ward</v>
      </c>
      <c r="D1017" s="2" t="str">
        <f t="shared" si="31"/>
        <v>ARI</v>
      </c>
      <c r="E1017" s="2">
        <v>0</v>
      </c>
      <c r="F1017" s="2">
        <v>0</v>
      </c>
      <c r="G1017" s="2">
        <v>0</v>
      </c>
      <c r="H1017" s="2">
        <v>0</v>
      </c>
      <c r="I1017">
        <v>0</v>
      </c>
      <c r="J1017">
        <v>14</v>
      </c>
      <c r="K1017" cm="1">
        <f t="array" ref="K1017">IFERROR(_xlfn.XLOOKUP(D1017&amp;A1017, RBWR!A:A&amp;RBWR!C:C, RBWR!B:B), "N/A")</f>
        <v>72</v>
      </c>
      <c r="L1017" t="str" cm="1">
        <f t="array" ref="L1017">IFERROR(_xlfn.XLOOKUP(C1017&amp;A1017, RYOE!A:A&amp;RYOE!F:F, RYOE!C:C), "N/A")</f>
        <v>N/A</v>
      </c>
      <c r="M1017" t="str" cm="1">
        <f t="array" ref="M1017">IFERROR(_xlfn.XLOOKUP(C1017&amp;A1017, RYOE!A:A&amp;RYOE!F:F, RYOE!D:D), "N/A")</f>
        <v>N/A</v>
      </c>
      <c r="N1017" t="str" cm="1">
        <f t="array" ref="N1017">IFERROR(_xlfn.XLOOKUP(C1017&amp;A1017, RYOE!A:A&amp;RYOE!F:F, RYOE!E:E), "N/A")</f>
        <v>N/A</v>
      </c>
    </row>
    <row r="1018" spans="1:14" ht="15" customHeight="1" x14ac:dyDescent="0.45">
      <c r="A1018" s="7">
        <v>2020</v>
      </c>
      <c r="B1018" s="5" t="s">
        <v>600</v>
      </c>
      <c r="C1018" s="1" t="str">
        <f t="shared" si="30"/>
        <v>Buddy Howell</v>
      </c>
      <c r="D1018" s="1" t="str">
        <f t="shared" si="31"/>
        <v>HOU</v>
      </c>
      <c r="E1018" s="1">
        <v>16</v>
      </c>
      <c r="F1018" s="1">
        <v>64</v>
      </c>
      <c r="G1018" s="1">
        <v>4</v>
      </c>
      <c r="H1018" s="1">
        <v>0</v>
      </c>
      <c r="I1018">
        <v>0</v>
      </c>
      <c r="J1018">
        <v>14</v>
      </c>
      <c r="K1018" cm="1">
        <f t="array" ref="K1018">IFERROR(_xlfn.XLOOKUP(D1018&amp;A1018, RBWR!A:A&amp;RBWR!C:C, RBWR!B:B), "N/A")</f>
        <v>73</v>
      </c>
      <c r="L1018" t="str" cm="1">
        <f t="array" ref="L1018">IFERROR(_xlfn.XLOOKUP(C1018&amp;A1018, RYOE!A:A&amp;RYOE!F:F, RYOE!C:C), "N/A")</f>
        <v>N/A</v>
      </c>
      <c r="M1018" t="str" cm="1">
        <f t="array" ref="M1018">IFERROR(_xlfn.XLOOKUP(C1018&amp;A1018, RYOE!A:A&amp;RYOE!F:F, RYOE!D:D), "N/A")</f>
        <v>N/A</v>
      </c>
      <c r="N1018" t="str" cm="1">
        <f t="array" ref="N1018">IFERROR(_xlfn.XLOOKUP(C1018&amp;A1018, RYOE!A:A&amp;RYOE!F:F, RYOE!E:E), "N/A")</f>
        <v>N/A</v>
      </c>
    </row>
    <row r="1019" spans="1:14" ht="15" customHeight="1" x14ac:dyDescent="0.45">
      <c r="A1019" s="8">
        <v>2020</v>
      </c>
      <c r="B1019" s="6" t="s">
        <v>332</v>
      </c>
      <c r="C1019" s="2" t="str">
        <f t="shared" si="30"/>
        <v>Keith Smith</v>
      </c>
      <c r="D1019" s="2" t="str">
        <f t="shared" si="31"/>
        <v>ATL</v>
      </c>
      <c r="E1019" s="2">
        <v>4</v>
      </c>
      <c r="F1019" s="2">
        <v>7</v>
      </c>
      <c r="G1019" s="2">
        <v>1.8</v>
      </c>
      <c r="H1019" s="2">
        <v>0</v>
      </c>
      <c r="I1019">
        <v>0</v>
      </c>
      <c r="J1019">
        <v>16</v>
      </c>
      <c r="K1019" cm="1">
        <f t="array" ref="K1019">IFERROR(_xlfn.XLOOKUP(D1019&amp;A1019, RBWR!A:A&amp;RBWR!C:C, RBWR!B:B), "N/A")</f>
        <v>69</v>
      </c>
      <c r="L1019" t="str" cm="1">
        <f t="array" ref="L1019">IFERROR(_xlfn.XLOOKUP(C1019&amp;A1019, RYOE!A:A&amp;RYOE!F:F, RYOE!C:C), "N/A")</f>
        <v>N/A</v>
      </c>
      <c r="M1019" t="str" cm="1">
        <f t="array" ref="M1019">IFERROR(_xlfn.XLOOKUP(C1019&amp;A1019, RYOE!A:A&amp;RYOE!F:F, RYOE!D:D), "N/A")</f>
        <v>N/A</v>
      </c>
      <c r="N1019" t="str" cm="1">
        <f t="array" ref="N1019">IFERROR(_xlfn.XLOOKUP(C1019&amp;A1019, RYOE!A:A&amp;RYOE!F:F, RYOE!E:E), "N/A")</f>
        <v>N/A</v>
      </c>
    </row>
    <row r="1020" spans="1:14" ht="15" customHeight="1" x14ac:dyDescent="0.45">
      <c r="A1020" s="7">
        <v>2020</v>
      </c>
      <c r="B1020" s="5" t="s">
        <v>601</v>
      </c>
      <c r="C1020" s="1" t="str">
        <f t="shared" si="30"/>
        <v>Theo Riddick</v>
      </c>
      <c r="D1020" s="1" t="str">
        <f t="shared" si="31"/>
        <v>LV</v>
      </c>
      <c r="E1020" s="1">
        <v>6</v>
      </c>
      <c r="F1020" s="1">
        <v>14</v>
      </c>
      <c r="G1020" s="1">
        <v>2.2999999999999998</v>
      </c>
      <c r="H1020" s="1">
        <v>0</v>
      </c>
      <c r="I1020">
        <v>0</v>
      </c>
      <c r="J1020">
        <v>5</v>
      </c>
      <c r="K1020" cm="1">
        <f t="array" ref="K1020">IFERROR(_xlfn.XLOOKUP(D1020&amp;A1020, RBWR!A:A&amp;RBWR!C:C, RBWR!B:B), "N/A")</f>
        <v>69</v>
      </c>
      <c r="L1020" t="str" cm="1">
        <f t="array" ref="L1020">IFERROR(_xlfn.XLOOKUP(C1020&amp;A1020, RYOE!A:A&amp;RYOE!F:F, RYOE!C:C), "N/A")</f>
        <v>N/A</v>
      </c>
      <c r="M1020" t="str" cm="1">
        <f t="array" ref="M1020">IFERROR(_xlfn.XLOOKUP(C1020&amp;A1020, RYOE!A:A&amp;RYOE!F:F, RYOE!D:D), "N/A")</f>
        <v>N/A</v>
      </c>
      <c r="N1020" t="str" cm="1">
        <f t="array" ref="N1020">IFERROR(_xlfn.XLOOKUP(C1020&amp;A1020, RYOE!A:A&amp;RYOE!F:F, RYOE!E:E), "N/A")</f>
        <v>N/A</v>
      </c>
    </row>
    <row r="1021" spans="1:14" ht="15" customHeight="1" x14ac:dyDescent="0.45">
      <c r="A1021" s="8">
        <v>2020</v>
      </c>
      <c r="B1021" s="6" t="s">
        <v>502</v>
      </c>
      <c r="C1021" s="2" t="str">
        <f t="shared" si="30"/>
        <v>Marlon Mack</v>
      </c>
      <c r="D1021" s="2" t="str">
        <f t="shared" si="31"/>
        <v>IND</v>
      </c>
      <c r="E1021" s="2">
        <v>4</v>
      </c>
      <c r="F1021" s="2">
        <v>26</v>
      </c>
      <c r="G1021" s="2">
        <v>6.5</v>
      </c>
      <c r="H1021" s="2">
        <v>0</v>
      </c>
      <c r="I1021">
        <v>0</v>
      </c>
      <c r="J1021">
        <v>1</v>
      </c>
      <c r="K1021" cm="1">
        <f t="array" ref="K1021">IFERROR(_xlfn.XLOOKUP(D1021&amp;A1021, RBWR!A:A&amp;RBWR!C:C, RBWR!B:B), "N/A")</f>
        <v>72</v>
      </c>
      <c r="L1021" t="str" cm="1">
        <f t="array" ref="L1021">IFERROR(_xlfn.XLOOKUP(C1021&amp;A1021, RYOE!A:A&amp;RYOE!F:F, RYOE!C:C), "N/A")</f>
        <v>N/A</v>
      </c>
      <c r="M1021" t="str" cm="1">
        <f t="array" ref="M1021">IFERROR(_xlfn.XLOOKUP(C1021&amp;A1021, RYOE!A:A&amp;RYOE!F:F, RYOE!D:D), "N/A")</f>
        <v>N/A</v>
      </c>
      <c r="N1021" t="str" cm="1">
        <f t="array" ref="N1021">IFERROR(_xlfn.XLOOKUP(C1021&amp;A1021, RYOE!A:A&amp;RYOE!F:F, RYOE!E:E), "N/A")</f>
        <v>N/A</v>
      </c>
    </row>
    <row r="1022" spans="1:14" ht="15" customHeight="1" x14ac:dyDescent="0.45">
      <c r="A1022" s="7">
        <v>2020</v>
      </c>
      <c r="B1022" s="5" t="s">
        <v>602</v>
      </c>
      <c r="C1022" s="1" t="str">
        <f t="shared" si="30"/>
        <v>Dontrell Hilliard</v>
      </c>
      <c r="D1022" s="1" t="str">
        <f t="shared" si="31"/>
        <v>HOU</v>
      </c>
      <c r="E1022" s="1">
        <v>9</v>
      </c>
      <c r="F1022" s="1">
        <v>48</v>
      </c>
      <c r="G1022" s="1">
        <v>5.3</v>
      </c>
      <c r="H1022" s="1">
        <v>0</v>
      </c>
      <c r="I1022">
        <v>0</v>
      </c>
      <c r="J1022">
        <v>7</v>
      </c>
      <c r="K1022" cm="1">
        <f t="array" ref="K1022">IFERROR(_xlfn.XLOOKUP(D1022&amp;A1022, RBWR!A:A&amp;RBWR!C:C, RBWR!B:B), "N/A")</f>
        <v>73</v>
      </c>
      <c r="L1022" t="str" cm="1">
        <f t="array" ref="L1022">IFERROR(_xlfn.XLOOKUP(C1022&amp;A1022, RYOE!A:A&amp;RYOE!F:F, RYOE!C:C), "N/A")</f>
        <v>N/A</v>
      </c>
      <c r="M1022" t="str" cm="1">
        <f t="array" ref="M1022">IFERROR(_xlfn.XLOOKUP(C1022&amp;A1022, RYOE!A:A&amp;RYOE!F:F, RYOE!D:D), "N/A")</f>
        <v>N/A</v>
      </c>
      <c r="N1022" t="str" cm="1">
        <f t="array" ref="N1022">IFERROR(_xlfn.XLOOKUP(C1022&amp;A1022, RYOE!A:A&amp;RYOE!F:F, RYOE!E:E), "N/A")</f>
        <v>N/A</v>
      </c>
    </row>
    <row r="1023" spans="1:14" ht="15" customHeight="1" x14ac:dyDescent="0.45">
      <c r="A1023" s="8">
        <v>2020</v>
      </c>
      <c r="B1023" s="6" t="s">
        <v>603</v>
      </c>
      <c r="C1023" s="2" t="str">
        <f t="shared" si="30"/>
        <v>Trenton Cannon</v>
      </c>
      <c r="D1023" s="2" t="str">
        <f t="shared" si="31"/>
        <v>CAR</v>
      </c>
      <c r="E1023" s="2">
        <v>10</v>
      </c>
      <c r="F1023" s="2">
        <v>33</v>
      </c>
      <c r="G1023" s="2">
        <v>3.3</v>
      </c>
      <c r="H1023" s="2">
        <v>0</v>
      </c>
      <c r="I1023">
        <v>0</v>
      </c>
      <c r="J1023">
        <v>14</v>
      </c>
      <c r="K1023" cm="1">
        <f t="array" ref="K1023">IFERROR(_xlfn.XLOOKUP(D1023&amp;A1023, RBWR!A:A&amp;RBWR!C:C, RBWR!B:B), "N/A")</f>
        <v>72</v>
      </c>
      <c r="L1023" t="str" cm="1">
        <f t="array" ref="L1023">IFERROR(_xlfn.XLOOKUP(C1023&amp;A1023, RYOE!A:A&amp;RYOE!F:F, RYOE!C:C), "N/A")</f>
        <v>N/A</v>
      </c>
      <c r="M1023" t="str" cm="1">
        <f t="array" ref="M1023">IFERROR(_xlfn.XLOOKUP(C1023&amp;A1023, RYOE!A:A&amp;RYOE!F:F, RYOE!D:D), "N/A")</f>
        <v>N/A</v>
      </c>
      <c r="N1023" t="str" cm="1">
        <f t="array" ref="N1023">IFERROR(_xlfn.XLOOKUP(C1023&amp;A1023, RYOE!A:A&amp;RYOE!F:F, RYOE!E:E), "N/A")</f>
        <v>N/A</v>
      </c>
    </row>
    <row r="1024" spans="1:14" ht="15" customHeight="1" x14ac:dyDescent="0.45">
      <c r="A1024" s="7">
        <v>2020</v>
      </c>
      <c r="B1024" s="5" t="s">
        <v>604</v>
      </c>
      <c r="C1024" s="1" t="str">
        <f t="shared" si="30"/>
        <v>Michael Burton</v>
      </c>
      <c r="D1024" s="1" t="str">
        <f t="shared" si="31"/>
        <v>NO</v>
      </c>
      <c r="E1024" s="1">
        <v>7</v>
      </c>
      <c r="F1024" s="1">
        <v>18</v>
      </c>
      <c r="G1024" s="1">
        <v>2.6</v>
      </c>
      <c r="H1024" s="1">
        <v>0</v>
      </c>
      <c r="I1024">
        <v>0</v>
      </c>
      <c r="J1024">
        <v>15</v>
      </c>
      <c r="K1024" cm="1">
        <f t="array" ref="K1024">IFERROR(_xlfn.XLOOKUP(D1024&amp;A1024, RBWR!A:A&amp;RBWR!C:C, RBWR!B:B), "N/A")</f>
        <v>72</v>
      </c>
      <c r="L1024" t="str" cm="1">
        <f t="array" ref="L1024">IFERROR(_xlfn.XLOOKUP(C1024&amp;A1024, RYOE!A:A&amp;RYOE!F:F, RYOE!C:C), "N/A")</f>
        <v>N/A</v>
      </c>
      <c r="M1024" t="str" cm="1">
        <f t="array" ref="M1024">IFERROR(_xlfn.XLOOKUP(C1024&amp;A1024, RYOE!A:A&amp;RYOE!F:F, RYOE!D:D), "N/A")</f>
        <v>N/A</v>
      </c>
      <c r="N1024" t="str" cm="1">
        <f t="array" ref="N1024">IFERROR(_xlfn.XLOOKUP(C1024&amp;A1024, RYOE!A:A&amp;RYOE!F:F, RYOE!E:E), "N/A")</f>
        <v>N/A</v>
      </c>
    </row>
    <row r="1025" spans="1:14" ht="15" customHeight="1" x14ac:dyDescent="0.45">
      <c r="A1025" s="8">
        <v>2020</v>
      </c>
      <c r="B1025" s="6" t="s">
        <v>529</v>
      </c>
      <c r="C1025" s="2" t="str">
        <f t="shared" si="30"/>
        <v>Devine Ozigbo</v>
      </c>
      <c r="D1025" s="2" t="str">
        <f t="shared" si="31"/>
        <v>JAC</v>
      </c>
      <c r="E1025" s="2">
        <v>1</v>
      </c>
      <c r="F1025" s="2">
        <v>1</v>
      </c>
      <c r="G1025" s="2">
        <v>1</v>
      </c>
      <c r="H1025" s="2">
        <v>0</v>
      </c>
      <c r="I1025">
        <v>0</v>
      </c>
      <c r="J1025">
        <v>8</v>
      </c>
      <c r="K1025" cm="1">
        <f t="array" ref="K1025">IFERROR(_xlfn.XLOOKUP(D1025&amp;A1025, RBWR!A:A&amp;RBWR!C:C, RBWR!B:B), "N/A")</f>
        <v>69</v>
      </c>
      <c r="L1025" t="str" cm="1">
        <f t="array" ref="L1025">IFERROR(_xlfn.XLOOKUP(C1025&amp;A1025, RYOE!A:A&amp;RYOE!F:F, RYOE!C:C), "N/A")</f>
        <v>N/A</v>
      </c>
      <c r="M1025" t="str" cm="1">
        <f t="array" ref="M1025">IFERROR(_xlfn.XLOOKUP(C1025&amp;A1025, RYOE!A:A&amp;RYOE!F:F, RYOE!D:D), "N/A")</f>
        <v>N/A</v>
      </c>
      <c r="N1025" t="str" cm="1">
        <f t="array" ref="N1025">IFERROR(_xlfn.XLOOKUP(C1025&amp;A1025, RYOE!A:A&amp;RYOE!F:F, RYOE!E:E), "N/A")</f>
        <v>N/A</v>
      </c>
    </row>
    <row r="1026" spans="1:14" ht="15" customHeight="1" x14ac:dyDescent="0.45">
      <c r="A1026" s="7">
        <v>2020</v>
      </c>
      <c r="B1026" s="5" t="s">
        <v>553</v>
      </c>
      <c r="C1026" s="1" t="str">
        <f t="shared" ref="C1026:C1089" si="32">TRIM(LEFT(B1026, LEN(B1026) - LEN(TRIM(RIGHT(SUBSTITUTE(TRIM(B1026)," ",REPT(" ",100)),100)))))</f>
        <v>Khari Blasingame</v>
      </c>
      <c r="D1026" s="1" t="str">
        <f t="shared" ref="D1026:D1089" si="33">MID(B1026, FIND("(", B1026) + 1, FIND(")", B1026) - FIND("(", B1026) - 1)</f>
        <v>TEN</v>
      </c>
      <c r="E1026" s="1">
        <v>0</v>
      </c>
      <c r="F1026" s="1">
        <v>0</v>
      </c>
      <c r="G1026" s="1">
        <v>0</v>
      </c>
      <c r="H1026" s="1">
        <v>0</v>
      </c>
      <c r="I1026">
        <v>0</v>
      </c>
      <c r="J1026">
        <v>15</v>
      </c>
      <c r="K1026" cm="1">
        <f t="array" ref="K1026">IFERROR(_xlfn.XLOOKUP(D1026&amp;A1026, RBWR!A:A&amp;RBWR!C:C, RBWR!B:B), "N/A")</f>
        <v>70</v>
      </c>
      <c r="L1026" t="str" cm="1">
        <f t="array" ref="L1026">IFERROR(_xlfn.XLOOKUP(C1026&amp;A1026, RYOE!A:A&amp;RYOE!F:F, RYOE!C:C), "N/A")</f>
        <v>N/A</v>
      </c>
      <c r="M1026" t="str" cm="1">
        <f t="array" ref="M1026">IFERROR(_xlfn.XLOOKUP(C1026&amp;A1026, RYOE!A:A&amp;RYOE!F:F, RYOE!D:D), "N/A")</f>
        <v>N/A</v>
      </c>
      <c r="N1026" t="str" cm="1">
        <f t="array" ref="N1026">IFERROR(_xlfn.XLOOKUP(C1026&amp;A1026, RYOE!A:A&amp;RYOE!F:F, RYOE!E:E), "N/A")</f>
        <v>N/A</v>
      </c>
    </row>
    <row r="1027" spans="1:14" ht="15" customHeight="1" x14ac:dyDescent="0.45">
      <c r="A1027" s="8">
        <v>2020</v>
      </c>
      <c r="B1027" s="6" t="s">
        <v>486</v>
      </c>
      <c r="C1027" s="2" t="str">
        <f t="shared" si="32"/>
        <v>Elijhaa Penny</v>
      </c>
      <c r="D1027" s="2" t="str">
        <f t="shared" si="33"/>
        <v>NYG</v>
      </c>
      <c r="E1027" s="2">
        <v>6</v>
      </c>
      <c r="F1027" s="2">
        <v>15</v>
      </c>
      <c r="G1027" s="2">
        <v>2.5</v>
      </c>
      <c r="H1027" s="2">
        <v>0</v>
      </c>
      <c r="I1027">
        <v>0</v>
      </c>
      <c r="J1027">
        <v>14</v>
      </c>
      <c r="K1027" cm="1">
        <f t="array" ref="K1027">IFERROR(_xlfn.XLOOKUP(D1027&amp;A1027, RBWR!A:A&amp;RBWR!C:C, RBWR!B:B), "N/A")</f>
        <v>70</v>
      </c>
      <c r="L1027" t="str" cm="1">
        <f t="array" ref="L1027">IFERROR(_xlfn.XLOOKUP(C1027&amp;A1027, RYOE!A:A&amp;RYOE!F:F, RYOE!C:C), "N/A")</f>
        <v>N/A</v>
      </c>
      <c r="M1027" t="str" cm="1">
        <f t="array" ref="M1027">IFERROR(_xlfn.XLOOKUP(C1027&amp;A1027, RYOE!A:A&amp;RYOE!F:F, RYOE!D:D), "N/A")</f>
        <v>N/A</v>
      </c>
      <c r="N1027" t="str" cm="1">
        <f t="array" ref="N1027">IFERROR(_xlfn.XLOOKUP(C1027&amp;A1027, RYOE!A:A&amp;RYOE!F:F, RYOE!E:E), "N/A")</f>
        <v>N/A</v>
      </c>
    </row>
    <row r="1028" spans="1:14" ht="15" customHeight="1" x14ac:dyDescent="0.45">
      <c r="A1028" s="7">
        <v>2020</v>
      </c>
      <c r="B1028" s="5" t="s">
        <v>390</v>
      </c>
      <c r="C1028" s="1" t="str">
        <f t="shared" si="32"/>
        <v>Rashaad Penny</v>
      </c>
      <c r="D1028" s="1" t="str">
        <f t="shared" si="33"/>
        <v>SEA</v>
      </c>
      <c r="E1028" s="1">
        <v>11</v>
      </c>
      <c r="F1028" s="1">
        <v>34</v>
      </c>
      <c r="G1028" s="1">
        <v>3.1</v>
      </c>
      <c r="H1028" s="1">
        <v>0</v>
      </c>
      <c r="I1028">
        <v>0</v>
      </c>
      <c r="J1028">
        <v>3</v>
      </c>
      <c r="K1028" cm="1">
        <f t="array" ref="K1028">IFERROR(_xlfn.XLOOKUP(D1028&amp;A1028, RBWR!A:A&amp;RBWR!C:C, RBWR!B:B), "N/A")</f>
        <v>70</v>
      </c>
      <c r="L1028" t="str" cm="1">
        <f t="array" ref="L1028">IFERROR(_xlfn.XLOOKUP(C1028&amp;A1028, RYOE!A:A&amp;RYOE!F:F, RYOE!C:C), "N/A")</f>
        <v>N/A</v>
      </c>
      <c r="M1028" t="str" cm="1">
        <f t="array" ref="M1028">IFERROR(_xlfn.XLOOKUP(C1028&amp;A1028, RYOE!A:A&amp;RYOE!F:F, RYOE!D:D), "N/A")</f>
        <v>N/A</v>
      </c>
      <c r="N1028" t="str" cm="1">
        <f t="array" ref="N1028">IFERROR(_xlfn.XLOOKUP(C1028&amp;A1028, RYOE!A:A&amp;RYOE!F:F, RYOE!E:E), "N/A")</f>
        <v>N/A</v>
      </c>
    </row>
    <row r="1029" spans="1:14" ht="15" customHeight="1" x14ac:dyDescent="0.45">
      <c r="A1029" s="8">
        <v>2020</v>
      </c>
      <c r="B1029" s="6" t="s">
        <v>605</v>
      </c>
      <c r="C1029" s="2" t="str">
        <f t="shared" si="32"/>
        <v>Bo Scarbrough</v>
      </c>
      <c r="D1029" s="2" t="str">
        <f t="shared" si="33"/>
        <v>SEA</v>
      </c>
      <c r="E1029" s="2">
        <v>6</v>
      </c>
      <c r="F1029" s="2">
        <v>31</v>
      </c>
      <c r="G1029" s="2">
        <v>5.2</v>
      </c>
      <c r="H1029" s="2">
        <v>0</v>
      </c>
      <c r="I1029">
        <v>0</v>
      </c>
      <c r="J1029">
        <v>1</v>
      </c>
      <c r="K1029" cm="1">
        <f t="array" ref="K1029">IFERROR(_xlfn.XLOOKUP(D1029&amp;A1029, RBWR!A:A&amp;RBWR!C:C, RBWR!B:B), "N/A")</f>
        <v>70</v>
      </c>
      <c r="L1029" t="str" cm="1">
        <f t="array" ref="L1029">IFERROR(_xlfn.XLOOKUP(C1029&amp;A1029, RYOE!A:A&amp;RYOE!F:F, RYOE!C:C), "N/A")</f>
        <v>N/A</v>
      </c>
      <c r="M1029" t="str" cm="1">
        <f t="array" ref="M1029">IFERROR(_xlfn.XLOOKUP(C1029&amp;A1029, RYOE!A:A&amp;RYOE!F:F, RYOE!D:D), "N/A")</f>
        <v>N/A</v>
      </c>
      <c r="N1029" t="str" cm="1">
        <f t="array" ref="N1029">IFERROR(_xlfn.XLOOKUP(C1029&amp;A1029, RYOE!A:A&amp;RYOE!F:F, RYOE!E:E), "N/A")</f>
        <v>N/A</v>
      </c>
    </row>
    <row r="1030" spans="1:14" ht="15" customHeight="1" x14ac:dyDescent="0.45">
      <c r="A1030" s="7">
        <v>2020</v>
      </c>
      <c r="B1030" s="5" t="s">
        <v>606</v>
      </c>
      <c r="C1030" s="1" t="str">
        <f t="shared" si="32"/>
        <v>Austin Walter</v>
      </c>
      <c r="D1030" s="1" t="str">
        <f t="shared" si="33"/>
        <v>SF</v>
      </c>
      <c r="E1030" s="1">
        <v>1</v>
      </c>
      <c r="F1030" s="1">
        <v>3</v>
      </c>
      <c r="G1030" s="1">
        <v>3</v>
      </c>
      <c r="H1030" s="1">
        <v>0</v>
      </c>
      <c r="I1030">
        <v>0</v>
      </c>
      <c r="J1030">
        <v>4</v>
      </c>
      <c r="K1030" cm="1">
        <f t="array" ref="K1030">IFERROR(_xlfn.XLOOKUP(D1030&amp;A1030, RBWR!A:A&amp;RBWR!C:C, RBWR!B:B), "N/A")</f>
        <v>69</v>
      </c>
      <c r="L1030" t="str" cm="1">
        <f t="array" ref="L1030">IFERROR(_xlfn.XLOOKUP(C1030&amp;A1030, RYOE!A:A&amp;RYOE!F:F, RYOE!C:C), "N/A")</f>
        <v>N/A</v>
      </c>
      <c r="M1030" t="str" cm="1">
        <f t="array" ref="M1030">IFERROR(_xlfn.XLOOKUP(C1030&amp;A1030, RYOE!A:A&amp;RYOE!F:F, RYOE!D:D), "N/A")</f>
        <v>N/A</v>
      </c>
      <c r="N1030" t="str" cm="1">
        <f t="array" ref="N1030">IFERROR(_xlfn.XLOOKUP(C1030&amp;A1030, RYOE!A:A&amp;RYOE!F:F, RYOE!E:E), "N/A")</f>
        <v>N/A</v>
      </c>
    </row>
    <row r="1031" spans="1:14" ht="15" customHeight="1" x14ac:dyDescent="0.45">
      <c r="A1031" s="8">
        <v>2020</v>
      </c>
      <c r="B1031" s="6" t="s">
        <v>607</v>
      </c>
      <c r="C1031" s="2" t="str">
        <f t="shared" si="32"/>
        <v>Alex Armah Jr.</v>
      </c>
      <c r="D1031" s="2" t="str">
        <f t="shared" si="33"/>
        <v>CAR</v>
      </c>
      <c r="E1031" s="2">
        <v>6</v>
      </c>
      <c r="F1031" s="2">
        <v>9</v>
      </c>
      <c r="G1031" s="2">
        <v>1.5</v>
      </c>
      <c r="H1031" s="2">
        <v>0</v>
      </c>
      <c r="I1031">
        <v>0</v>
      </c>
      <c r="J1031">
        <v>16</v>
      </c>
      <c r="K1031" cm="1">
        <f t="array" ref="K1031">IFERROR(_xlfn.XLOOKUP(D1031&amp;A1031, RBWR!A:A&amp;RBWR!C:C, RBWR!B:B), "N/A")</f>
        <v>72</v>
      </c>
      <c r="L1031" t="str" cm="1">
        <f t="array" ref="L1031">IFERROR(_xlfn.XLOOKUP(C1031&amp;A1031, RYOE!A:A&amp;RYOE!F:F, RYOE!C:C), "N/A")</f>
        <v>N/A</v>
      </c>
      <c r="M1031" t="str" cm="1">
        <f t="array" ref="M1031">IFERROR(_xlfn.XLOOKUP(C1031&amp;A1031, RYOE!A:A&amp;RYOE!F:F, RYOE!D:D), "N/A")</f>
        <v>N/A</v>
      </c>
      <c r="N1031" t="str" cm="1">
        <f t="array" ref="N1031">IFERROR(_xlfn.XLOOKUP(C1031&amp;A1031, RYOE!A:A&amp;RYOE!F:F, RYOE!E:E), "N/A")</f>
        <v>N/A</v>
      </c>
    </row>
    <row r="1032" spans="1:14" ht="15" customHeight="1" x14ac:dyDescent="0.45">
      <c r="A1032" s="7">
        <v>2020</v>
      </c>
      <c r="B1032" s="5" t="s">
        <v>209</v>
      </c>
      <c r="C1032" s="1" t="str">
        <f t="shared" si="32"/>
        <v>Rico Dowdle</v>
      </c>
      <c r="D1032" s="1" t="str">
        <f t="shared" si="33"/>
        <v>DAL</v>
      </c>
      <c r="E1032" s="1">
        <v>7</v>
      </c>
      <c r="F1032" s="1">
        <v>24</v>
      </c>
      <c r="G1032" s="1">
        <v>3.4</v>
      </c>
      <c r="H1032" s="1">
        <v>0</v>
      </c>
      <c r="I1032">
        <v>0</v>
      </c>
      <c r="J1032">
        <v>15</v>
      </c>
      <c r="K1032" cm="1">
        <f t="array" ref="K1032">IFERROR(_xlfn.XLOOKUP(D1032&amp;A1032, RBWR!A:A&amp;RBWR!C:C, RBWR!B:B), "N/A")</f>
        <v>70</v>
      </c>
      <c r="L1032" t="str" cm="1">
        <f t="array" ref="L1032">IFERROR(_xlfn.XLOOKUP(C1032&amp;A1032, RYOE!A:A&amp;RYOE!F:F, RYOE!C:C), "N/A")</f>
        <v>N/A</v>
      </c>
      <c r="M1032" t="str" cm="1">
        <f t="array" ref="M1032">IFERROR(_xlfn.XLOOKUP(C1032&amp;A1032, RYOE!A:A&amp;RYOE!F:F, RYOE!D:D), "N/A")</f>
        <v>N/A</v>
      </c>
      <c r="N1032" t="str" cm="1">
        <f t="array" ref="N1032">IFERROR(_xlfn.XLOOKUP(C1032&amp;A1032, RYOE!A:A&amp;RYOE!F:F, RYOE!E:E), "N/A")</f>
        <v>N/A</v>
      </c>
    </row>
    <row r="1033" spans="1:14" ht="15" customHeight="1" x14ac:dyDescent="0.45">
      <c r="A1033" s="8">
        <v>2020</v>
      </c>
      <c r="B1033" s="6" t="s">
        <v>509</v>
      </c>
      <c r="C1033" s="2" t="str">
        <f t="shared" si="32"/>
        <v>Jason Huntley</v>
      </c>
      <c r="D1033" s="2" t="str">
        <f t="shared" si="33"/>
        <v>PHI</v>
      </c>
      <c r="E1033" s="2">
        <v>5</v>
      </c>
      <c r="F1033" s="2">
        <v>19</v>
      </c>
      <c r="G1033" s="2">
        <v>3.8</v>
      </c>
      <c r="H1033" s="2">
        <v>0</v>
      </c>
      <c r="I1033">
        <v>0</v>
      </c>
      <c r="J1033">
        <v>5</v>
      </c>
      <c r="K1033" cm="1">
        <f t="array" ref="K1033">IFERROR(_xlfn.XLOOKUP(D1033&amp;A1033, RBWR!A:A&amp;RBWR!C:C, RBWR!B:B), "N/A")</f>
        <v>73</v>
      </c>
      <c r="L1033" t="str" cm="1">
        <f t="array" ref="L1033">IFERROR(_xlfn.XLOOKUP(C1033&amp;A1033, RYOE!A:A&amp;RYOE!F:F, RYOE!C:C), "N/A")</f>
        <v>N/A</v>
      </c>
      <c r="M1033" t="str" cm="1">
        <f t="array" ref="M1033">IFERROR(_xlfn.XLOOKUP(C1033&amp;A1033, RYOE!A:A&amp;RYOE!F:F, RYOE!D:D), "N/A")</f>
        <v>N/A</v>
      </c>
      <c r="N1033" t="str" cm="1">
        <f t="array" ref="N1033">IFERROR(_xlfn.XLOOKUP(C1033&amp;A1033, RYOE!A:A&amp;RYOE!F:F, RYOE!E:E), "N/A")</f>
        <v>N/A</v>
      </c>
    </row>
    <row r="1034" spans="1:14" ht="15" customHeight="1" x14ac:dyDescent="0.45">
      <c r="A1034" s="7">
        <v>2020</v>
      </c>
      <c r="B1034" s="5" t="s">
        <v>504</v>
      </c>
      <c r="C1034" s="1" t="str">
        <f t="shared" si="32"/>
        <v>Andy Janovich</v>
      </c>
      <c r="D1034" s="1" t="str">
        <f t="shared" si="33"/>
        <v>CLE</v>
      </c>
      <c r="E1034" s="1">
        <v>2</v>
      </c>
      <c r="F1034" s="1">
        <v>4</v>
      </c>
      <c r="G1034" s="1">
        <v>2</v>
      </c>
      <c r="H1034" s="1">
        <v>0</v>
      </c>
      <c r="I1034">
        <v>0</v>
      </c>
      <c r="J1034">
        <v>14</v>
      </c>
      <c r="K1034" cm="1">
        <f t="array" ref="K1034">IFERROR(_xlfn.XLOOKUP(D1034&amp;A1034, RBWR!A:A&amp;RBWR!C:C, RBWR!B:B), "N/A")</f>
        <v>71</v>
      </c>
      <c r="L1034" t="str" cm="1">
        <f t="array" ref="L1034">IFERROR(_xlfn.XLOOKUP(C1034&amp;A1034, RYOE!A:A&amp;RYOE!F:F, RYOE!C:C), "N/A")</f>
        <v>N/A</v>
      </c>
      <c r="M1034" t="str" cm="1">
        <f t="array" ref="M1034">IFERROR(_xlfn.XLOOKUP(C1034&amp;A1034, RYOE!A:A&amp;RYOE!F:F, RYOE!D:D), "N/A")</f>
        <v>N/A</v>
      </c>
      <c r="N1034" t="str" cm="1">
        <f t="array" ref="N1034">IFERROR(_xlfn.XLOOKUP(C1034&amp;A1034, RYOE!A:A&amp;RYOE!F:F, RYOE!E:E), "N/A")</f>
        <v>N/A</v>
      </c>
    </row>
    <row r="1035" spans="1:14" ht="15" customHeight="1" x14ac:dyDescent="0.45">
      <c r="A1035" s="8">
        <v>2020</v>
      </c>
      <c r="B1035" s="6" t="s">
        <v>541</v>
      </c>
      <c r="C1035" s="2" t="str">
        <f t="shared" si="32"/>
        <v>LeVante Bellamy</v>
      </c>
      <c r="D1035" s="2" t="str">
        <f t="shared" si="33"/>
        <v>DEN</v>
      </c>
      <c r="E1035" s="2">
        <v>4</v>
      </c>
      <c r="F1035" s="2">
        <v>11</v>
      </c>
      <c r="G1035" s="2">
        <v>2.8</v>
      </c>
      <c r="H1035" s="2">
        <v>0</v>
      </c>
      <c r="I1035">
        <v>0</v>
      </c>
      <c r="J1035">
        <v>5</v>
      </c>
      <c r="K1035" cm="1">
        <f t="array" ref="K1035">IFERROR(_xlfn.XLOOKUP(D1035&amp;A1035, RBWR!A:A&amp;RBWR!C:C, RBWR!B:B), "N/A")</f>
        <v>70</v>
      </c>
      <c r="L1035" t="str" cm="1">
        <f t="array" ref="L1035">IFERROR(_xlfn.XLOOKUP(C1035&amp;A1035, RYOE!A:A&amp;RYOE!F:F, RYOE!C:C), "N/A")</f>
        <v>N/A</v>
      </c>
      <c r="M1035" t="str" cm="1">
        <f t="array" ref="M1035">IFERROR(_xlfn.XLOOKUP(C1035&amp;A1035, RYOE!A:A&amp;RYOE!F:F, RYOE!D:D), "N/A")</f>
        <v>N/A</v>
      </c>
      <c r="N1035" t="str" cm="1">
        <f t="array" ref="N1035">IFERROR(_xlfn.XLOOKUP(C1035&amp;A1035, RYOE!A:A&amp;RYOE!F:F, RYOE!E:E), "N/A")</f>
        <v>N/A</v>
      </c>
    </row>
    <row r="1036" spans="1:14" ht="15" customHeight="1" x14ac:dyDescent="0.45">
      <c r="A1036" s="7">
        <v>2020</v>
      </c>
      <c r="B1036" s="5" t="s">
        <v>517</v>
      </c>
      <c r="C1036" s="1" t="str">
        <f t="shared" si="32"/>
        <v>Scottie Phillips</v>
      </c>
      <c r="D1036" s="1" t="str">
        <f t="shared" si="33"/>
        <v>HOU</v>
      </c>
      <c r="E1036" s="1">
        <v>2</v>
      </c>
      <c r="F1036" s="1">
        <v>9</v>
      </c>
      <c r="G1036" s="1">
        <v>4.5</v>
      </c>
      <c r="H1036" s="1">
        <v>0</v>
      </c>
      <c r="I1036">
        <v>0</v>
      </c>
      <c r="J1036">
        <v>8</v>
      </c>
      <c r="K1036" cm="1">
        <f t="array" ref="K1036">IFERROR(_xlfn.XLOOKUP(D1036&amp;A1036, RBWR!A:A&amp;RBWR!C:C, RBWR!B:B), "N/A")</f>
        <v>73</v>
      </c>
      <c r="L1036" t="str" cm="1">
        <f t="array" ref="L1036">IFERROR(_xlfn.XLOOKUP(C1036&amp;A1036, RYOE!A:A&amp;RYOE!F:F, RYOE!C:C), "N/A")</f>
        <v>N/A</v>
      </c>
      <c r="M1036" t="str" cm="1">
        <f t="array" ref="M1036">IFERROR(_xlfn.XLOOKUP(C1036&amp;A1036, RYOE!A:A&amp;RYOE!F:F, RYOE!D:D), "N/A")</f>
        <v>N/A</v>
      </c>
      <c r="N1036" t="str" cm="1">
        <f t="array" ref="N1036">IFERROR(_xlfn.XLOOKUP(C1036&amp;A1036, RYOE!A:A&amp;RYOE!F:F, RYOE!E:E), "N/A")</f>
        <v>N/A</v>
      </c>
    </row>
    <row r="1037" spans="1:14" ht="15" customHeight="1" x14ac:dyDescent="0.45">
      <c r="A1037" s="8">
        <v>2020</v>
      </c>
      <c r="B1037" s="6" t="s">
        <v>420</v>
      </c>
      <c r="C1037" s="2" t="str">
        <f t="shared" si="32"/>
        <v>Dwayne Washington</v>
      </c>
      <c r="D1037" s="2" t="str">
        <f t="shared" si="33"/>
        <v>NO</v>
      </c>
      <c r="E1037" s="2">
        <v>8</v>
      </c>
      <c r="F1037" s="2">
        <v>15</v>
      </c>
      <c r="G1037" s="2">
        <v>1.9</v>
      </c>
      <c r="H1037" s="2">
        <v>0</v>
      </c>
      <c r="I1037">
        <v>0</v>
      </c>
      <c r="J1037">
        <v>11</v>
      </c>
      <c r="K1037" cm="1">
        <f t="array" ref="K1037">IFERROR(_xlfn.XLOOKUP(D1037&amp;A1037, RBWR!A:A&amp;RBWR!C:C, RBWR!B:B), "N/A")</f>
        <v>72</v>
      </c>
      <c r="L1037" t="str" cm="1">
        <f t="array" ref="L1037">IFERROR(_xlfn.XLOOKUP(C1037&amp;A1037, RYOE!A:A&amp;RYOE!F:F, RYOE!C:C), "N/A")</f>
        <v>N/A</v>
      </c>
      <c r="M1037" t="str" cm="1">
        <f t="array" ref="M1037">IFERROR(_xlfn.XLOOKUP(C1037&amp;A1037, RYOE!A:A&amp;RYOE!F:F, RYOE!D:D), "N/A")</f>
        <v>N/A</v>
      </c>
      <c r="N1037" t="str" cm="1">
        <f t="array" ref="N1037">IFERROR(_xlfn.XLOOKUP(C1037&amp;A1037, RYOE!A:A&amp;RYOE!F:F, RYOE!E:E), "N/A")</f>
        <v>N/A</v>
      </c>
    </row>
    <row r="1038" spans="1:14" ht="15" customHeight="1" x14ac:dyDescent="0.45">
      <c r="A1038" s="7">
        <v>2020</v>
      </c>
      <c r="B1038" s="5" t="s">
        <v>495</v>
      </c>
      <c r="C1038" s="1" t="str">
        <f t="shared" si="32"/>
        <v>Tony Jones Jr.</v>
      </c>
      <c r="D1038" s="1" t="str">
        <f t="shared" si="33"/>
        <v>NO</v>
      </c>
      <c r="E1038" s="1">
        <v>3</v>
      </c>
      <c r="F1038" s="1">
        <v>13</v>
      </c>
      <c r="G1038" s="1">
        <v>4.3</v>
      </c>
      <c r="H1038" s="1">
        <v>0</v>
      </c>
      <c r="I1038">
        <v>0</v>
      </c>
      <c r="J1038">
        <v>1</v>
      </c>
      <c r="K1038" cm="1">
        <f t="array" ref="K1038">IFERROR(_xlfn.XLOOKUP(D1038&amp;A1038, RBWR!A:A&amp;RBWR!C:C, RBWR!B:B), "N/A")</f>
        <v>72</v>
      </c>
      <c r="L1038" t="str" cm="1">
        <f t="array" ref="L1038">IFERROR(_xlfn.XLOOKUP(C1038&amp;A1038, RYOE!A:A&amp;RYOE!F:F, RYOE!C:C), "N/A")</f>
        <v>N/A</v>
      </c>
      <c r="M1038" t="str" cm="1">
        <f t="array" ref="M1038">IFERROR(_xlfn.XLOOKUP(C1038&amp;A1038, RYOE!A:A&amp;RYOE!F:F, RYOE!D:D), "N/A")</f>
        <v>N/A</v>
      </c>
      <c r="N1038" t="str" cm="1">
        <f t="array" ref="N1038">IFERROR(_xlfn.XLOOKUP(C1038&amp;A1038, RYOE!A:A&amp;RYOE!F:F, RYOE!E:E), "N/A")</f>
        <v>N/A</v>
      </c>
    </row>
    <row r="1039" spans="1:14" ht="15" customHeight="1" x14ac:dyDescent="0.45">
      <c r="A1039" s="8">
        <v>2020</v>
      </c>
      <c r="B1039" s="6" t="s">
        <v>608</v>
      </c>
      <c r="C1039" s="2" t="str">
        <f t="shared" si="32"/>
        <v>Senorise Perry</v>
      </c>
      <c r="D1039" s="2" t="str">
        <f t="shared" si="33"/>
        <v>TEN</v>
      </c>
      <c r="E1039" s="2">
        <v>2</v>
      </c>
      <c r="F1039" s="2">
        <v>9</v>
      </c>
      <c r="G1039" s="2">
        <v>4.5</v>
      </c>
      <c r="H1039" s="2">
        <v>0</v>
      </c>
      <c r="I1039">
        <v>0</v>
      </c>
      <c r="J1039">
        <v>7</v>
      </c>
      <c r="K1039" cm="1">
        <f t="array" ref="K1039">IFERROR(_xlfn.XLOOKUP(D1039&amp;A1039, RBWR!A:A&amp;RBWR!C:C, RBWR!B:B), "N/A")</f>
        <v>70</v>
      </c>
      <c r="L1039" t="str" cm="1">
        <f t="array" ref="L1039">IFERROR(_xlfn.XLOOKUP(C1039&amp;A1039, RYOE!A:A&amp;RYOE!F:F, RYOE!C:C), "N/A")</f>
        <v>N/A</v>
      </c>
      <c r="M1039" t="str" cm="1">
        <f t="array" ref="M1039">IFERROR(_xlfn.XLOOKUP(C1039&amp;A1039, RYOE!A:A&amp;RYOE!F:F, RYOE!D:D), "N/A")</f>
        <v>N/A</v>
      </c>
      <c r="N1039" t="str" cm="1">
        <f t="array" ref="N1039">IFERROR(_xlfn.XLOOKUP(C1039&amp;A1039, RYOE!A:A&amp;RYOE!F:F, RYOE!E:E), "N/A")</f>
        <v>N/A</v>
      </c>
    </row>
    <row r="1040" spans="1:14" ht="15" customHeight="1" x14ac:dyDescent="0.45">
      <c r="A1040" s="7">
        <v>2020</v>
      </c>
      <c r="B1040" s="5" t="s">
        <v>609</v>
      </c>
      <c r="C1040" s="1" t="str">
        <f t="shared" si="32"/>
        <v>D.J. Foster</v>
      </c>
      <c r="D1040" s="1" t="str">
        <f t="shared" si="33"/>
        <v>ARI</v>
      </c>
      <c r="E1040" s="1">
        <v>2</v>
      </c>
      <c r="F1040" s="1">
        <v>2</v>
      </c>
      <c r="G1040" s="1">
        <v>1</v>
      </c>
      <c r="H1040" s="1">
        <v>0</v>
      </c>
      <c r="I1040">
        <v>0</v>
      </c>
      <c r="J1040">
        <v>10</v>
      </c>
      <c r="K1040" cm="1">
        <f t="array" ref="K1040">IFERROR(_xlfn.XLOOKUP(D1040&amp;A1040, RBWR!A:A&amp;RBWR!C:C, RBWR!B:B), "N/A")</f>
        <v>72</v>
      </c>
      <c r="L1040" t="str" cm="1">
        <f t="array" ref="L1040">IFERROR(_xlfn.XLOOKUP(C1040&amp;A1040, RYOE!A:A&amp;RYOE!F:F, RYOE!C:C), "N/A")</f>
        <v>N/A</v>
      </c>
      <c r="M1040" t="str" cm="1">
        <f t="array" ref="M1040">IFERROR(_xlfn.XLOOKUP(C1040&amp;A1040, RYOE!A:A&amp;RYOE!F:F, RYOE!D:D), "N/A")</f>
        <v>N/A</v>
      </c>
      <c r="N1040" t="str" cm="1">
        <f t="array" ref="N1040">IFERROR(_xlfn.XLOOKUP(C1040&amp;A1040, RYOE!A:A&amp;RYOE!F:F, RYOE!E:E), "N/A")</f>
        <v>N/A</v>
      </c>
    </row>
    <row r="1041" spans="1:14" ht="15" customHeight="1" x14ac:dyDescent="0.45">
      <c r="A1041" s="8">
        <v>2020</v>
      </c>
      <c r="B1041" s="6" t="s">
        <v>610</v>
      </c>
      <c r="C1041" s="2" t="str">
        <f t="shared" si="32"/>
        <v>Chandler Cox</v>
      </c>
      <c r="D1041" s="2" t="str">
        <f t="shared" si="33"/>
        <v>MIA</v>
      </c>
      <c r="E1041" s="2">
        <v>0</v>
      </c>
      <c r="F1041" s="2">
        <v>0</v>
      </c>
      <c r="G1041" s="2">
        <v>0</v>
      </c>
      <c r="H1041" s="2">
        <v>0</v>
      </c>
      <c r="I1041">
        <v>0</v>
      </c>
      <c r="J1041">
        <v>8</v>
      </c>
      <c r="K1041" cm="1">
        <f t="array" ref="K1041">IFERROR(_xlfn.XLOOKUP(D1041&amp;A1041, RBWR!A:A&amp;RBWR!C:C, RBWR!B:B), "N/A")</f>
        <v>69</v>
      </c>
      <c r="L1041" t="str" cm="1">
        <f t="array" ref="L1041">IFERROR(_xlfn.XLOOKUP(C1041&amp;A1041, RYOE!A:A&amp;RYOE!F:F, RYOE!C:C), "N/A")</f>
        <v>N/A</v>
      </c>
      <c r="M1041" t="str" cm="1">
        <f t="array" ref="M1041">IFERROR(_xlfn.XLOOKUP(C1041&amp;A1041, RYOE!A:A&amp;RYOE!F:F, RYOE!D:D), "N/A")</f>
        <v>N/A</v>
      </c>
      <c r="N1041" t="str" cm="1">
        <f t="array" ref="N1041">IFERROR(_xlfn.XLOOKUP(C1041&amp;A1041, RYOE!A:A&amp;RYOE!F:F, RYOE!E:E), "N/A")</f>
        <v>N/A</v>
      </c>
    </row>
    <row r="1042" spans="1:14" ht="15" customHeight="1" x14ac:dyDescent="0.45">
      <c r="A1042" s="7">
        <v>2020</v>
      </c>
      <c r="B1042" s="5" t="s">
        <v>611</v>
      </c>
      <c r="C1042" s="1" t="str">
        <f t="shared" si="32"/>
        <v>Dexter Williams</v>
      </c>
      <c r="D1042" s="1" t="str">
        <f t="shared" si="33"/>
        <v>GB</v>
      </c>
      <c r="E1042" s="1">
        <v>2</v>
      </c>
      <c r="F1042" s="1">
        <v>8</v>
      </c>
      <c r="G1042" s="1">
        <v>4</v>
      </c>
      <c r="H1042" s="1">
        <v>0</v>
      </c>
      <c r="I1042">
        <v>0</v>
      </c>
      <c r="J1042">
        <v>3</v>
      </c>
      <c r="K1042" cm="1">
        <f t="array" ref="K1042">IFERROR(_xlfn.XLOOKUP(D1042&amp;A1042, RBWR!A:A&amp;RBWR!C:C, RBWR!B:B), "N/A")</f>
        <v>74</v>
      </c>
      <c r="L1042" t="str" cm="1">
        <f t="array" ref="L1042">IFERROR(_xlfn.XLOOKUP(C1042&amp;A1042, RYOE!A:A&amp;RYOE!F:F, RYOE!C:C), "N/A")</f>
        <v>N/A</v>
      </c>
      <c r="M1042" t="str" cm="1">
        <f t="array" ref="M1042">IFERROR(_xlfn.XLOOKUP(C1042&amp;A1042, RYOE!A:A&amp;RYOE!F:F, RYOE!D:D), "N/A")</f>
        <v>N/A</v>
      </c>
      <c r="N1042" t="str" cm="1">
        <f t="array" ref="N1042">IFERROR(_xlfn.XLOOKUP(C1042&amp;A1042, RYOE!A:A&amp;RYOE!F:F, RYOE!E:E), "N/A")</f>
        <v>N/A</v>
      </c>
    </row>
    <row r="1043" spans="1:14" ht="15" customHeight="1" x14ac:dyDescent="0.45">
      <c r="A1043" s="8">
        <v>2020</v>
      </c>
      <c r="B1043" s="6" t="s">
        <v>612</v>
      </c>
      <c r="C1043" s="2" t="str">
        <f t="shared" si="32"/>
        <v>Craig Reynolds</v>
      </c>
      <c r="D1043" s="2" t="str">
        <f t="shared" si="33"/>
        <v>JAC</v>
      </c>
      <c r="E1043" s="2">
        <v>1</v>
      </c>
      <c r="F1043" s="2">
        <v>4</v>
      </c>
      <c r="G1043" s="2">
        <v>4</v>
      </c>
      <c r="H1043" s="2">
        <v>0</v>
      </c>
      <c r="I1043">
        <v>0</v>
      </c>
      <c r="J1043">
        <v>2</v>
      </c>
      <c r="K1043" cm="1">
        <f t="array" ref="K1043">IFERROR(_xlfn.XLOOKUP(D1043&amp;A1043, RBWR!A:A&amp;RBWR!C:C, RBWR!B:B), "N/A")</f>
        <v>69</v>
      </c>
      <c r="L1043" t="str" cm="1">
        <f t="array" ref="L1043">IFERROR(_xlfn.XLOOKUP(C1043&amp;A1043, RYOE!A:A&amp;RYOE!F:F, RYOE!C:C), "N/A")</f>
        <v>N/A</v>
      </c>
      <c r="M1043" t="str" cm="1">
        <f t="array" ref="M1043">IFERROR(_xlfn.XLOOKUP(C1043&amp;A1043, RYOE!A:A&amp;RYOE!F:F, RYOE!D:D), "N/A")</f>
        <v>N/A</v>
      </c>
      <c r="N1043" t="str" cm="1">
        <f t="array" ref="N1043">IFERROR(_xlfn.XLOOKUP(C1043&amp;A1043, RYOE!A:A&amp;RYOE!F:F, RYOE!E:E), "N/A")</f>
        <v>N/A</v>
      </c>
    </row>
    <row r="1044" spans="1:14" ht="15" customHeight="1" x14ac:dyDescent="0.45">
      <c r="A1044" s="7">
        <v>2020</v>
      </c>
      <c r="B1044" s="5" t="s">
        <v>613</v>
      </c>
      <c r="C1044" s="1" t="str">
        <f t="shared" si="32"/>
        <v>Lamar Miller</v>
      </c>
      <c r="D1044" s="1" t="str">
        <f t="shared" si="33"/>
        <v>CHI</v>
      </c>
      <c r="E1044" s="1">
        <v>0</v>
      </c>
      <c r="F1044" s="1">
        <v>0</v>
      </c>
      <c r="G1044" s="1">
        <v>0</v>
      </c>
      <c r="H1044" s="1">
        <v>0</v>
      </c>
      <c r="I1044">
        <v>0</v>
      </c>
      <c r="J1044">
        <v>1</v>
      </c>
      <c r="K1044" cm="1">
        <f t="array" ref="K1044">IFERROR(_xlfn.XLOOKUP(D1044&amp;A1044, RBWR!A:A&amp;RBWR!C:C, RBWR!B:B), "N/A")</f>
        <v>71</v>
      </c>
      <c r="L1044" t="str" cm="1">
        <f t="array" ref="L1044">IFERROR(_xlfn.XLOOKUP(C1044&amp;A1044, RYOE!A:A&amp;RYOE!F:F, RYOE!C:C), "N/A")</f>
        <v>N/A</v>
      </c>
      <c r="M1044" t="str" cm="1">
        <f t="array" ref="M1044">IFERROR(_xlfn.XLOOKUP(C1044&amp;A1044, RYOE!A:A&amp;RYOE!F:F, RYOE!D:D), "N/A")</f>
        <v>N/A</v>
      </c>
      <c r="N1044" t="str" cm="1">
        <f t="array" ref="N1044">IFERROR(_xlfn.XLOOKUP(C1044&amp;A1044, RYOE!A:A&amp;RYOE!F:F, RYOE!E:E), "N/A")</f>
        <v>N/A</v>
      </c>
    </row>
    <row r="1045" spans="1:14" ht="15" customHeight="1" x14ac:dyDescent="0.45">
      <c r="A1045" s="8">
        <v>2020</v>
      </c>
      <c r="B1045" s="6" t="s">
        <v>614</v>
      </c>
      <c r="C1045" s="2" t="str">
        <f t="shared" si="32"/>
        <v>Jonathan Williams</v>
      </c>
      <c r="D1045" s="2" t="str">
        <f t="shared" si="33"/>
        <v>DET</v>
      </c>
      <c r="E1045" s="2">
        <v>1</v>
      </c>
      <c r="F1045" s="2">
        <v>5</v>
      </c>
      <c r="G1045" s="2">
        <v>5</v>
      </c>
      <c r="H1045" s="2">
        <v>0</v>
      </c>
      <c r="I1045">
        <v>1</v>
      </c>
      <c r="J1045">
        <v>5</v>
      </c>
      <c r="K1045" cm="1">
        <f t="array" ref="K1045">IFERROR(_xlfn.XLOOKUP(D1045&amp;A1045, RBWR!A:A&amp;RBWR!C:C, RBWR!B:B), "N/A")</f>
        <v>70</v>
      </c>
      <c r="L1045" t="str" cm="1">
        <f t="array" ref="L1045">IFERROR(_xlfn.XLOOKUP(C1045&amp;A1045, RYOE!A:A&amp;RYOE!F:F, RYOE!C:C), "N/A")</f>
        <v>N/A</v>
      </c>
      <c r="M1045" t="str" cm="1">
        <f t="array" ref="M1045">IFERROR(_xlfn.XLOOKUP(C1045&amp;A1045, RYOE!A:A&amp;RYOE!F:F, RYOE!D:D), "N/A")</f>
        <v>N/A</v>
      </c>
      <c r="N1045" t="str" cm="1">
        <f t="array" ref="N1045">IFERROR(_xlfn.XLOOKUP(C1045&amp;A1045, RYOE!A:A&amp;RYOE!F:F, RYOE!E:E), "N/A")</f>
        <v>N/A</v>
      </c>
    </row>
    <row r="1046" spans="1:14" ht="15" customHeight="1" x14ac:dyDescent="0.45">
      <c r="A1046" s="7">
        <v>2020</v>
      </c>
      <c r="B1046" s="5" t="s">
        <v>615</v>
      </c>
      <c r="C1046" s="1" t="str">
        <f t="shared" si="32"/>
        <v>Cullen Gillaspia</v>
      </c>
      <c r="D1046" s="1" t="str">
        <f t="shared" si="33"/>
        <v>HOU</v>
      </c>
      <c r="E1046" s="1">
        <v>0</v>
      </c>
      <c r="F1046" s="1">
        <v>0</v>
      </c>
      <c r="G1046" s="1">
        <v>0</v>
      </c>
      <c r="H1046" s="1">
        <v>0</v>
      </c>
      <c r="I1046">
        <v>0</v>
      </c>
      <c r="J1046">
        <v>7</v>
      </c>
      <c r="K1046" cm="1">
        <f t="array" ref="K1046">IFERROR(_xlfn.XLOOKUP(D1046&amp;A1046, RBWR!A:A&amp;RBWR!C:C, RBWR!B:B), "N/A")</f>
        <v>73</v>
      </c>
      <c r="L1046" t="str" cm="1">
        <f t="array" ref="L1046">IFERROR(_xlfn.XLOOKUP(C1046&amp;A1046, RYOE!A:A&amp;RYOE!F:F, RYOE!C:C), "N/A")</f>
        <v>N/A</v>
      </c>
      <c r="M1046" t="str" cm="1">
        <f t="array" ref="M1046">IFERROR(_xlfn.XLOOKUP(C1046&amp;A1046, RYOE!A:A&amp;RYOE!F:F, RYOE!D:D), "N/A")</f>
        <v>N/A</v>
      </c>
      <c r="N1046" t="str" cm="1">
        <f t="array" ref="N1046">IFERROR(_xlfn.XLOOKUP(C1046&amp;A1046, RYOE!A:A&amp;RYOE!F:F, RYOE!E:E), "N/A")</f>
        <v>N/A</v>
      </c>
    </row>
    <row r="1047" spans="1:14" ht="15" customHeight="1" x14ac:dyDescent="0.45">
      <c r="A1047" s="8">
        <v>2020</v>
      </c>
      <c r="B1047" s="6" t="s">
        <v>616</v>
      </c>
      <c r="C1047" s="2" t="str">
        <f t="shared" si="32"/>
        <v>Tony Brooks-James</v>
      </c>
      <c r="D1047" s="2" t="str">
        <f t="shared" si="33"/>
        <v>ATL</v>
      </c>
      <c r="E1047" s="2">
        <v>3</v>
      </c>
      <c r="F1047" s="2">
        <v>4</v>
      </c>
      <c r="G1047" s="2">
        <v>1.3</v>
      </c>
      <c r="H1047" s="2">
        <v>0</v>
      </c>
      <c r="I1047">
        <v>0</v>
      </c>
      <c r="J1047">
        <v>1</v>
      </c>
      <c r="K1047" cm="1">
        <f t="array" ref="K1047">IFERROR(_xlfn.XLOOKUP(D1047&amp;A1047, RBWR!A:A&amp;RBWR!C:C, RBWR!B:B), "N/A")</f>
        <v>69</v>
      </c>
      <c r="L1047" t="str" cm="1">
        <f t="array" ref="L1047">IFERROR(_xlfn.XLOOKUP(C1047&amp;A1047, RYOE!A:A&amp;RYOE!F:F, RYOE!C:C), "N/A")</f>
        <v>N/A</v>
      </c>
      <c r="M1047" t="str" cm="1">
        <f t="array" ref="M1047">IFERROR(_xlfn.XLOOKUP(C1047&amp;A1047, RYOE!A:A&amp;RYOE!F:F, RYOE!D:D), "N/A")</f>
        <v>N/A</v>
      </c>
      <c r="N1047" t="str" cm="1">
        <f t="array" ref="N1047">IFERROR(_xlfn.XLOOKUP(C1047&amp;A1047, RYOE!A:A&amp;RYOE!F:F, RYOE!E:E), "N/A")</f>
        <v>N/A</v>
      </c>
    </row>
    <row r="1048" spans="1:14" ht="15" customHeight="1" x14ac:dyDescent="0.45">
      <c r="A1048" s="7">
        <v>2020</v>
      </c>
      <c r="B1048" s="5" t="s">
        <v>497</v>
      </c>
      <c r="C1048" s="1" t="str">
        <f t="shared" si="32"/>
        <v>Qadree Ollison</v>
      </c>
      <c r="D1048" s="1" t="str">
        <f t="shared" si="33"/>
        <v>ATL</v>
      </c>
      <c r="E1048" s="1">
        <v>1</v>
      </c>
      <c r="F1048" s="1">
        <v>3</v>
      </c>
      <c r="G1048" s="1">
        <v>3</v>
      </c>
      <c r="H1048" s="1">
        <v>0</v>
      </c>
      <c r="I1048">
        <v>0</v>
      </c>
      <c r="J1048">
        <v>3</v>
      </c>
      <c r="K1048" cm="1">
        <f t="array" ref="K1048">IFERROR(_xlfn.XLOOKUP(D1048&amp;A1048, RBWR!A:A&amp;RBWR!C:C, RBWR!B:B), "N/A")</f>
        <v>69</v>
      </c>
      <c r="L1048" t="str" cm="1">
        <f t="array" ref="L1048">IFERROR(_xlfn.XLOOKUP(C1048&amp;A1048, RYOE!A:A&amp;RYOE!F:F, RYOE!C:C), "N/A")</f>
        <v>N/A</v>
      </c>
      <c r="M1048" t="str" cm="1">
        <f t="array" ref="M1048">IFERROR(_xlfn.XLOOKUP(C1048&amp;A1048, RYOE!A:A&amp;RYOE!F:F, RYOE!D:D), "N/A")</f>
        <v>N/A</v>
      </c>
      <c r="N1048" t="str" cm="1">
        <f t="array" ref="N1048">IFERROR(_xlfn.XLOOKUP(C1048&amp;A1048, RYOE!A:A&amp;RYOE!F:F, RYOE!E:E), "N/A")</f>
        <v>N/A</v>
      </c>
    </row>
    <row r="1049" spans="1:14" ht="15" customHeight="1" x14ac:dyDescent="0.45">
      <c r="A1049" s="8">
        <v>2020</v>
      </c>
      <c r="B1049" s="6" t="s">
        <v>451</v>
      </c>
      <c r="C1049" s="2" t="str">
        <f t="shared" si="32"/>
        <v>Taiwan Jones</v>
      </c>
      <c r="D1049" s="2" t="str">
        <f t="shared" si="33"/>
        <v>BUF</v>
      </c>
      <c r="E1049" s="2">
        <v>0</v>
      </c>
      <c r="F1049" s="2">
        <v>0</v>
      </c>
      <c r="G1049" s="2">
        <v>0</v>
      </c>
      <c r="H1049" s="2">
        <v>0</v>
      </c>
      <c r="I1049">
        <v>0</v>
      </c>
      <c r="J1049">
        <v>13</v>
      </c>
      <c r="K1049" cm="1">
        <f t="array" ref="K1049">IFERROR(_xlfn.XLOOKUP(D1049&amp;A1049, RBWR!A:A&amp;RBWR!C:C, RBWR!B:B), "N/A")</f>
        <v>69</v>
      </c>
      <c r="L1049" t="str" cm="1">
        <f t="array" ref="L1049">IFERROR(_xlfn.XLOOKUP(C1049&amp;A1049, RYOE!A:A&amp;RYOE!F:F, RYOE!C:C), "N/A")</f>
        <v>N/A</v>
      </c>
      <c r="M1049" t="str" cm="1">
        <f t="array" ref="M1049">IFERROR(_xlfn.XLOOKUP(C1049&amp;A1049, RYOE!A:A&amp;RYOE!F:F, RYOE!D:D), "N/A")</f>
        <v>N/A</v>
      </c>
      <c r="N1049" t="str" cm="1">
        <f t="array" ref="N1049">IFERROR(_xlfn.XLOOKUP(C1049&amp;A1049, RYOE!A:A&amp;RYOE!F:F, RYOE!E:E), "N/A")</f>
        <v>N/A</v>
      </c>
    </row>
    <row r="1050" spans="1:14" ht="15" customHeight="1" x14ac:dyDescent="0.45">
      <c r="A1050" s="7">
        <v>2020</v>
      </c>
      <c r="B1050" s="5" t="s">
        <v>617</v>
      </c>
      <c r="C1050" s="1" t="str">
        <f t="shared" si="32"/>
        <v>Bruce Miller</v>
      </c>
      <c r="D1050" s="1" t="str">
        <f t="shared" si="33"/>
        <v>JAC</v>
      </c>
      <c r="E1050" s="1">
        <v>0</v>
      </c>
      <c r="F1050" s="1">
        <v>0</v>
      </c>
      <c r="G1050" s="1">
        <v>0</v>
      </c>
      <c r="H1050" s="1">
        <v>0</v>
      </c>
      <c r="I1050">
        <v>0</v>
      </c>
      <c r="J1050">
        <v>8</v>
      </c>
      <c r="K1050" cm="1">
        <f t="array" ref="K1050">IFERROR(_xlfn.XLOOKUP(D1050&amp;A1050, RBWR!A:A&amp;RBWR!C:C, RBWR!B:B), "N/A")</f>
        <v>69</v>
      </c>
      <c r="L1050" t="str" cm="1">
        <f t="array" ref="L1050">IFERROR(_xlfn.XLOOKUP(C1050&amp;A1050, RYOE!A:A&amp;RYOE!F:F, RYOE!C:C), "N/A")</f>
        <v>N/A</v>
      </c>
      <c r="M1050" t="str" cm="1">
        <f t="array" ref="M1050">IFERROR(_xlfn.XLOOKUP(C1050&amp;A1050, RYOE!A:A&amp;RYOE!F:F, RYOE!D:D), "N/A")</f>
        <v>N/A</v>
      </c>
      <c r="N1050" t="str" cm="1">
        <f t="array" ref="N1050">IFERROR(_xlfn.XLOOKUP(C1050&amp;A1050, RYOE!A:A&amp;RYOE!F:F, RYOE!E:E), "N/A")</f>
        <v>N/A</v>
      </c>
    </row>
    <row r="1051" spans="1:14" ht="15" customHeight="1" x14ac:dyDescent="0.45">
      <c r="A1051" s="8">
        <v>2020</v>
      </c>
      <c r="B1051" s="6" t="s">
        <v>438</v>
      </c>
      <c r="C1051" s="2" t="str">
        <f t="shared" si="32"/>
        <v>Kenjon Barner</v>
      </c>
      <c r="D1051" s="2" t="str">
        <f t="shared" si="33"/>
        <v>TB</v>
      </c>
      <c r="E1051" s="2">
        <v>0</v>
      </c>
      <c r="F1051" s="2">
        <v>0</v>
      </c>
      <c r="G1051" s="2">
        <v>0</v>
      </c>
      <c r="H1051" s="2">
        <v>0</v>
      </c>
      <c r="I1051">
        <v>0</v>
      </c>
      <c r="J1051">
        <v>6</v>
      </c>
      <c r="K1051" cm="1">
        <f t="array" ref="K1051">IFERROR(_xlfn.XLOOKUP(D1051&amp;A1051, RBWR!A:A&amp;RBWR!C:C, RBWR!B:B), "N/A")</f>
        <v>70</v>
      </c>
      <c r="L1051" t="str" cm="1">
        <f t="array" ref="L1051">IFERROR(_xlfn.XLOOKUP(C1051&amp;A1051, RYOE!A:A&amp;RYOE!F:F, RYOE!C:C), "N/A")</f>
        <v>N/A</v>
      </c>
      <c r="M1051" t="str" cm="1">
        <f t="array" ref="M1051">IFERROR(_xlfn.XLOOKUP(C1051&amp;A1051, RYOE!A:A&amp;RYOE!F:F, RYOE!D:D), "N/A")</f>
        <v>N/A</v>
      </c>
      <c r="N1051" t="str" cm="1">
        <f t="array" ref="N1051">IFERROR(_xlfn.XLOOKUP(C1051&amp;A1051, RYOE!A:A&amp;RYOE!F:F, RYOE!E:E), "N/A")</f>
        <v>N/A</v>
      </c>
    </row>
    <row r="1052" spans="1:14" ht="15" customHeight="1" x14ac:dyDescent="0.45">
      <c r="A1052" s="7">
        <v>2020</v>
      </c>
      <c r="B1052" s="5" t="s">
        <v>618</v>
      </c>
      <c r="C1052" s="1" t="str">
        <f t="shared" si="32"/>
        <v>Wendell Smallwood</v>
      </c>
      <c r="D1052" s="1" t="str">
        <f t="shared" si="33"/>
        <v>PIT</v>
      </c>
      <c r="E1052" s="1">
        <v>0</v>
      </c>
      <c r="F1052" s="1">
        <v>0</v>
      </c>
      <c r="G1052" s="1">
        <v>0</v>
      </c>
      <c r="H1052" s="1">
        <v>0</v>
      </c>
      <c r="I1052">
        <v>0</v>
      </c>
      <c r="J1052">
        <v>1</v>
      </c>
      <c r="K1052" cm="1">
        <f t="array" ref="K1052">IFERROR(_xlfn.XLOOKUP(D1052&amp;A1052, RBWR!A:A&amp;RBWR!C:C, RBWR!B:B), "N/A")</f>
        <v>69</v>
      </c>
      <c r="L1052" t="str" cm="1">
        <f t="array" ref="L1052">IFERROR(_xlfn.XLOOKUP(C1052&amp;A1052, RYOE!A:A&amp;RYOE!F:F, RYOE!C:C), "N/A")</f>
        <v>N/A</v>
      </c>
      <c r="M1052" t="str" cm="1">
        <f t="array" ref="M1052">IFERROR(_xlfn.XLOOKUP(C1052&amp;A1052, RYOE!A:A&amp;RYOE!F:F, RYOE!D:D), "N/A")</f>
        <v>N/A</v>
      </c>
      <c r="N1052" t="str" cm="1">
        <f t="array" ref="N1052">IFERROR(_xlfn.XLOOKUP(C1052&amp;A1052, RYOE!A:A&amp;RYOE!F:F, RYOE!E:E), "N/A")</f>
        <v>N/A</v>
      </c>
    </row>
    <row r="1053" spans="1:14" ht="15" customHeight="1" x14ac:dyDescent="0.45">
      <c r="A1053" s="8">
        <v>2020</v>
      </c>
      <c r="B1053" s="6" t="s">
        <v>407</v>
      </c>
      <c r="C1053" s="2" t="str">
        <f t="shared" si="32"/>
        <v>Derek Watt</v>
      </c>
      <c r="D1053" s="2" t="str">
        <f t="shared" si="33"/>
        <v>PIT</v>
      </c>
      <c r="E1053" s="2">
        <v>0</v>
      </c>
      <c r="F1053" s="2">
        <v>0</v>
      </c>
      <c r="G1053" s="2">
        <v>0</v>
      </c>
      <c r="H1053" s="2">
        <v>0</v>
      </c>
      <c r="I1053">
        <v>0</v>
      </c>
      <c r="J1053">
        <v>12</v>
      </c>
      <c r="K1053" cm="1">
        <f t="array" ref="K1053">IFERROR(_xlfn.XLOOKUP(D1053&amp;A1053, RBWR!A:A&amp;RBWR!C:C, RBWR!B:B), "N/A")</f>
        <v>69</v>
      </c>
      <c r="L1053" t="str" cm="1">
        <f t="array" ref="L1053">IFERROR(_xlfn.XLOOKUP(C1053&amp;A1053, RYOE!A:A&amp;RYOE!F:F, RYOE!C:C), "N/A")</f>
        <v>N/A</v>
      </c>
      <c r="M1053" t="str" cm="1">
        <f t="array" ref="M1053">IFERROR(_xlfn.XLOOKUP(C1053&amp;A1053, RYOE!A:A&amp;RYOE!F:F, RYOE!D:D), "N/A")</f>
        <v>N/A</v>
      </c>
      <c r="N1053" t="str" cm="1">
        <f t="array" ref="N1053">IFERROR(_xlfn.XLOOKUP(C1053&amp;A1053, RYOE!A:A&amp;RYOE!F:F, RYOE!E:E), "N/A")</f>
        <v>N/A</v>
      </c>
    </row>
    <row r="1054" spans="1:14" ht="15" customHeight="1" x14ac:dyDescent="0.45">
      <c r="A1054" s="7">
        <v>2020</v>
      </c>
      <c r="B1054" s="5" t="s">
        <v>531</v>
      </c>
      <c r="C1054" s="1" t="str">
        <f t="shared" si="32"/>
        <v>J.P. Holtz</v>
      </c>
      <c r="D1054" s="1" t="str">
        <f t="shared" si="33"/>
        <v>CHI</v>
      </c>
      <c r="E1054" s="1">
        <v>0</v>
      </c>
      <c r="F1054" s="1">
        <v>0</v>
      </c>
      <c r="G1054" s="1">
        <v>0</v>
      </c>
      <c r="H1054" s="1">
        <v>0</v>
      </c>
      <c r="I1054">
        <v>0</v>
      </c>
      <c r="J1054">
        <v>16</v>
      </c>
      <c r="K1054" cm="1">
        <f t="array" ref="K1054">IFERROR(_xlfn.XLOOKUP(D1054&amp;A1054, RBWR!A:A&amp;RBWR!C:C, RBWR!B:B), "N/A")</f>
        <v>71</v>
      </c>
      <c r="L1054" t="str" cm="1">
        <f t="array" ref="L1054">IFERROR(_xlfn.XLOOKUP(C1054&amp;A1054, RYOE!A:A&amp;RYOE!F:F, RYOE!C:C), "N/A")</f>
        <v>N/A</v>
      </c>
      <c r="M1054" t="str" cm="1">
        <f t="array" ref="M1054">IFERROR(_xlfn.XLOOKUP(C1054&amp;A1054, RYOE!A:A&amp;RYOE!F:F, RYOE!D:D), "N/A")</f>
        <v>N/A</v>
      </c>
      <c r="N1054" t="str" cm="1">
        <f t="array" ref="N1054">IFERROR(_xlfn.XLOOKUP(C1054&amp;A1054, RYOE!A:A&amp;RYOE!F:F, RYOE!E:E), "N/A")</f>
        <v>N/A</v>
      </c>
    </row>
    <row r="1055" spans="1:14" ht="15" customHeight="1" x14ac:dyDescent="0.45">
      <c r="A1055" s="8">
        <v>2020</v>
      </c>
      <c r="B1055" s="6" t="s">
        <v>440</v>
      </c>
      <c r="C1055" s="2" t="str">
        <f t="shared" si="32"/>
        <v>Brandin Bryant</v>
      </c>
      <c r="D1055" s="2" t="str">
        <f t="shared" si="33"/>
        <v>BUF</v>
      </c>
      <c r="E1055" s="2">
        <v>0</v>
      </c>
      <c r="F1055" s="2">
        <v>0</v>
      </c>
      <c r="G1055" s="2">
        <v>0</v>
      </c>
      <c r="H1055" s="2">
        <v>0</v>
      </c>
      <c r="I1055">
        <v>0</v>
      </c>
      <c r="J1055">
        <v>1</v>
      </c>
      <c r="K1055" cm="1">
        <f t="array" ref="K1055">IFERROR(_xlfn.XLOOKUP(D1055&amp;A1055, RBWR!A:A&amp;RBWR!C:C, RBWR!B:B), "N/A")</f>
        <v>69</v>
      </c>
      <c r="L1055" t="str" cm="1">
        <f t="array" ref="L1055">IFERROR(_xlfn.XLOOKUP(C1055&amp;A1055, RYOE!A:A&amp;RYOE!F:F, RYOE!C:C), "N/A")</f>
        <v>N/A</v>
      </c>
      <c r="M1055" t="str" cm="1">
        <f t="array" ref="M1055">IFERROR(_xlfn.XLOOKUP(C1055&amp;A1055, RYOE!A:A&amp;RYOE!F:F, RYOE!D:D), "N/A")</f>
        <v>N/A</v>
      </c>
      <c r="N1055" t="str" cm="1">
        <f t="array" ref="N1055">IFERROR(_xlfn.XLOOKUP(C1055&amp;A1055, RYOE!A:A&amp;RYOE!F:F, RYOE!E:E), "N/A")</f>
        <v>N/A</v>
      </c>
    </row>
    <row r="1056" spans="1:14" ht="15" customHeight="1" x14ac:dyDescent="0.45">
      <c r="A1056" s="7">
        <v>2020</v>
      </c>
      <c r="B1056" s="5" t="s">
        <v>619</v>
      </c>
      <c r="C1056" s="1" t="str">
        <f t="shared" si="32"/>
        <v>Cethan Carter</v>
      </c>
      <c r="D1056" s="1" t="str">
        <f t="shared" si="33"/>
        <v>CIN</v>
      </c>
      <c r="E1056" s="1">
        <v>0</v>
      </c>
      <c r="F1056" s="1">
        <v>0</v>
      </c>
      <c r="G1056" s="1">
        <v>0</v>
      </c>
      <c r="H1056" s="1">
        <v>0</v>
      </c>
      <c r="I1056">
        <v>0</v>
      </c>
      <c r="J1056">
        <v>15</v>
      </c>
      <c r="K1056" cm="1">
        <f t="array" ref="K1056">IFERROR(_xlfn.XLOOKUP(D1056&amp;A1056, RBWR!A:A&amp;RBWR!C:C, RBWR!B:B), "N/A")</f>
        <v>71</v>
      </c>
      <c r="L1056" t="str" cm="1">
        <f t="array" ref="L1056">IFERROR(_xlfn.XLOOKUP(C1056&amp;A1056, RYOE!A:A&amp;RYOE!F:F, RYOE!C:C), "N/A")</f>
        <v>N/A</v>
      </c>
      <c r="M1056" t="str" cm="1">
        <f t="array" ref="M1056">IFERROR(_xlfn.XLOOKUP(C1056&amp;A1056, RYOE!A:A&amp;RYOE!F:F, RYOE!D:D), "N/A")</f>
        <v>N/A</v>
      </c>
      <c r="N1056" t="str" cm="1">
        <f t="array" ref="N1056">IFERROR(_xlfn.XLOOKUP(C1056&amp;A1056, RYOE!A:A&amp;RYOE!F:F, RYOE!E:E), "N/A")</f>
        <v>N/A</v>
      </c>
    </row>
    <row r="1057" spans="1:14" ht="15" customHeight="1" x14ac:dyDescent="0.45">
      <c r="A1057" s="8">
        <v>2020</v>
      </c>
      <c r="B1057" s="6" t="s">
        <v>536</v>
      </c>
      <c r="C1057" s="2" t="str">
        <f t="shared" si="32"/>
        <v>Trey Edmunds</v>
      </c>
      <c r="D1057" s="2" t="str">
        <f t="shared" si="33"/>
        <v>PIT</v>
      </c>
      <c r="E1057" s="2">
        <v>0</v>
      </c>
      <c r="F1057" s="2">
        <v>0</v>
      </c>
      <c r="G1057" s="2">
        <v>0</v>
      </c>
      <c r="H1057" s="2">
        <v>0</v>
      </c>
      <c r="I1057">
        <v>0</v>
      </c>
      <c r="J1057">
        <v>4</v>
      </c>
      <c r="K1057" cm="1">
        <f t="array" ref="K1057">IFERROR(_xlfn.XLOOKUP(D1057&amp;A1057, RBWR!A:A&amp;RBWR!C:C, RBWR!B:B), "N/A")</f>
        <v>69</v>
      </c>
      <c r="L1057" t="str" cm="1">
        <f t="array" ref="L1057">IFERROR(_xlfn.XLOOKUP(C1057&amp;A1057, RYOE!A:A&amp;RYOE!F:F, RYOE!C:C), "N/A")</f>
        <v>N/A</v>
      </c>
      <c r="M1057" t="str" cm="1">
        <f t="array" ref="M1057">IFERROR(_xlfn.XLOOKUP(C1057&amp;A1057, RYOE!A:A&amp;RYOE!F:F, RYOE!D:D), "N/A")</f>
        <v>N/A</v>
      </c>
      <c r="N1057" t="str" cm="1">
        <f t="array" ref="N1057">IFERROR(_xlfn.XLOOKUP(C1057&amp;A1057, RYOE!A:A&amp;RYOE!F:F, RYOE!E:E), "N/A")</f>
        <v>N/A</v>
      </c>
    </row>
    <row r="1058" spans="1:14" ht="15" customHeight="1" x14ac:dyDescent="0.45">
      <c r="A1058" s="7">
        <v>2020</v>
      </c>
      <c r="B1058" s="5" t="s">
        <v>355</v>
      </c>
      <c r="C1058" s="1" t="str">
        <f t="shared" si="32"/>
        <v>Jason Cabinda</v>
      </c>
      <c r="D1058" s="1" t="str">
        <f t="shared" si="33"/>
        <v>DET</v>
      </c>
      <c r="E1058" s="1">
        <v>1</v>
      </c>
      <c r="F1058" s="1">
        <v>0</v>
      </c>
      <c r="G1058" s="1">
        <v>0</v>
      </c>
      <c r="H1058" s="1">
        <v>0</v>
      </c>
      <c r="I1058">
        <v>0</v>
      </c>
      <c r="J1058">
        <v>16</v>
      </c>
      <c r="K1058" cm="1">
        <f t="array" ref="K1058">IFERROR(_xlfn.XLOOKUP(D1058&amp;A1058, RBWR!A:A&amp;RBWR!C:C, RBWR!B:B), "N/A")</f>
        <v>70</v>
      </c>
      <c r="L1058" t="str" cm="1">
        <f t="array" ref="L1058">IFERROR(_xlfn.XLOOKUP(C1058&amp;A1058, RYOE!A:A&amp;RYOE!F:F, RYOE!C:C), "N/A")</f>
        <v>N/A</v>
      </c>
      <c r="M1058" t="str" cm="1">
        <f t="array" ref="M1058">IFERROR(_xlfn.XLOOKUP(C1058&amp;A1058, RYOE!A:A&amp;RYOE!F:F, RYOE!D:D), "N/A")</f>
        <v>N/A</v>
      </c>
      <c r="N1058" t="str" cm="1">
        <f t="array" ref="N1058">IFERROR(_xlfn.XLOOKUP(C1058&amp;A1058, RYOE!A:A&amp;RYOE!F:F, RYOE!E:E), "N/A")</f>
        <v>N/A</v>
      </c>
    </row>
    <row r="1059" spans="1:14" ht="15" customHeight="1" x14ac:dyDescent="0.45">
      <c r="A1059" s="8">
        <v>2020</v>
      </c>
      <c r="B1059" s="6" t="s">
        <v>506</v>
      </c>
      <c r="C1059" s="2" t="str">
        <f t="shared" si="32"/>
        <v>Johnny Stanton IV</v>
      </c>
      <c r="D1059" s="2" t="str">
        <f t="shared" si="33"/>
        <v>CLE</v>
      </c>
      <c r="E1059" s="2">
        <v>0</v>
      </c>
      <c r="F1059" s="2">
        <v>0</v>
      </c>
      <c r="G1059" s="2">
        <v>0</v>
      </c>
      <c r="H1059" s="2">
        <v>0</v>
      </c>
      <c r="I1059">
        <v>0</v>
      </c>
      <c r="J1059">
        <v>1</v>
      </c>
      <c r="K1059" cm="1">
        <f t="array" ref="K1059">IFERROR(_xlfn.XLOOKUP(D1059&amp;A1059, RBWR!A:A&amp;RBWR!C:C, RBWR!B:B), "N/A")</f>
        <v>71</v>
      </c>
      <c r="L1059" t="str" cm="1">
        <f t="array" ref="L1059">IFERROR(_xlfn.XLOOKUP(C1059&amp;A1059, RYOE!A:A&amp;RYOE!F:F, RYOE!C:C), "N/A")</f>
        <v>N/A</v>
      </c>
      <c r="M1059" t="str" cm="1">
        <f t="array" ref="M1059">IFERROR(_xlfn.XLOOKUP(C1059&amp;A1059, RYOE!A:A&amp;RYOE!F:F, RYOE!D:D), "N/A")</f>
        <v>N/A</v>
      </c>
      <c r="N1059" t="str" cm="1">
        <f t="array" ref="N1059">IFERROR(_xlfn.XLOOKUP(C1059&amp;A1059, RYOE!A:A&amp;RYOE!F:F, RYOE!E:E), "N/A")</f>
        <v>N/A</v>
      </c>
    </row>
    <row r="1060" spans="1:14" ht="15" customHeight="1" x14ac:dyDescent="0.45">
      <c r="A1060" s="7">
        <v>2020</v>
      </c>
      <c r="B1060" s="5" t="s">
        <v>620</v>
      </c>
      <c r="C1060" s="1" t="str">
        <f t="shared" si="32"/>
        <v>Elijah Holyfield</v>
      </c>
      <c r="D1060" s="1" t="str">
        <f t="shared" si="33"/>
        <v>PHI</v>
      </c>
      <c r="E1060" s="1">
        <v>0</v>
      </c>
      <c r="F1060" s="1">
        <v>0</v>
      </c>
      <c r="G1060" s="1">
        <v>0</v>
      </c>
      <c r="H1060" s="1">
        <v>0</v>
      </c>
      <c r="I1060">
        <v>0</v>
      </c>
      <c r="J1060">
        <v>1</v>
      </c>
      <c r="K1060" cm="1">
        <f t="array" ref="K1060">IFERROR(_xlfn.XLOOKUP(D1060&amp;A1060, RBWR!A:A&amp;RBWR!C:C, RBWR!B:B), "N/A")</f>
        <v>73</v>
      </c>
      <c r="L1060" t="str" cm="1">
        <f t="array" ref="L1060">IFERROR(_xlfn.XLOOKUP(C1060&amp;A1060, RYOE!A:A&amp;RYOE!F:F, RYOE!C:C), "N/A")</f>
        <v>N/A</v>
      </c>
      <c r="M1060" t="str" cm="1">
        <f t="array" ref="M1060">IFERROR(_xlfn.XLOOKUP(C1060&amp;A1060, RYOE!A:A&amp;RYOE!F:F, RYOE!D:D), "N/A")</f>
        <v>N/A</v>
      </c>
      <c r="N1060" t="str" cm="1">
        <f t="array" ref="N1060">IFERROR(_xlfn.XLOOKUP(C1060&amp;A1060, RYOE!A:A&amp;RYOE!F:F, RYOE!E:E), "N/A")</f>
        <v>N/A</v>
      </c>
    </row>
    <row r="1061" spans="1:14" ht="15" customHeight="1" x14ac:dyDescent="0.45">
      <c r="A1061" s="8">
        <v>2020</v>
      </c>
      <c r="B1061" s="6" t="s">
        <v>444</v>
      </c>
      <c r="C1061" s="2" t="str">
        <f t="shared" si="32"/>
        <v>Andrew Beck</v>
      </c>
      <c r="D1061" s="2" t="str">
        <f t="shared" si="33"/>
        <v>DEN</v>
      </c>
      <c r="E1061" s="2">
        <v>0</v>
      </c>
      <c r="F1061" s="2">
        <v>0</v>
      </c>
      <c r="G1061" s="2">
        <v>0</v>
      </c>
      <c r="H1061" s="2">
        <v>0</v>
      </c>
      <c r="I1061">
        <v>0</v>
      </c>
      <c r="J1061">
        <v>10</v>
      </c>
      <c r="K1061" cm="1">
        <f t="array" ref="K1061">IFERROR(_xlfn.XLOOKUP(D1061&amp;A1061, RBWR!A:A&amp;RBWR!C:C, RBWR!B:B), "N/A")</f>
        <v>70</v>
      </c>
      <c r="L1061" t="str" cm="1">
        <f t="array" ref="L1061">IFERROR(_xlfn.XLOOKUP(C1061&amp;A1061, RYOE!A:A&amp;RYOE!F:F, RYOE!C:C), "N/A")</f>
        <v>N/A</v>
      </c>
      <c r="M1061" t="str" cm="1">
        <f t="array" ref="M1061">IFERROR(_xlfn.XLOOKUP(C1061&amp;A1061, RYOE!A:A&amp;RYOE!F:F, RYOE!D:D), "N/A")</f>
        <v>N/A</v>
      </c>
      <c r="N1061" t="str" cm="1">
        <f t="array" ref="N1061">IFERROR(_xlfn.XLOOKUP(C1061&amp;A1061, RYOE!A:A&amp;RYOE!F:F, RYOE!E:E), "N/A")</f>
        <v>N/A</v>
      </c>
    </row>
    <row r="1062" spans="1:14" ht="15" customHeight="1" x14ac:dyDescent="0.45">
      <c r="A1062" s="7">
        <v>2020</v>
      </c>
      <c r="B1062" s="5" t="s">
        <v>621</v>
      </c>
      <c r="C1062" s="1" t="str">
        <f t="shared" si="32"/>
        <v>John Lovett</v>
      </c>
      <c r="D1062" s="1" t="str">
        <f t="shared" si="33"/>
        <v>GB</v>
      </c>
      <c r="E1062" s="1">
        <v>3</v>
      </c>
      <c r="F1062" s="1">
        <v>6</v>
      </c>
      <c r="G1062" s="1">
        <v>2</v>
      </c>
      <c r="H1062" s="1">
        <v>0</v>
      </c>
      <c r="I1062">
        <v>0</v>
      </c>
      <c r="J1062">
        <v>8</v>
      </c>
      <c r="K1062" cm="1">
        <f t="array" ref="K1062">IFERROR(_xlfn.XLOOKUP(D1062&amp;A1062, RBWR!A:A&amp;RBWR!C:C, RBWR!B:B), "N/A")</f>
        <v>74</v>
      </c>
      <c r="L1062" t="str" cm="1">
        <f t="array" ref="L1062">IFERROR(_xlfn.XLOOKUP(C1062&amp;A1062, RYOE!A:A&amp;RYOE!F:F, RYOE!C:C), "N/A")</f>
        <v>N/A</v>
      </c>
      <c r="M1062" t="str" cm="1">
        <f t="array" ref="M1062">IFERROR(_xlfn.XLOOKUP(C1062&amp;A1062, RYOE!A:A&amp;RYOE!F:F, RYOE!D:D), "N/A")</f>
        <v>N/A</v>
      </c>
      <c r="N1062" t="str" cm="1">
        <f t="array" ref="N1062">IFERROR(_xlfn.XLOOKUP(C1062&amp;A1062, RYOE!A:A&amp;RYOE!F:F, RYOE!E:E), "N/A")</f>
        <v>N/A</v>
      </c>
    </row>
    <row r="1063" spans="1:14" ht="15" customHeight="1" x14ac:dyDescent="0.45">
      <c r="A1063" s="8">
        <v>2020</v>
      </c>
      <c r="B1063" s="6" t="s">
        <v>622</v>
      </c>
      <c r="C1063" s="2" t="str">
        <f t="shared" si="32"/>
        <v>Jeremy Cox</v>
      </c>
      <c r="D1063" s="2" t="str">
        <f t="shared" si="33"/>
        <v>DEN</v>
      </c>
      <c r="E1063" s="2">
        <v>0</v>
      </c>
      <c r="F1063" s="2">
        <v>0</v>
      </c>
      <c r="G1063" s="2">
        <v>0</v>
      </c>
      <c r="H1063" s="2">
        <v>0</v>
      </c>
      <c r="I1063">
        <v>0</v>
      </c>
      <c r="J1063">
        <v>7</v>
      </c>
      <c r="K1063" cm="1">
        <f t="array" ref="K1063">IFERROR(_xlfn.XLOOKUP(D1063&amp;A1063, RBWR!A:A&amp;RBWR!C:C, RBWR!B:B), "N/A")</f>
        <v>70</v>
      </c>
      <c r="L1063" t="str" cm="1">
        <f t="array" ref="L1063">IFERROR(_xlfn.XLOOKUP(C1063&amp;A1063, RYOE!A:A&amp;RYOE!F:F, RYOE!C:C), "N/A")</f>
        <v>N/A</v>
      </c>
      <c r="M1063" t="str" cm="1">
        <f t="array" ref="M1063">IFERROR(_xlfn.XLOOKUP(C1063&amp;A1063, RYOE!A:A&amp;RYOE!F:F, RYOE!D:D), "N/A")</f>
        <v>N/A</v>
      </c>
      <c r="N1063" t="str" cm="1">
        <f t="array" ref="N1063">IFERROR(_xlfn.XLOOKUP(C1063&amp;A1063, RYOE!A:A&amp;RYOE!F:F, RYOE!E:E), "N/A")</f>
        <v>N/A</v>
      </c>
    </row>
    <row r="1064" spans="1:14" ht="15" customHeight="1" x14ac:dyDescent="0.45">
      <c r="A1064" s="7">
        <v>2020</v>
      </c>
      <c r="B1064" s="5" t="s">
        <v>623</v>
      </c>
      <c r="C1064" s="1" t="str">
        <f t="shared" si="32"/>
        <v>Michael Warren II</v>
      </c>
      <c r="D1064" s="1" t="str">
        <f t="shared" si="33"/>
        <v>WAS</v>
      </c>
      <c r="E1064" s="1">
        <v>0</v>
      </c>
      <c r="F1064" s="1">
        <v>0</v>
      </c>
      <c r="G1064" s="1">
        <v>0</v>
      </c>
      <c r="H1064" s="1">
        <v>0</v>
      </c>
      <c r="I1064">
        <v>0</v>
      </c>
      <c r="J1064">
        <v>1</v>
      </c>
      <c r="K1064" cm="1">
        <f t="array" ref="K1064">IFERROR(_xlfn.XLOOKUP(D1064&amp;A1064, RBWR!A:A&amp;RBWR!C:C, RBWR!B:B), "N/A")</f>
        <v>73</v>
      </c>
      <c r="L1064" t="str" cm="1">
        <f t="array" ref="L1064">IFERROR(_xlfn.XLOOKUP(C1064&amp;A1064, RYOE!A:A&amp;RYOE!F:F, RYOE!C:C), "N/A")</f>
        <v>N/A</v>
      </c>
      <c r="M1064" t="str" cm="1">
        <f t="array" ref="M1064">IFERROR(_xlfn.XLOOKUP(C1064&amp;A1064, RYOE!A:A&amp;RYOE!F:F, RYOE!D:D), "N/A")</f>
        <v>N/A</v>
      </c>
      <c r="N1064" t="str" cm="1">
        <f t="array" ref="N1064">IFERROR(_xlfn.XLOOKUP(C1064&amp;A1064, RYOE!A:A&amp;RYOE!F:F, RYOE!E:E), "N/A")</f>
        <v>N/A</v>
      </c>
    </row>
    <row r="1065" spans="1:14" ht="15" customHeight="1" x14ac:dyDescent="0.45">
      <c r="A1065" s="8">
        <v>2020</v>
      </c>
      <c r="B1065" s="6" t="s">
        <v>624</v>
      </c>
      <c r="C1065" s="2" t="str">
        <f t="shared" si="32"/>
        <v>Javon Leake</v>
      </c>
      <c r="D1065" s="2" t="str">
        <f t="shared" si="33"/>
        <v>WAS</v>
      </c>
      <c r="E1065" s="2">
        <v>0</v>
      </c>
      <c r="F1065" s="2">
        <v>0</v>
      </c>
      <c r="G1065" s="2">
        <v>0</v>
      </c>
      <c r="H1065" s="2">
        <v>0</v>
      </c>
      <c r="I1065">
        <v>0</v>
      </c>
      <c r="J1065">
        <v>1</v>
      </c>
      <c r="K1065" cm="1">
        <f t="array" ref="K1065">IFERROR(_xlfn.XLOOKUP(D1065&amp;A1065, RBWR!A:A&amp;RBWR!C:C, RBWR!B:B), "N/A")</f>
        <v>73</v>
      </c>
      <c r="L1065" t="str" cm="1">
        <f t="array" ref="L1065">IFERROR(_xlfn.XLOOKUP(C1065&amp;A1065, RYOE!A:A&amp;RYOE!F:F, RYOE!C:C), "N/A")</f>
        <v>N/A</v>
      </c>
      <c r="M1065" t="str" cm="1">
        <f t="array" ref="M1065">IFERROR(_xlfn.XLOOKUP(C1065&amp;A1065, RYOE!A:A&amp;RYOE!F:F, RYOE!D:D), "N/A")</f>
        <v>N/A</v>
      </c>
      <c r="N1065" t="str" cm="1">
        <f t="array" ref="N1065">IFERROR(_xlfn.XLOOKUP(C1065&amp;A1065, RYOE!A:A&amp;RYOE!F:F, RYOE!E:E), "N/A")</f>
        <v>N/A</v>
      </c>
    </row>
    <row r="1066" spans="1:14" ht="15" customHeight="1" x14ac:dyDescent="0.45">
      <c r="A1066" s="7">
        <v>2020</v>
      </c>
      <c r="B1066" s="5" t="s">
        <v>542</v>
      </c>
      <c r="C1066" s="1" t="str">
        <f t="shared" si="32"/>
        <v>Darius Bradwell</v>
      </c>
      <c r="D1066" s="1" t="str">
        <f t="shared" si="33"/>
        <v>LAC</v>
      </c>
      <c r="E1066" s="1">
        <v>0</v>
      </c>
      <c r="F1066" s="1">
        <v>0</v>
      </c>
      <c r="G1066" s="1">
        <v>0</v>
      </c>
      <c r="H1066" s="1">
        <v>0</v>
      </c>
      <c r="I1066">
        <v>0</v>
      </c>
      <c r="J1066">
        <v>2</v>
      </c>
      <c r="K1066" cm="1">
        <f t="array" ref="K1066">IFERROR(_xlfn.XLOOKUP(D1066&amp;A1066, RBWR!A:A&amp;RBWR!C:C, RBWR!B:B), "N/A")</f>
        <v>67</v>
      </c>
      <c r="L1066" t="str" cm="1">
        <f t="array" ref="L1066">IFERROR(_xlfn.XLOOKUP(C1066&amp;A1066, RYOE!A:A&amp;RYOE!F:F, RYOE!C:C), "N/A")</f>
        <v>N/A</v>
      </c>
      <c r="M1066" t="str" cm="1">
        <f t="array" ref="M1066">IFERROR(_xlfn.XLOOKUP(C1066&amp;A1066, RYOE!A:A&amp;RYOE!F:F, RYOE!D:D), "N/A")</f>
        <v>N/A</v>
      </c>
      <c r="N1066" t="str" cm="1">
        <f t="array" ref="N1066">IFERROR(_xlfn.XLOOKUP(C1066&amp;A1066, RYOE!A:A&amp;RYOE!F:F, RYOE!E:E), "N/A")</f>
        <v>N/A</v>
      </c>
    </row>
    <row r="1067" spans="1:14" ht="15" customHeight="1" x14ac:dyDescent="0.45">
      <c r="A1067" s="8">
        <v>2020</v>
      </c>
      <c r="B1067" s="6" t="s">
        <v>625</v>
      </c>
      <c r="C1067" s="2" t="str">
        <f t="shared" si="32"/>
        <v>Xavier Jones</v>
      </c>
      <c r="D1067" s="2" t="str">
        <f t="shared" si="33"/>
        <v>LAR</v>
      </c>
      <c r="E1067" s="2">
        <v>0</v>
      </c>
      <c r="F1067" s="2">
        <v>0</v>
      </c>
      <c r="G1067" s="2">
        <v>0</v>
      </c>
      <c r="H1067" s="2">
        <v>0</v>
      </c>
      <c r="I1067">
        <v>0</v>
      </c>
      <c r="J1067">
        <v>13</v>
      </c>
      <c r="K1067" cm="1">
        <f t="array" ref="K1067">IFERROR(_xlfn.XLOOKUP(D1067&amp;A1067, RBWR!A:A&amp;RBWR!C:C, RBWR!B:B), "N/A")</f>
        <v>70</v>
      </c>
      <c r="L1067" t="str" cm="1">
        <f t="array" ref="L1067">IFERROR(_xlfn.XLOOKUP(C1067&amp;A1067, RYOE!A:A&amp;RYOE!F:F, RYOE!C:C), "N/A")</f>
        <v>N/A</v>
      </c>
      <c r="M1067" t="str" cm="1">
        <f t="array" ref="M1067">IFERROR(_xlfn.XLOOKUP(C1067&amp;A1067, RYOE!A:A&amp;RYOE!F:F, RYOE!D:D), "N/A")</f>
        <v>N/A</v>
      </c>
      <c r="N1067" t="str" cm="1">
        <f t="array" ref="N1067">IFERROR(_xlfn.XLOOKUP(C1067&amp;A1067, RYOE!A:A&amp;RYOE!F:F, RYOE!E:E), "N/A")</f>
        <v>N/A</v>
      </c>
    </row>
    <row r="1068" spans="1:14" ht="15" customHeight="1" x14ac:dyDescent="0.45">
      <c r="A1068" s="7">
        <v>2020</v>
      </c>
      <c r="B1068" s="5" t="s">
        <v>626</v>
      </c>
      <c r="C1068" s="1" t="str">
        <f t="shared" si="32"/>
        <v>Raymond Calais</v>
      </c>
      <c r="D1068" s="1" t="str">
        <f t="shared" si="33"/>
        <v>LAR</v>
      </c>
      <c r="E1068" s="1">
        <v>0</v>
      </c>
      <c r="F1068" s="1">
        <v>0</v>
      </c>
      <c r="G1068" s="1">
        <v>0</v>
      </c>
      <c r="H1068" s="1">
        <v>0</v>
      </c>
      <c r="I1068">
        <v>0</v>
      </c>
      <c r="J1068">
        <v>4</v>
      </c>
      <c r="K1068" cm="1">
        <f t="array" ref="K1068">IFERROR(_xlfn.XLOOKUP(D1068&amp;A1068, RBWR!A:A&amp;RBWR!C:C, RBWR!B:B), "N/A")</f>
        <v>70</v>
      </c>
      <c r="L1068" t="str" cm="1">
        <f t="array" ref="L1068">IFERROR(_xlfn.XLOOKUP(C1068&amp;A1068, RYOE!A:A&amp;RYOE!F:F, RYOE!C:C), "N/A")</f>
        <v>N/A</v>
      </c>
      <c r="M1068" t="str" cm="1">
        <f t="array" ref="M1068">IFERROR(_xlfn.XLOOKUP(C1068&amp;A1068, RYOE!A:A&amp;RYOE!F:F, RYOE!D:D), "N/A")</f>
        <v>N/A</v>
      </c>
      <c r="N1068" t="str" cm="1">
        <f t="array" ref="N1068">IFERROR(_xlfn.XLOOKUP(C1068&amp;A1068, RYOE!A:A&amp;RYOE!F:F, RYOE!E:E), "N/A")</f>
        <v>N/A</v>
      </c>
    </row>
    <row r="1069" spans="1:14" ht="15" customHeight="1" x14ac:dyDescent="0.45">
      <c r="A1069" s="8">
        <v>2020</v>
      </c>
      <c r="B1069" s="6" t="s">
        <v>544</v>
      </c>
      <c r="C1069" s="2" t="str">
        <f t="shared" si="32"/>
        <v>Sewo Olonilua</v>
      </c>
      <c r="D1069" s="2" t="str">
        <f t="shared" si="33"/>
        <v>DAL</v>
      </c>
      <c r="E1069" s="2">
        <v>0</v>
      </c>
      <c r="F1069" s="2">
        <v>0</v>
      </c>
      <c r="G1069" s="2">
        <v>0</v>
      </c>
      <c r="H1069" s="2">
        <v>0</v>
      </c>
      <c r="I1069">
        <v>0</v>
      </c>
      <c r="J1069">
        <v>2</v>
      </c>
      <c r="K1069" cm="1">
        <f t="array" ref="K1069">IFERROR(_xlfn.XLOOKUP(D1069&amp;A1069, RBWR!A:A&amp;RBWR!C:C, RBWR!B:B), "N/A")</f>
        <v>70</v>
      </c>
      <c r="L1069" t="str" cm="1">
        <f t="array" ref="L1069">IFERROR(_xlfn.XLOOKUP(C1069&amp;A1069, RYOE!A:A&amp;RYOE!F:F, RYOE!C:C), "N/A")</f>
        <v>N/A</v>
      </c>
      <c r="M1069" t="str" cm="1">
        <f t="array" ref="M1069">IFERROR(_xlfn.XLOOKUP(C1069&amp;A1069, RYOE!A:A&amp;RYOE!F:F, RYOE!D:D), "N/A")</f>
        <v>N/A</v>
      </c>
      <c r="N1069" t="str" cm="1">
        <f t="array" ref="N1069">IFERROR(_xlfn.XLOOKUP(C1069&amp;A1069, RYOE!A:A&amp;RYOE!F:F, RYOE!E:E), "N/A")</f>
        <v>N/A</v>
      </c>
    </row>
    <row r="1070" spans="1:14" ht="15" customHeight="1" x14ac:dyDescent="0.45">
      <c r="A1070" s="7">
        <v>2020</v>
      </c>
      <c r="B1070" s="5" t="s">
        <v>545</v>
      </c>
      <c r="C1070" s="1" t="str">
        <f t="shared" si="32"/>
        <v>Kirk Merritt</v>
      </c>
      <c r="D1070" s="1" t="str">
        <f t="shared" si="33"/>
        <v>MIA</v>
      </c>
      <c r="E1070" s="1">
        <v>0</v>
      </c>
      <c r="F1070" s="1">
        <v>0</v>
      </c>
      <c r="G1070" s="1">
        <v>0</v>
      </c>
      <c r="H1070" s="1">
        <v>0</v>
      </c>
      <c r="I1070">
        <v>0</v>
      </c>
      <c r="J1070">
        <v>1</v>
      </c>
      <c r="K1070" cm="1">
        <f t="array" ref="K1070">IFERROR(_xlfn.XLOOKUP(D1070&amp;A1070, RBWR!A:A&amp;RBWR!C:C, RBWR!B:B), "N/A")</f>
        <v>69</v>
      </c>
      <c r="L1070" t="str" cm="1">
        <f t="array" ref="L1070">IFERROR(_xlfn.XLOOKUP(C1070&amp;A1070, RYOE!A:A&amp;RYOE!F:F, RYOE!C:C), "N/A")</f>
        <v>N/A</v>
      </c>
      <c r="M1070" t="str" cm="1">
        <f t="array" ref="M1070">IFERROR(_xlfn.XLOOKUP(C1070&amp;A1070, RYOE!A:A&amp;RYOE!F:F, RYOE!D:D), "N/A")</f>
        <v>N/A</v>
      </c>
      <c r="N1070" t="str" cm="1">
        <f t="array" ref="N1070">IFERROR(_xlfn.XLOOKUP(C1070&amp;A1070, RYOE!A:A&amp;RYOE!F:F, RYOE!E:E), "N/A")</f>
        <v>N/A</v>
      </c>
    </row>
    <row r="1071" spans="1:14" ht="15" customHeight="1" x14ac:dyDescent="0.45">
      <c r="A1071" s="8">
        <v>2020</v>
      </c>
      <c r="B1071" s="6" t="s">
        <v>530</v>
      </c>
      <c r="C1071" s="2" t="str">
        <f t="shared" si="32"/>
        <v>Nathan Cottrell</v>
      </c>
      <c r="D1071" s="2" t="str">
        <f t="shared" si="33"/>
        <v>JAC</v>
      </c>
      <c r="E1071" s="2">
        <v>0</v>
      </c>
      <c r="F1071" s="2">
        <v>0</v>
      </c>
      <c r="G1071" s="2">
        <v>0</v>
      </c>
      <c r="H1071" s="2">
        <v>0</v>
      </c>
      <c r="I1071">
        <v>0</v>
      </c>
      <c r="J1071">
        <v>8</v>
      </c>
      <c r="K1071" cm="1">
        <f t="array" ref="K1071">IFERROR(_xlfn.XLOOKUP(D1071&amp;A1071, RBWR!A:A&amp;RBWR!C:C, RBWR!B:B), "N/A")</f>
        <v>69</v>
      </c>
      <c r="L1071" t="str" cm="1">
        <f t="array" ref="L1071">IFERROR(_xlfn.XLOOKUP(C1071&amp;A1071, RYOE!A:A&amp;RYOE!F:F, RYOE!C:C), "N/A")</f>
        <v>N/A</v>
      </c>
      <c r="M1071" t="str" cm="1">
        <f t="array" ref="M1071">IFERROR(_xlfn.XLOOKUP(C1071&amp;A1071, RYOE!A:A&amp;RYOE!F:F, RYOE!D:D), "N/A")</f>
        <v>N/A</v>
      </c>
      <c r="N1071" t="str" cm="1">
        <f t="array" ref="N1071">IFERROR(_xlfn.XLOOKUP(C1071&amp;A1071, RYOE!A:A&amp;RYOE!F:F, RYOE!E:E), "N/A")</f>
        <v>N/A</v>
      </c>
    </row>
    <row r="1072" spans="1:14" ht="15" customHeight="1" x14ac:dyDescent="0.45">
      <c r="A1072" s="7">
        <v>2020</v>
      </c>
      <c r="B1072" s="5" t="s">
        <v>627</v>
      </c>
      <c r="C1072" s="1" t="str">
        <f t="shared" si="32"/>
        <v>Jake Bargas</v>
      </c>
      <c r="D1072" s="1" t="str">
        <f t="shared" si="33"/>
        <v>MIN</v>
      </c>
      <c r="E1072" s="1">
        <v>0</v>
      </c>
      <c r="F1072" s="1">
        <v>0</v>
      </c>
      <c r="G1072" s="1">
        <v>0</v>
      </c>
      <c r="H1072" s="1">
        <v>0</v>
      </c>
      <c r="I1072">
        <v>0</v>
      </c>
      <c r="J1072">
        <v>1</v>
      </c>
      <c r="K1072" cm="1">
        <f t="array" ref="K1072">IFERROR(_xlfn.XLOOKUP(D1072&amp;A1072, RBWR!A:A&amp;RBWR!C:C, RBWR!B:B), "N/A")</f>
        <v>70</v>
      </c>
      <c r="L1072" t="str" cm="1">
        <f t="array" ref="L1072">IFERROR(_xlfn.XLOOKUP(C1072&amp;A1072, RYOE!A:A&amp;RYOE!F:F, RYOE!C:C), "N/A")</f>
        <v>N/A</v>
      </c>
      <c r="M1072" t="str" cm="1">
        <f t="array" ref="M1072">IFERROR(_xlfn.XLOOKUP(C1072&amp;A1072, RYOE!A:A&amp;RYOE!F:F, RYOE!D:D), "N/A")</f>
        <v>N/A</v>
      </c>
      <c r="N1072" t="str" cm="1">
        <f t="array" ref="N1072">IFERROR(_xlfn.XLOOKUP(C1072&amp;A1072, RYOE!A:A&amp;RYOE!F:F, RYOE!E:E), "N/A")</f>
        <v>N/A</v>
      </c>
    </row>
    <row r="1073" spans="1:14" ht="15" customHeight="1" x14ac:dyDescent="0.45">
      <c r="A1073" s="8">
        <v>2020</v>
      </c>
      <c r="B1073" s="6" t="s">
        <v>628</v>
      </c>
      <c r="C1073" s="2" t="str">
        <f t="shared" si="32"/>
        <v>Adrian Killins Jr.</v>
      </c>
      <c r="D1073" s="2" t="str">
        <f t="shared" si="33"/>
        <v>PHI</v>
      </c>
      <c r="E1073" s="2">
        <v>1</v>
      </c>
      <c r="F1073" s="2">
        <v>-12</v>
      </c>
      <c r="G1073" s="2">
        <v>-12</v>
      </c>
      <c r="H1073" s="2">
        <v>0</v>
      </c>
      <c r="I1073">
        <v>0</v>
      </c>
      <c r="J1073">
        <v>1</v>
      </c>
      <c r="K1073" cm="1">
        <f t="array" ref="K1073">IFERROR(_xlfn.XLOOKUP(D1073&amp;A1073, RBWR!A:A&amp;RBWR!C:C, RBWR!B:B), "N/A")</f>
        <v>73</v>
      </c>
      <c r="L1073" t="str" cm="1">
        <f t="array" ref="L1073">IFERROR(_xlfn.XLOOKUP(C1073&amp;A1073, RYOE!A:A&amp;RYOE!F:F, RYOE!C:C), "N/A")</f>
        <v>N/A</v>
      </c>
      <c r="M1073" t="str" cm="1">
        <f t="array" ref="M1073">IFERROR(_xlfn.XLOOKUP(C1073&amp;A1073, RYOE!A:A&amp;RYOE!F:F, RYOE!D:D), "N/A")</f>
        <v>N/A</v>
      </c>
      <c r="N1073" t="str" cm="1">
        <f t="array" ref="N1073">IFERROR(_xlfn.XLOOKUP(C1073&amp;A1073, RYOE!A:A&amp;RYOE!F:F, RYOE!E:E), "N/A")</f>
        <v>N/A</v>
      </c>
    </row>
    <row r="1074" spans="1:14" ht="15" customHeight="1" x14ac:dyDescent="0.45">
      <c r="A1074" s="7">
        <v>2019</v>
      </c>
      <c r="B1074" s="5" t="s">
        <v>460</v>
      </c>
      <c r="C1074" s="1" t="str">
        <f t="shared" si="32"/>
        <v>Christian McCaffrey</v>
      </c>
      <c r="D1074" s="1" t="str">
        <f t="shared" si="33"/>
        <v>CAR</v>
      </c>
      <c r="E1074" s="1">
        <v>287</v>
      </c>
      <c r="F1074" s="1">
        <v>1387</v>
      </c>
      <c r="G1074" s="1">
        <v>4.8</v>
      </c>
      <c r="H1074" s="1">
        <v>15</v>
      </c>
      <c r="I1074">
        <v>0</v>
      </c>
      <c r="J1074">
        <v>16</v>
      </c>
      <c r="K1074" t="str" cm="1">
        <f t="array" ref="K1074">IFERROR(_xlfn.XLOOKUP(D1074&amp;A1074, RBWR!A:A&amp;RBWR!C:C, RBWR!B:B), "N/A")</f>
        <v>N/A</v>
      </c>
      <c r="L1074" cm="1">
        <f t="array" ref="L1074">IFERROR(_xlfn.XLOOKUP(C1074&amp;A1074, RYOE!A:A&amp;RYOE!F:F, RYOE!C:C), "N/A")</f>
        <v>212</v>
      </c>
      <c r="M1074" cm="1">
        <f t="array" ref="M1074">IFERROR(_xlfn.XLOOKUP(C1074&amp;A1074, RYOE!A:A&amp;RYOE!F:F, RYOE!D:D), "N/A")</f>
        <v>0.74</v>
      </c>
      <c r="N1074" cm="1">
        <f t="array" ref="N1074">IFERROR(_xlfn.XLOOKUP(C1074&amp;A1074, RYOE!A:A&amp;RYOE!F:F, RYOE!E:E), "N/A")</f>
        <v>36.5</v>
      </c>
    </row>
    <row r="1075" spans="1:14" ht="15" customHeight="1" x14ac:dyDescent="0.45">
      <c r="A1075" s="8">
        <v>2019</v>
      </c>
      <c r="B1075" s="6" t="s">
        <v>281</v>
      </c>
      <c r="C1075" s="2" t="str">
        <f t="shared" si="32"/>
        <v>Derrick Henry</v>
      </c>
      <c r="D1075" s="2" t="str">
        <f t="shared" si="33"/>
        <v>TEN</v>
      </c>
      <c r="E1075" s="2">
        <v>303</v>
      </c>
      <c r="F1075" s="2">
        <v>1540</v>
      </c>
      <c r="G1075" s="2">
        <v>5.0999999999999996</v>
      </c>
      <c r="H1075" s="2">
        <v>16</v>
      </c>
      <c r="I1075">
        <v>3</v>
      </c>
      <c r="J1075">
        <v>15</v>
      </c>
      <c r="K1075" t="str" cm="1">
        <f t="array" ref="K1075">IFERROR(_xlfn.XLOOKUP(D1075&amp;A1075, RBWR!A:A&amp;RBWR!C:C, RBWR!B:B), "N/A")</f>
        <v>N/A</v>
      </c>
      <c r="L1075" cm="1">
        <f t="array" ref="L1075">IFERROR(_xlfn.XLOOKUP(C1075&amp;A1075, RYOE!A:A&amp;RYOE!F:F, RYOE!C:C), "N/A")</f>
        <v>326</v>
      </c>
      <c r="M1075" cm="1">
        <f t="array" ref="M1075">IFERROR(_xlfn.XLOOKUP(C1075&amp;A1075, RYOE!A:A&amp;RYOE!F:F, RYOE!D:D), "N/A")</f>
        <v>1.1299999999999999</v>
      </c>
      <c r="N1075" cm="1">
        <f t="array" ref="N1075">IFERROR(_xlfn.XLOOKUP(C1075&amp;A1075, RYOE!A:A&amp;RYOE!F:F, RYOE!E:E), "N/A")</f>
        <v>42</v>
      </c>
    </row>
    <row r="1076" spans="1:14" ht="15" customHeight="1" x14ac:dyDescent="0.45">
      <c r="A1076" s="7">
        <v>2019</v>
      </c>
      <c r="B1076" s="5" t="s">
        <v>292</v>
      </c>
      <c r="C1076" s="1" t="str">
        <f t="shared" si="32"/>
        <v>Aaron Jones Sr.</v>
      </c>
      <c r="D1076" s="1" t="str">
        <f t="shared" si="33"/>
        <v>GB</v>
      </c>
      <c r="E1076" s="1">
        <v>236</v>
      </c>
      <c r="F1076" s="1">
        <v>1084</v>
      </c>
      <c r="G1076" s="1">
        <v>4.5999999999999996</v>
      </c>
      <c r="H1076" s="1">
        <v>16</v>
      </c>
      <c r="I1076">
        <v>2</v>
      </c>
      <c r="J1076">
        <v>16</v>
      </c>
      <c r="K1076" t="str" cm="1">
        <f t="array" ref="K1076">IFERROR(_xlfn.XLOOKUP(D1076&amp;A1076, RBWR!A:A&amp;RBWR!C:C, RBWR!B:B), "N/A")</f>
        <v>N/A</v>
      </c>
      <c r="L1076" cm="1">
        <f t="array" ref="L1076">IFERROR(_xlfn.XLOOKUP(C1076&amp;A1076, RYOE!A:A&amp;RYOE!F:F, RYOE!C:C), "N/A")</f>
        <v>84</v>
      </c>
      <c r="M1076" cm="1">
        <f t="array" ref="M1076">IFERROR(_xlfn.XLOOKUP(C1076&amp;A1076, RYOE!A:A&amp;RYOE!F:F, RYOE!D:D), "N/A")</f>
        <v>0.36</v>
      </c>
      <c r="N1076" cm="1">
        <f t="array" ref="N1076">IFERROR(_xlfn.XLOOKUP(C1076&amp;A1076, RYOE!A:A&amp;RYOE!F:F, RYOE!E:E), "N/A")</f>
        <v>39.700000000000003</v>
      </c>
    </row>
    <row r="1077" spans="1:14" ht="15" customHeight="1" x14ac:dyDescent="0.45">
      <c r="A1077" s="8">
        <v>2019</v>
      </c>
      <c r="B1077" s="6" t="s">
        <v>224</v>
      </c>
      <c r="C1077" s="2" t="str">
        <f t="shared" si="32"/>
        <v>Ezekiel Elliott</v>
      </c>
      <c r="D1077" s="2" t="str">
        <f t="shared" si="33"/>
        <v>DAL</v>
      </c>
      <c r="E1077" s="2">
        <v>301</v>
      </c>
      <c r="F1077" s="2">
        <v>1357</v>
      </c>
      <c r="G1077" s="2">
        <v>4.5</v>
      </c>
      <c r="H1077" s="2">
        <v>12</v>
      </c>
      <c r="I1077">
        <v>2</v>
      </c>
      <c r="J1077">
        <v>16</v>
      </c>
      <c r="K1077" t="str" cm="1">
        <f t="array" ref="K1077">IFERROR(_xlfn.XLOOKUP(D1077&amp;A1077, RBWR!A:A&amp;RBWR!C:C, RBWR!B:B), "N/A")</f>
        <v>N/A</v>
      </c>
      <c r="L1077" cm="1">
        <f t="array" ref="L1077">IFERROR(_xlfn.XLOOKUP(C1077&amp;A1077, RYOE!A:A&amp;RYOE!F:F, RYOE!C:C), "N/A")</f>
        <v>119</v>
      </c>
      <c r="M1077" cm="1">
        <f t="array" ref="M1077">IFERROR(_xlfn.XLOOKUP(C1077&amp;A1077, RYOE!A:A&amp;RYOE!F:F, RYOE!D:D), "N/A")</f>
        <v>0.4</v>
      </c>
      <c r="N1077" cm="1">
        <f t="array" ref="N1077">IFERROR(_xlfn.XLOOKUP(C1077&amp;A1077, RYOE!A:A&amp;RYOE!F:F, RYOE!E:E), "N/A")</f>
        <v>46.1</v>
      </c>
    </row>
    <row r="1078" spans="1:14" ht="15" customHeight="1" x14ac:dyDescent="0.45">
      <c r="A1078" s="7">
        <v>2019</v>
      </c>
      <c r="B1078" s="5" t="s">
        <v>371</v>
      </c>
      <c r="C1078" s="1" t="str">
        <f t="shared" si="32"/>
        <v>Dalvin Cook</v>
      </c>
      <c r="D1078" s="1" t="str">
        <f t="shared" si="33"/>
        <v>MIN</v>
      </c>
      <c r="E1078" s="1">
        <v>250</v>
      </c>
      <c r="F1078" s="1">
        <v>1135</v>
      </c>
      <c r="G1078" s="1">
        <v>4.5</v>
      </c>
      <c r="H1078" s="1">
        <v>13</v>
      </c>
      <c r="I1078">
        <v>2</v>
      </c>
      <c r="J1078">
        <v>14</v>
      </c>
      <c r="K1078" t="str" cm="1">
        <f t="array" ref="K1078">IFERROR(_xlfn.XLOOKUP(D1078&amp;A1078, RBWR!A:A&amp;RBWR!C:C, RBWR!B:B), "N/A")</f>
        <v>N/A</v>
      </c>
      <c r="L1078" cm="1">
        <f t="array" ref="L1078">IFERROR(_xlfn.XLOOKUP(C1078&amp;A1078, RYOE!A:A&amp;RYOE!F:F, RYOE!C:C), "N/A")</f>
        <v>93</v>
      </c>
      <c r="M1078" cm="1">
        <f t="array" ref="M1078">IFERROR(_xlfn.XLOOKUP(C1078&amp;A1078, RYOE!A:A&amp;RYOE!F:F, RYOE!D:D), "N/A")</f>
        <v>0.38</v>
      </c>
      <c r="N1078" cm="1">
        <f t="array" ref="N1078">IFERROR(_xlfn.XLOOKUP(C1078&amp;A1078, RYOE!A:A&amp;RYOE!F:F, RYOE!E:E), "N/A")</f>
        <v>42</v>
      </c>
    </row>
    <row r="1079" spans="1:14" ht="15" customHeight="1" x14ac:dyDescent="0.45">
      <c r="A1079" s="8">
        <v>2019</v>
      </c>
      <c r="B1079" s="6" t="s">
        <v>219</v>
      </c>
      <c r="C1079" s="2" t="str">
        <f t="shared" si="32"/>
        <v>Nick Chubb</v>
      </c>
      <c r="D1079" s="2" t="str">
        <f t="shared" si="33"/>
        <v>CLE</v>
      </c>
      <c r="E1079" s="2">
        <v>298</v>
      </c>
      <c r="F1079" s="2">
        <v>1494</v>
      </c>
      <c r="G1079" s="2">
        <v>5</v>
      </c>
      <c r="H1079" s="2">
        <v>8</v>
      </c>
      <c r="I1079">
        <v>3</v>
      </c>
      <c r="J1079">
        <v>16</v>
      </c>
      <c r="K1079" t="str" cm="1">
        <f t="array" ref="K1079">IFERROR(_xlfn.XLOOKUP(D1079&amp;A1079, RBWR!A:A&amp;RBWR!C:C, RBWR!B:B), "N/A")</f>
        <v>N/A</v>
      </c>
      <c r="L1079" cm="1">
        <f t="array" ref="L1079">IFERROR(_xlfn.XLOOKUP(C1079&amp;A1079, RYOE!A:A&amp;RYOE!F:F, RYOE!C:C), "N/A")</f>
        <v>284</v>
      </c>
      <c r="M1079" cm="1">
        <f t="array" ref="M1079">IFERROR(_xlfn.XLOOKUP(C1079&amp;A1079, RYOE!A:A&amp;RYOE!F:F, RYOE!D:D), "N/A")</f>
        <v>0.96</v>
      </c>
      <c r="N1079" cm="1">
        <f t="array" ref="N1079">IFERROR(_xlfn.XLOOKUP(C1079&amp;A1079, RYOE!A:A&amp;RYOE!F:F, RYOE!E:E), "N/A")</f>
        <v>39.200000000000003</v>
      </c>
    </row>
    <row r="1080" spans="1:14" ht="15" customHeight="1" x14ac:dyDescent="0.45">
      <c r="A1080" s="7">
        <v>2019</v>
      </c>
      <c r="B1080" s="5" t="s">
        <v>290</v>
      </c>
      <c r="C1080" s="1" t="str">
        <f t="shared" si="32"/>
        <v>Austin Ekeler</v>
      </c>
      <c r="D1080" s="1" t="str">
        <f t="shared" si="33"/>
        <v>LAC</v>
      </c>
      <c r="E1080" s="1">
        <v>132</v>
      </c>
      <c r="F1080" s="1">
        <v>557</v>
      </c>
      <c r="G1080" s="1">
        <v>4.2</v>
      </c>
      <c r="H1080" s="1">
        <v>3</v>
      </c>
      <c r="I1080">
        <v>2</v>
      </c>
      <c r="J1080">
        <v>16</v>
      </c>
      <c r="K1080" t="str" cm="1">
        <f t="array" ref="K1080">IFERROR(_xlfn.XLOOKUP(D1080&amp;A1080, RBWR!A:A&amp;RBWR!C:C, RBWR!B:B), "N/A")</f>
        <v>N/A</v>
      </c>
      <c r="L1080" cm="1">
        <f t="array" ref="L1080">IFERROR(_xlfn.XLOOKUP(C1080&amp;A1080, RYOE!A:A&amp;RYOE!F:F, RYOE!C:C), "N/A")</f>
        <v>-82</v>
      </c>
      <c r="M1080" cm="1">
        <f t="array" ref="M1080">IFERROR(_xlfn.XLOOKUP(C1080&amp;A1080, RYOE!A:A&amp;RYOE!F:F, RYOE!D:D), "N/A")</f>
        <v>-0.64</v>
      </c>
      <c r="N1080" cm="1">
        <f t="array" ref="N1080">IFERROR(_xlfn.XLOOKUP(C1080&amp;A1080, RYOE!A:A&amp;RYOE!F:F, RYOE!E:E), "N/A")</f>
        <v>31</v>
      </c>
    </row>
    <row r="1081" spans="1:14" ht="15" customHeight="1" x14ac:dyDescent="0.45">
      <c r="A1081" s="8">
        <v>2019</v>
      </c>
      <c r="B1081" s="6" t="s">
        <v>577</v>
      </c>
      <c r="C1081" s="2" t="str">
        <f t="shared" si="32"/>
        <v>Mark Ingram II</v>
      </c>
      <c r="D1081" s="2" t="str">
        <f t="shared" si="33"/>
        <v>BAL</v>
      </c>
      <c r="E1081" s="2">
        <v>202</v>
      </c>
      <c r="F1081" s="2">
        <v>1018</v>
      </c>
      <c r="G1081" s="2">
        <v>5</v>
      </c>
      <c r="H1081" s="2">
        <v>10</v>
      </c>
      <c r="I1081">
        <v>2</v>
      </c>
      <c r="J1081">
        <v>15</v>
      </c>
      <c r="K1081" t="str" cm="1">
        <f t="array" ref="K1081">IFERROR(_xlfn.XLOOKUP(D1081&amp;A1081, RBWR!A:A&amp;RBWR!C:C, RBWR!B:B), "N/A")</f>
        <v>N/A</v>
      </c>
      <c r="L1081" cm="1">
        <f t="array" ref="L1081">IFERROR(_xlfn.XLOOKUP(C1081&amp;A1081, RYOE!A:A&amp;RYOE!F:F, RYOE!C:C), "N/A")</f>
        <v>29</v>
      </c>
      <c r="M1081" cm="1">
        <f t="array" ref="M1081">IFERROR(_xlfn.XLOOKUP(C1081&amp;A1081, RYOE!A:A&amp;RYOE!F:F, RYOE!D:D), "N/A")</f>
        <v>0.15</v>
      </c>
      <c r="N1081" cm="1">
        <f t="array" ref="N1081">IFERROR(_xlfn.XLOOKUP(C1081&amp;A1081, RYOE!A:A&amp;RYOE!F:F, RYOE!E:E), "N/A")</f>
        <v>35.9</v>
      </c>
    </row>
    <row r="1082" spans="1:14" ht="15" customHeight="1" x14ac:dyDescent="0.45">
      <c r="A1082" s="7">
        <v>2019</v>
      </c>
      <c r="B1082" s="5" t="s">
        <v>477</v>
      </c>
      <c r="C1082" s="1" t="str">
        <f t="shared" si="32"/>
        <v>Chris Carson</v>
      </c>
      <c r="D1082" s="1" t="str">
        <f t="shared" si="33"/>
        <v>SEA</v>
      </c>
      <c r="E1082" s="1">
        <v>278</v>
      </c>
      <c r="F1082" s="1">
        <v>1230</v>
      </c>
      <c r="G1082" s="1">
        <v>4.4000000000000004</v>
      </c>
      <c r="H1082" s="1">
        <v>7</v>
      </c>
      <c r="I1082">
        <v>4</v>
      </c>
      <c r="J1082">
        <v>15</v>
      </c>
      <c r="K1082" t="str" cm="1">
        <f t="array" ref="K1082">IFERROR(_xlfn.XLOOKUP(D1082&amp;A1082, RBWR!A:A&amp;RBWR!C:C, RBWR!B:B), "N/A")</f>
        <v>N/A</v>
      </c>
      <c r="L1082" cm="1">
        <f t="array" ref="L1082">IFERROR(_xlfn.XLOOKUP(C1082&amp;A1082, RYOE!A:A&amp;RYOE!F:F, RYOE!C:C), "N/A")</f>
        <v>99</v>
      </c>
      <c r="M1082" cm="1">
        <f t="array" ref="M1082">IFERROR(_xlfn.XLOOKUP(C1082&amp;A1082, RYOE!A:A&amp;RYOE!F:F, RYOE!D:D), "N/A")</f>
        <v>0.36</v>
      </c>
      <c r="N1082" cm="1">
        <f t="array" ref="N1082">IFERROR(_xlfn.XLOOKUP(C1082&amp;A1082, RYOE!A:A&amp;RYOE!F:F, RYOE!E:E), "N/A")</f>
        <v>45</v>
      </c>
    </row>
    <row r="1083" spans="1:14" ht="15" customHeight="1" x14ac:dyDescent="0.45">
      <c r="A1083" s="8">
        <v>2019</v>
      </c>
      <c r="B1083" s="6" t="s">
        <v>283</v>
      </c>
      <c r="C1083" s="2" t="str">
        <f t="shared" si="32"/>
        <v>Saquon Barkley</v>
      </c>
      <c r="D1083" s="2" t="str">
        <f t="shared" si="33"/>
        <v>NYG</v>
      </c>
      <c r="E1083" s="2">
        <v>217</v>
      </c>
      <c r="F1083" s="2">
        <v>1003</v>
      </c>
      <c r="G1083" s="2">
        <v>4.5999999999999996</v>
      </c>
      <c r="H1083" s="2">
        <v>6</v>
      </c>
      <c r="I1083">
        <v>0</v>
      </c>
      <c r="J1083">
        <v>13</v>
      </c>
      <c r="K1083" t="str" cm="1">
        <f t="array" ref="K1083">IFERROR(_xlfn.XLOOKUP(D1083&amp;A1083, RBWR!A:A&amp;RBWR!C:C, RBWR!B:B), "N/A")</f>
        <v>N/A</v>
      </c>
      <c r="L1083" cm="1">
        <f t="array" ref="L1083">IFERROR(_xlfn.XLOOKUP(C1083&amp;A1083, RYOE!A:A&amp;RYOE!F:F, RYOE!C:C), "N/A")</f>
        <v>106</v>
      </c>
      <c r="M1083" cm="1">
        <f t="array" ref="M1083">IFERROR(_xlfn.XLOOKUP(C1083&amp;A1083, RYOE!A:A&amp;RYOE!F:F, RYOE!D:D), "N/A")</f>
        <v>0.49</v>
      </c>
      <c r="N1083" cm="1">
        <f t="array" ref="N1083">IFERROR(_xlfn.XLOOKUP(C1083&amp;A1083, RYOE!A:A&amp;RYOE!F:F, RYOE!E:E), "N/A")</f>
        <v>36</v>
      </c>
    </row>
    <row r="1084" spans="1:14" ht="15" customHeight="1" x14ac:dyDescent="0.45">
      <c r="A1084" s="7">
        <v>2019</v>
      </c>
      <c r="B1084" s="5" t="s">
        <v>282</v>
      </c>
      <c r="C1084" s="1" t="str">
        <f t="shared" si="32"/>
        <v>Joe Mixon</v>
      </c>
      <c r="D1084" s="1" t="str">
        <f t="shared" si="33"/>
        <v>CIN</v>
      </c>
      <c r="E1084" s="1">
        <v>278</v>
      </c>
      <c r="F1084" s="1">
        <v>1137</v>
      </c>
      <c r="G1084" s="1">
        <v>4.0999999999999996</v>
      </c>
      <c r="H1084" s="1">
        <v>5</v>
      </c>
      <c r="I1084">
        <v>0</v>
      </c>
      <c r="J1084">
        <v>16</v>
      </c>
      <c r="K1084" t="str" cm="1">
        <f t="array" ref="K1084">IFERROR(_xlfn.XLOOKUP(D1084&amp;A1084, RBWR!A:A&amp;RBWR!C:C, RBWR!B:B), "N/A")</f>
        <v>N/A</v>
      </c>
      <c r="L1084" cm="1">
        <f t="array" ref="L1084">IFERROR(_xlfn.XLOOKUP(C1084&amp;A1084, RYOE!A:A&amp;RYOE!F:F, RYOE!C:C), "N/A")</f>
        <v>-28</v>
      </c>
      <c r="M1084" cm="1">
        <f t="array" ref="M1084">IFERROR(_xlfn.XLOOKUP(C1084&amp;A1084, RYOE!A:A&amp;RYOE!F:F, RYOE!D:D), "N/A")</f>
        <v>-0.1</v>
      </c>
      <c r="N1084" cm="1">
        <f t="array" ref="N1084">IFERROR(_xlfn.XLOOKUP(C1084&amp;A1084, RYOE!A:A&amp;RYOE!F:F, RYOE!E:E), "N/A")</f>
        <v>35.799999999999997</v>
      </c>
    </row>
    <row r="1085" spans="1:14" ht="15" customHeight="1" x14ac:dyDescent="0.45">
      <c r="A1085" s="8">
        <v>2019</v>
      </c>
      <c r="B1085" s="6" t="s">
        <v>629</v>
      </c>
      <c r="C1085" s="2" t="str">
        <f t="shared" si="32"/>
        <v>Todd Gurley II</v>
      </c>
      <c r="D1085" s="2" t="str">
        <f t="shared" si="33"/>
        <v>LAR</v>
      </c>
      <c r="E1085" s="2">
        <v>223</v>
      </c>
      <c r="F1085" s="2">
        <v>857</v>
      </c>
      <c r="G1085" s="2">
        <v>3.8</v>
      </c>
      <c r="H1085" s="2">
        <v>12</v>
      </c>
      <c r="I1085">
        <v>2</v>
      </c>
      <c r="J1085">
        <v>15</v>
      </c>
      <c r="K1085" t="str" cm="1">
        <f t="array" ref="K1085">IFERROR(_xlfn.XLOOKUP(D1085&amp;A1085, RBWR!A:A&amp;RBWR!C:C, RBWR!B:B), "N/A")</f>
        <v>N/A</v>
      </c>
      <c r="L1085" cm="1">
        <f t="array" ref="L1085">IFERROR(_xlfn.XLOOKUP(C1085&amp;A1085, RYOE!A:A&amp;RYOE!F:F, RYOE!C:C), "N/A")</f>
        <v>-193</v>
      </c>
      <c r="M1085" cm="1">
        <f t="array" ref="M1085">IFERROR(_xlfn.XLOOKUP(C1085&amp;A1085, RYOE!A:A&amp;RYOE!F:F, RYOE!D:D), "N/A")</f>
        <v>-0.87</v>
      </c>
      <c r="N1085" cm="1">
        <f t="array" ref="N1085">IFERROR(_xlfn.XLOOKUP(C1085&amp;A1085, RYOE!A:A&amp;RYOE!F:F, RYOE!E:E), "N/A")</f>
        <v>32.4</v>
      </c>
    </row>
    <row r="1086" spans="1:14" ht="15" customHeight="1" x14ac:dyDescent="0.45">
      <c r="A1086" s="7">
        <v>2019</v>
      </c>
      <c r="B1086" s="5" t="s">
        <v>630</v>
      </c>
      <c r="C1086" s="1" t="str">
        <f t="shared" si="32"/>
        <v>Leonard Fournette</v>
      </c>
      <c r="D1086" s="1" t="str">
        <f t="shared" si="33"/>
        <v>JAC</v>
      </c>
      <c r="E1086" s="1">
        <v>265</v>
      </c>
      <c r="F1086" s="1">
        <v>1152</v>
      </c>
      <c r="G1086" s="1">
        <v>4.3</v>
      </c>
      <c r="H1086" s="1">
        <v>3</v>
      </c>
      <c r="I1086">
        <v>1</v>
      </c>
      <c r="J1086">
        <v>15</v>
      </c>
      <c r="K1086" t="str" cm="1">
        <f t="array" ref="K1086">IFERROR(_xlfn.XLOOKUP(D1086&amp;A1086, RBWR!A:A&amp;RBWR!C:C, RBWR!B:B), "N/A")</f>
        <v>N/A</v>
      </c>
      <c r="L1086" cm="1">
        <f t="array" ref="L1086">IFERROR(_xlfn.XLOOKUP(C1086&amp;A1086, RYOE!A:A&amp;RYOE!F:F, RYOE!C:C), "N/A")</f>
        <v>102</v>
      </c>
      <c r="M1086" cm="1">
        <f t="array" ref="M1086">IFERROR(_xlfn.XLOOKUP(C1086&amp;A1086, RYOE!A:A&amp;RYOE!F:F, RYOE!D:D), "N/A")</f>
        <v>0.39</v>
      </c>
      <c r="N1086" cm="1">
        <f t="array" ref="N1086">IFERROR(_xlfn.XLOOKUP(C1086&amp;A1086, RYOE!A:A&amp;RYOE!F:F, RYOE!E:E), "N/A")</f>
        <v>33.6</v>
      </c>
    </row>
    <row r="1087" spans="1:14" ht="15" customHeight="1" x14ac:dyDescent="0.45">
      <c r="A1087" s="8">
        <v>2019</v>
      </c>
      <c r="B1087" s="6" t="s">
        <v>631</v>
      </c>
      <c r="C1087" s="2" t="str">
        <f t="shared" si="32"/>
        <v>Josh Jacobs</v>
      </c>
      <c r="D1087" s="2" t="str">
        <f t="shared" si="33"/>
        <v>OAK</v>
      </c>
      <c r="E1087" s="2">
        <v>242</v>
      </c>
      <c r="F1087" s="2">
        <v>1150</v>
      </c>
      <c r="G1087" s="2">
        <v>4.8</v>
      </c>
      <c r="H1087" s="2">
        <v>7</v>
      </c>
      <c r="I1087">
        <v>1</v>
      </c>
      <c r="J1087">
        <v>13</v>
      </c>
      <c r="K1087" t="str" cm="1">
        <f t="array" ref="K1087">IFERROR(_xlfn.XLOOKUP(D1087&amp;A1087, RBWR!A:A&amp;RBWR!C:C, RBWR!B:B), "N/A")</f>
        <v>N/A</v>
      </c>
      <c r="L1087" cm="1">
        <f t="array" ref="L1087">IFERROR(_xlfn.XLOOKUP(C1087&amp;A1087, RYOE!A:A&amp;RYOE!F:F, RYOE!C:C), "N/A")</f>
        <v>159</v>
      </c>
      <c r="M1087" cm="1">
        <f t="array" ref="M1087">IFERROR(_xlfn.XLOOKUP(C1087&amp;A1087, RYOE!A:A&amp;RYOE!F:F, RYOE!D:D), "N/A")</f>
        <v>0.67</v>
      </c>
      <c r="N1087" cm="1">
        <f t="array" ref="N1087">IFERROR(_xlfn.XLOOKUP(C1087&amp;A1087, RYOE!A:A&amp;RYOE!F:F, RYOE!E:E), "N/A")</f>
        <v>41.8</v>
      </c>
    </row>
    <row r="1088" spans="1:14" ht="15" customHeight="1" x14ac:dyDescent="0.45">
      <c r="A1088" s="7">
        <v>2019</v>
      </c>
      <c r="B1088" s="5" t="s">
        <v>372</v>
      </c>
      <c r="C1088" s="1" t="str">
        <f t="shared" si="32"/>
        <v>Miles Sanders</v>
      </c>
      <c r="D1088" s="1" t="str">
        <f t="shared" si="33"/>
        <v>PHI</v>
      </c>
      <c r="E1088" s="1">
        <v>179</v>
      </c>
      <c r="F1088" s="1">
        <v>818</v>
      </c>
      <c r="G1088" s="1">
        <v>4.5999999999999996</v>
      </c>
      <c r="H1088" s="1">
        <v>3</v>
      </c>
      <c r="I1088">
        <v>1</v>
      </c>
      <c r="J1088">
        <v>16</v>
      </c>
      <c r="K1088" t="str" cm="1">
        <f t="array" ref="K1088">IFERROR(_xlfn.XLOOKUP(D1088&amp;A1088, RBWR!A:A&amp;RBWR!C:C, RBWR!B:B), "N/A")</f>
        <v>N/A</v>
      </c>
      <c r="L1088" cm="1">
        <f t="array" ref="L1088">IFERROR(_xlfn.XLOOKUP(C1088&amp;A1088, RYOE!A:A&amp;RYOE!F:F, RYOE!C:C), "N/A")</f>
        <v>-55</v>
      </c>
      <c r="M1088" cm="1">
        <f t="array" ref="M1088">IFERROR(_xlfn.XLOOKUP(C1088&amp;A1088, RYOE!A:A&amp;RYOE!F:F, RYOE!D:D), "N/A")</f>
        <v>-0.31</v>
      </c>
      <c r="N1088" cm="1">
        <f t="array" ref="N1088">IFERROR(_xlfn.XLOOKUP(C1088&amp;A1088, RYOE!A:A&amp;RYOE!F:F, RYOE!E:E), "N/A")</f>
        <v>31.4</v>
      </c>
    </row>
    <row r="1089" spans="1:14" ht="15" customHeight="1" x14ac:dyDescent="0.45">
      <c r="A1089" s="8">
        <v>2019</v>
      </c>
      <c r="B1089" s="6" t="s">
        <v>78</v>
      </c>
      <c r="C1089" s="2" t="str">
        <f t="shared" si="32"/>
        <v>Alvin Kamara</v>
      </c>
      <c r="D1089" s="2" t="str">
        <f t="shared" si="33"/>
        <v>NO</v>
      </c>
      <c r="E1089" s="2">
        <v>171</v>
      </c>
      <c r="F1089" s="2">
        <v>797</v>
      </c>
      <c r="G1089" s="2">
        <v>4.7</v>
      </c>
      <c r="H1089" s="2">
        <v>5</v>
      </c>
      <c r="I1089">
        <v>1</v>
      </c>
      <c r="J1089">
        <v>14</v>
      </c>
      <c r="K1089" t="str" cm="1">
        <f t="array" ref="K1089">IFERROR(_xlfn.XLOOKUP(D1089&amp;A1089, RBWR!A:A&amp;RBWR!C:C, RBWR!B:B), "N/A")</f>
        <v>N/A</v>
      </c>
      <c r="L1089" cm="1">
        <f t="array" ref="L1089">IFERROR(_xlfn.XLOOKUP(C1089&amp;A1089, RYOE!A:A&amp;RYOE!F:F, RYOE!C:C), "N/A")</f>
        <v>29</v>
      </c>
      <c r="M1089" cm="1">
        <f t="array" ref="M1089">IFERROR(_xlfn.XLOOKUP(C1089&amp;A1089, RYOE!A:A&amp;RYOE!F:F, RYOE!D:D), "N/A")</f>
        <v>0.17</v>
      </c>
      <c r="N1089" cm="1">
        <f t="array" ref="N1089">IFERROR(_xlfn.XLOOKUP(C1089&amp;A1089, RYOE!A:A&amp;RYOE!F:F, RYOE!E:E), "N/A")</f>
        <v>36.700000000000003</v>
      </c>
    </row>
    <row r="1090" spans="1:14" ht="15" customHeight="1" x14ac:dyDescent="0.45">
      <c r="A1090" s="7">
        <v>2019</v>
      </c>
      <c r="B1090" s="5" t="s">
        <v>502</v>
      </c>
      <c r="C1090" s="1" t="str">
        <f t="shared" ref="C1090:C1153" si="34">TRIM(LEFT(B1090, LEN(B1090) - LEN(TRIM(RIGHT(SUBSTITUTE(TRIM(B1090)," ",REPT(" ",100)),100)))))</f>
        <v>Marlon Mack</v>
      </c>
      <c r="D1090" s="1" t="str">
        <f t="shared" ref="D1090:D1153" si="35">MID(B1090, FIND("(", B1090) + 1, FIND(")", B1090) - FIND("(", B1090) - 1)</f>
        <v>IND</v>
      </c>
      <c r="E1090" s="1">
        <v>247</v>
      </c>
      <c r="F1090" s="1">
        <v>1091</v>
      </c>
      <c r="G1090" s="1">
        <v>4.4000000000000004</v>
      </c>
      <c r="H1090" s="1">
        <v>8</v>
      </c>
      <c r="I1090">
        <v>0</v>
      </c>
      <c r="J1090">
        <v>14</v>
      </c>
      <c r="K1090" t="str" cm="1">
        <f t="array" ref="K1090">IFERROR(_xlfn.XLOOKUP(D1090&amp;A1090, RBWR!A:A&amp;RBWR!C:C, RBWR!B:B), "N/A")</f>
        <v>N/A</v>
      </c>
      <c r="L1090" cm="1">
        <f t="array" ref="L1090">IFERROR(_xlfn.XLOOKUP(C1090&amp;A1090, RYOE!A:A&amp;RYOE!F:F, RYOE!C:C), "N/A")</f>
        <v>4</v>
      </c>
      <c r="M1090" cm="1">
        <f t="array" ref="M1090">IFERROR(_xlfn.XLOOKUP(C1090&amp;A1090, RYOE!A:A&amp;RYOE!F:F, RYOE!D:D), "N/A")</f>
        <v>0.02</v>
      </c>
      <c r="N1090" cm="1">
        <f t="array" ref="N1090">IFERROR(_xlfn.XLOOKUP(C1090&amp;A1090, RYOE!A:A&amp;RYOE!F:F, RYOE!E:E), "N/A")</f>
        <v>35.200000000000003</v>
      </c>
    </row>
    <row r="1091" spans="1:14" ht="15" customHeight="1" x14ac:dyDescent="0.45">
      <c r="A1091" s="8">
        <v>2019</v>
      </c>
      <c r="B1091" s="6" t="s">
        <v>555</v>
      </c>
      <c r="C1091" s="2" t="str">
        <f t="shared" si="34"/>
        <v>Kenyan Drake</v>
      </c>
      <c r="D1091" s="2" t="str">
        <f t="shared" si="35"/>
        <v>ARI</v>
      </c>
      <c r="E1091" s="2">
        <v>170</v>
      </c>
      <c r="F1091" s="2">
        <v>817</v>
      </c>
      <c r="G1091" s="2">
        <v>4.8</v>
      </c>
      <c r="H1091" s="2">
        <v>8</v>
      </c>
      <c r="I1091">
        <v>1</v>
      </c>
      <c r="J1091">
        <v>14</v>
      </c>
      <c r="K1091" t="str" cm="1">
        <f t="array" ref="K1091">IFERROR(_xlfn.XLOOKUP(D1091&amp;A1091, RBWR!A:A&amp;RBWR!C:C, RBWR!B:B), "N/A")</f>
        <v>N/A</v>
      </c>
      <c r="L1091" cm="1">
        <f t="array" ref="L1091">IFERROR(_xlfn.XLOOKUP(C1091&amp;A1091, RYOE!A:A&amp;RYOE!F:F, RYOE!C:C), "N/A")</f>
        <v>39</v>
      </c>
      <c r="M1091" cm="1">
        <f t="array" ref="M1091">IFERROR(_xlfn.XLOOKUP(C1091&amp;A1091, RYOE!A:A&amp;RYOE!F:F, RYOE!D:D), "N/A")</f>
        <v>0.23</v>
      </c>
      <c r="N1091" cm="1">
        <f t="array" ref="N1091">IFERROR(_xlfn.XLOOKUP(C1091&amp;A1091, RYOE!A:A&amp;RYOE!F:F, RYOE!E:E), "N/A")</f>
        <v>31.4</v>
      </c>
    </row>
    <row r="1092" spans="1:14" ht="15" customHeight="1" x14ac:dyDescent="0.45">
      <c r="A1092" s="7">
        <v>2019</v>
      </c>
      <c r="B1092" s="5" t="s">
        <v>572</v>
      </c>
      <c r="C1092" s="1" t="str">
        <f t="shared" si="34"/>
        <v>Phillip Lindsay</v>
      </c>
      <c r="D1092" s="1" t="str">
        <f t="shared" si="35"/>
        <v>DEN</v>
      </c>
      <c r="E1092" s="1">
        <v>224</v>
      </c>
      <c r="F1092" s="1">
        <v>1011</v>
      </c>
      <c r="G1092" s="1">
        <v>4.5</v>
      </c>
      <c r="H1092" s="1">
        <v>7</v>
      </c>
      <c r="I1092">
        <v>0</v>
      </c>
      <c r="J1092">
        <v>16</v>
      </c>
      <c r="K1092" t="str" cm="1">
        <f t="array" ref="K1092">IFERROR(_xlfn.XLOOKUP(D1092&amp;A1092, RBWR!A:A&amp;RBWR!C:C, RBWR!B:B), "N/A")</f>
        <v>N/A</v>
      </c>
      <c r="L1092" cm="1">
        <f t="array" ref="L1092">IFERROR(_xlfn.XLOOKUP(C1092&amp;A1092, RYOE!A:A&amp;RYOE!F:F, RYOE!C:C), "N/A")</f>
        <v>28</v>
      </c>
      <c r="M1092" cm="1">
        <f t="array" ref="M1092">IFERROR(_xlfn.XLOOKUP(C1092&amp;A1092, RYOE!A:A&amp;RYOE!F:F, RYOE!D:D), "N/A")</f>
        <v>0.13</v>
      </c>
      <c r="N1092" cm="1">
        <f t="array" ref="N1092">IFERROR(_xlfn.XLOOKUP(C1092&amp;A1092, RYOE!A:A&amp;RYOE!F:F, RYOE!E:E), "N/A")</f>
        <v>34.9</v>
      </c>
    </row>
    <row r="1093" spans="1:14" ht="15" customHeight="1" x14ac:dyDescent="0.45">
      <c r="A1093" s="8">
        <v>2019</v>
      </c>
      <c r="B1093" s="6" t="s">
        <v>519</v>
      </c>
      <c r="C1093" s="2" t="str">
        <f t="shared" si="34"/>
        <v>Raheem Mostert</v>
      </c>
      <c r="D1093" s="2" t="str">
        <f t="shared" si="35"/>
        <v>SF</v>
      </c>
      <c r="E1093" s="2">
        <v>137</v>
      </c>
      <c r="F1093" s="2">
        <v>772</v>
      </c>
      <c r="G1093" s="2">
        <v>5.6</v>
      </c>
      <c r="H1093" s="2">
        <v>8</v>
      </c>
      <c r="I1093">
        <v>2</v>
      </c>
      <c r="J1093">
        <v>16</v>
      </c>
      <c r="K1093" t="str" cm="1">
        <f t="array" ref="K1093">IFERROR(_xlfn.XLOOKUP(D1093&amp;A1093, RBWR!A:A&amp;RBWR!C:C, RBWR!B:B), "N/A")</f>
        <v>N/A</v>
      </c>
      <c r="L1093" cm="1">
        <f t="array" ref="L1093">IFERROR(_xlfn.XLOOKUP(C1093&amp;A1093, RYOE!A:A&amp;RYOE!F:F, RYOE!C:C), "N/A")</f>
        <v>38</v>
      </c>
      <c r="M1093" cm="1">
        <f t="array" ref="M1093">IFERROR(_xlfn.XLOOKUP(C1093&amp;A1093, RYOE!A:A&amp;RYOE!F:F, RYOE!D:D), "N/A")</f>
        <v>0.28999999999999998</v>
      </c>
      <c r="N1093" cm="1">
        <f t="array" ref="N1093">IFERROR(_xlfn.XLOOKUP(C1093&amp;A1093, RYOE!A:A&amp;RYOE!F:F, RYOE!E:E), "N/A")</f>
        <v>40.200000000000003</v>
      </c>
    </row>
    <row r="1094" spans="1:14" ht="15" customHeight="1" x14ac:dyDescent="0.45">
      <c r="A1094" s="7">
        <v>2019</v>
      </c>
      <c r="B1094" s="5" t="s">
        <v>632</v>
      </c>
      <c r="C1094" s="1" t="str">
        <f t="shared" si="34"/>
        <v>Le'Veon Bell</v>
      </c>
      <c r="D1094" s="1" t="str">
        <f t="shared" si="35"/>
        <v>NYJ</v>
      </c>
      <c r="E1094" s="1">
        <v>245</v>
      </c>
      <c r="F1094" s="1">
        <v>789</v>
      </c>
      <c r="G1094" s="1">
        <v>3.2</v>
      </c>
      <c r="H1094" s="1">
        <v>3</v>
      </c>
      <c r="I1094">
        <v>1</v>
      </c>
      <c r="J1094">
        <v>15</v>
      </c>
      <c r="K1094" t="str" cm="1">
        <f t="array" ref="K1094">IFERROR(_xlfn.XLOOKUP(D1094&amp;A1094, RBWR!A:A&amp;RBWR!C:C, RBWR!B:B), "N/A")</f>
        <v>N/A</v>
      </c>
      <c r="L1094" cm="1">
        <f t="array" ref="L1094">IFERROR(_xlfn.XLOOKUP(C1094&amp;A1094, RYOE!A:A&amp;RYOE!F:F, RYOE!C:C), "N/A")</f>
        <v>-126</v>
      </c>
      <c r="M1094" cm="1">
        <f t="array" ref="M1094">IFERROR(_xlfn.XLOOKUP(C1094&amp;A1094, RYOE!A:A&amp;RYOE!F:F, RYOE!D:D), "N/A")</f>
        <v>-0.52</v>
      </c>
      <c r="N1094" cm="1">
        <f t="array" ref="N1094">IFERROR(_xlfn.XLOOKUP(C1094&amp;A1094, RYOE!A:A&amp;RYOE!F:F, RYOE!E:E), "N/A")</f>
        <v>39.1</v>
      </c>
    </row>
    <row r="1095" spans="1:14" ht="15" customHeight="1" x14ac:dyDescent="0.45">
      <c r="A1095" s="8">
        <v>2019</v>
      </c>
      <c r="B1095" s="6" t="s">
        <v>374</v>
      </c>
      <c r="C1095" s="2" t="str">
        <f t="shared" si="34"/>
        <v>David Montgomery</v>
      </c>
      <c r="D1095" s="2" t="str">
        <f t="shared" si="35"/>
        <v>CHI</v>
      </c>
      <c r="E1095" s="2">
        <v>242</v>
      </c>
      <c r="F1095" s="2">
        <v>889</v>
      </c>
      <c r="G1095" s="2">
        <v>3.7</v>
      </c>
      <c r="H1095" s="2">
        <v>6</v>
      </c>
      <c r="I1095">
        <v>2</v>
      </c>
      <c r="J1095">
        <v>16</v>
      </c>
      <c r="K1095" t="str" cm="1">
        <f t="array" ref="K1095">IFERROR(_xlfn.XLOOKUP(D1095&amp;A1095, RBWR!A:A&amp;RBWR!C:C, RBWR!B:B), "N/A")</f>
        <v>N/A</v>
      </c>
      <c r="L1095" cm="1">
        <f t="array" ref="L1095">IFERROR(_xlfn.XLOOKUP(C1095&amp;A1095, RYOE!A:A&amp;RYOE!F:F, RYOE!C:C), "N/A")</f>
        <v>-53</v>
      </c>
      <c r="M1095" cm="1">
        <f t="array" ref="M1095">IFERROR(_xlfn.XLOOKUP(C1095&amp;A1095, RYOE!A:A&amp;RYOE!F:F, RYOE!D:D), "N/A")</f>
        <v>-0.22</v>
      </c>
      <c r="N1095" cm="1">
        <f t="array" ref="N1095">IFERROR(_xlfn.XLOOKUP(C1095&amp;A1095, RYOE!A:A&amp;RYOE!F:F, RYOE!E:E), "N/A")</f>
        <v>36.1</v>
      </c>
    </row>
    <row r="1096" spans="1:14" ht="15" customHeight="1" x14ac:dyDescent="0.45">
      <c r="A1096" s="7">
        <v>2019</v>
      </c>
      <c r="B1096" s="5" t="s">
        <v>633</v>
      </c>
      <c r="C1096" s="1" t="str">
        <f t="shared" si="34"/>
        <v>Carlos Hyde</v>
      </c>
      <c r="D1096" s="1" t="str">
        <f t="shared" si="35"/>
        <v>HOU</v>
      </c>
      <c r="E1096" s="1">
        <v>245</v>
      </c>
      <c r="F1096" s="1">
        <v>1070</v>
      </c>
      <c r="G1096" s="1">
        <v>4.4000000000000004</v>
      </c>
      <c r="H1096" s="1">
        <v>6</v>
      </c>
      <c r="I1096">
        <v>2</v>
      </c>
      <c r="J1096">
        <v>16</v>
      </c>
      <c r="K1096" t="str" cm="1">
        <f t="array" ref="K1096">IFERROR(_xlfn.XLOOKUP(D1096&amp;A1096, RBWR!A:A&amp;RBWR!C:C, RBWR!B:B), "N/A")</f>
        <v>N/A</v>
      </c>
      <c r="L1096" cm="1">
        <f t="array" ref="L1096">IFERROR(_xlfn.XLOOKUP(C1096&amp;A1096, RYOE!A:A&amp;RYOE!F:F, RYOE!C:C), "N/A")</f>
        <v>108</v>
      </c>
      <c r="M1096" cm="1">
        <f t="array" ref="M1096">IFERROR(_xlfn.XLOOKUP(C1096&amp;A1096, RYOE!A:A&amp;RYOE!F:F, RYOE!D:D), "N/A")</f>
        <v>0.44</v>
      </c>
      <c r="N1096" cm="1">
        <f t="array" ref="N1096">IFERROR(_xlfn.XLOOKUP(C1096&amp;A1096, RYOE!A:A&amp;RYOE!F:F, RYOE!E:E), "N/A")</f>
        <v>38.700000000000003</v>
      </c>
    </row>
    <row r="1097" spans="1:14" ht="15" customHeight="1" x14ac:dyDescent="0.45">
      <c r="A1097" s="8">
        <v>2019</v>
      </c>
      <c r="B1097" s="6" t="s">
        <v>570</v>
      </c>
      <c r="C1097" s="2" t="str">
        <f t="shared" si="34"/>
        <v>Sony Michel</v>
      </c>
      <c r="D1097" s="2" t="str">
        <f t="shared" si="35"/>
        <v>NE</v>
      </c>
      <c r="E1097" s="2">
        <v>247</v>
      </c>
      <c r="F1097" s="2">
        <v>912</v>
      </c>
      <c r="G1097" s="2">
        <v>3.7</v>
      </c>
      <c r="H1097" s="2">
        <v>7</v>
      </c>
      <c r="I1097">
        <v>1</v>
      </c>
      <c r="J1097">
        <v>16</v>
      </c>
      <c r="K1097" t="str" cm="1">
        <f t="array" ref="K1097">IFERROR(_xlfn.XLOOKUP(D1097&amp;A1097, RBWR!A:A&amp;RBWR!C:C, RBWR!B:B), "N/A")</f>
        <v>N/A</v>
      </c>
      <c r="L1097" cm="1">
        <f t="array" ref="L1097">IFERROR(_xlfn.XLOOKUP(C1097&amp;A1097, RYOE!A:A&amp;RYOE!F:F, RYOE!C:C), "N/A")</f>
        <v>-69</v>
      </c>
      <c r="M1097" cm="1">
        <f t="array" ref="M1097">IFERROR(_xlfn.XLOOKUP(C1097&amp;A1097, RYOE!A:A&amp;RYOE!F:F, RYOE!D:D), "N/A")</f>
        <v>-0.28000000000000003</v>
      </c>
      <c r="N1097" cm="1">
        <f t="array" ref="N1097">IFERROR(_xlfn.XLOOKUP(C1097&amp;A1097, RYOE!A:A&amp;RYOE!F:F, RYOE!E:E), "N/A")</f>
        <v>34.799999999999997</v>
      </c>
    </row>
    <row r="1098" spans="1:14" ht="15" customHeight="1" x14ac:dyDescent="0.45">
      <c r="A1098" s="7">
        <v>2019</v>
      </c>
      <c r="B1098" s="5" t="s">
        <v>634</v>
      </c>
      <c r="C1098" s="1" t="str">
        <f t="shared" si="34"/>
        <v>Melvin Gordon III</v>
      </c>
      <c r="D1098" s="1" t="str">
        <f t="shared" si="35"/>
        <v>LAC</v>
      </c>
      <c r="E1098" s="1">
        <v>162</v>
      </c>
      <c r="F1098" s="1">
        <v>612</v>
      </c>
      <c r="G1098" s="1">
        <v>3.8</v>
      </c>
      <c r="H1098" s="1">
        <v>8</v>
      </c>
      <c r="I1098">
        <v>3</v>
      </c>
      <c r="J1098">
        <v>12</v>
      </c>
      <c r="K1098" t="str" cm="1">
        <f t="array" ref="K1098">IFERROR(_xlfn.XLOOKUP(D1098&amp;A1098, RBWR!A:A&amp;RBWR!C:C, RBWR!B:B), "N/A")</f>
        <v>N/A</v>
      </c>
      <c r="L1098" cm="1">
        <f t="array" ref="L1098">IFERROR(_xlfn.XLOOKUP(C1098&amp;A1098, RYOE!A:A&amp;RYOE!F:F, RYOE!C:C), "N/A")</f>
        <v>-62</v>
      </c>
      <c r="M1098" cm="1">
        <f t="array" ref="M1098">IFERROR(_xlfn.XLOOKUP(C1098&amp;A1098, RYOE!A:A&amp;RYOE!F:F, RYOE!D:D), "N/A")</f>
        <v>-0.39</v>
      </c>
      <c r="N1098" cm="1">
        <f t="array" ref="N1098">IFERROR(_xlfn.XLOOKUP(C1098&amp;A1098, RYOE!A:A&amp;RYOE!F:F, RYOE!E:E), "N/A")</f>
        <v>32.9</v>
      </c>
    </row>
    <row r="1099" spans="1:14" ht="15" customHeight="1" x14ac:dyDescent="0.45">
      <c r="A1099" s="8">
        <v>2019</v>
      </c>
      <c r="B1099" s="6" t="s">
        <v>635</v>
      </c>
      <c r="C1099" s="2" t="str">
        <f t="shared" si="34"/>
        <v>Devonta Freeman</v>
      </c>
      <c r="D1099" s="2" t="str">
        <f t="shared" si="35"/>
        <v>ATL</v>
      </c>
      <c r="E1099" s="2">
        <v>184</v>
      </c>
      <c r="F1099" s="2">
        <v>656</v>
      </c>
      <c r="G1099" s="2">
        <v>3.6</v>
      </c>
      <c r="H1099" s="2">
        <v>2</v>
      </c>
      <c r="I1099">
        <v>2</v>
      </c>
      <c r="J1099">
        <v>14</v>
      </c>
      <c r="K1099" t="str" cm="1">
        <f t="array" ref="K1099">IFERROR(_xlfn.XLOOKUP(D1099&amp;A1099, RBWR!A:A&amp;RBWR!C:C, RBWR!B:B), "N/A")</f>
        <v>N/A</v>
      </c>
      <c r="L1099" cm="1">
        <f t="array" ref="L1099">IFERROR(_xlfn.XLOOKUP(C1099&amp;A1099, RYOE!A:A&amp;RYOE!F:F, RYOE!C:C), "N/A")</f>
        <v>-219</v>
      </c>
      <c r="M1099" cm="1">
        <f t="array" ref="M1099">IFERROR(_xlfn.XLOOKUP(C1099&amp;A1099, RYOE!A:A&amp;RYOE!F:F, RYOE!D:D), "N/A")</f>
        <v>-1.22</v>
      </c>
      <c r="N1099" cm="1">
        <f t="array" ref="N1099">IFERROR(_xlfn.XLOOKUP(C1099&amp;A1099, RYOE!A:A&amp;RYOE!F:F, RYOE!E:E), "N/A")</f>
        <v>27.4</v>
      </c>
    </row>
    <row r="1100" spans="1:14" ht="15" customHeight="1" x14ac:dyDescent="0.45">
      <c r="A1100" s="7">
        <v>2019</v>
      </c>
      <c r="B1100" s="5" t="s">
        <v>466</v>
      </c>
      <c r="C1100" s="1" t="str">
        <f t="shared" si="34"/>
        <v>Ronald Jones II</v>
      </c>
      <c r="D1100" s="1" t="str">
        <f t="shared" si="35"/>
        <v>TB</v>
      </c>
      <c r="E1100" s="1">
        <v>172</v>
      </c>
      <c r="F1100" s="1">
        <v>724</v>
      </c>
      <c r="G1100" s="1">
        <v>4.2</v>
      </c>
      <c r="H1100" s="1">
        <v>6</v>
      </c>
      <c r="I1100">
        <v>2</v>
      </c>
      <c r="J1100">
        <v>16</v>
      </c>
      <c r="K1100" t="str" cm="1">
        <f t="array" ref="K1100">IFERROR(_xlfn.XLOOKUP(D1100&amp;A1100, RBWR!A:A&amp;RBWR!C:C, RBWR!B:B), "N/A")</f>
        <v>N/A</v>
      </c>
      <c r="L1100" cm="1">
        <f t="array" ref="L1100">IFERROR(_xlfn.XLOOKUP(C1100&amp;A1100, RYOE!A:A&amp;RYOE!F:F, RYOE!C:C), "N/A")</f>
        <v>13</v>
      </c>
      <c r="M1100" cm="1">
        <f t="array" ref="M1100">IFERROR(_xlfn.XLOOKUP(C1100&amp;A1100, RYOE!A:A&amp;RYOE!F:F, RYOE!D:D), "N/A")</f>
        <v>0.08</v>
      </c>
      <c r="N1100" cm="1">
        <f t="array" ref="N1100">IFERROR(_xlfn.XLOOKUP(C1100&amp;A1100, RYOE!A:A&amp;RYOE!F:F, RYOE!E:E), "N/A")</f>
        <v>34.9</v>
      </c>
    </row>
    <row r="1101" spans="1:14" ht="15" customHeight="1" x14ac:dyDescent="0.45">
      <c r="A1101" s="8">
        <v>2019</v>
      </c>
      <c r="B1101" s="6" t="s">
        <v>636</v>
      </c>
      <c r="C1101" s="2" t="str">
        <f t="shared" si="34"/>
        <v>Adrian Peterson</v>
      </c>
      <c r="D1101" s="2" t="str">
        <f t="shared" si="35"/>
        <v>WAS</v>
      </c>
      <c r="E1101" s="2">
        <v>211</v>
      </c>
      <c r="F1101" s="2">
        <v>898</v>
      </c>
      <c r="G1101" s="2">
        <v>4.3</v>
      </c>
      <c r="H1101" s="2">
        <v>5</v>
      </c>
      <c r="I1101">
        <v>2</v>
      </c>
      <c r="J1101">
        <v>16</v>
      </c>
      <c r="K1101" t="str" cm="1">
        <f t="array" ref="K1101">IFERROR(_xlfn.XLOOKUP(D1101&amp;A1101, RBWR!A:A&amp;RBWR!C:C, RBWR!B:B), "N/A")</f>
        <v>N/A</v>
      </c>
      <c r="L1101" cm="1">
        <f t="array" ref="L1101">IFERROR(_xlfn.XLOOKUP(C1101&amp;A1101, RYOE!A:A&amp;RYOE!F:F, RYOE!C:C), "N/A")</f>
        <v>101</v>
      </c>
      <c r="M1101" cm="1">
        <f t="array" ref="M1101">IFERROR(_xlfn.XLOOKUP(C1101&amp;A1101, RYOE!A:A&amp;RYOE!F:F, RYOE!D:D), "N/A")</f>
        <v>0.49</v>
      </c>
      <c r="N1101" cm="1">
        <f t="array" ref="N1101">IFERROR(_xlfn.XLOOKUP(C1101&amp;A1101, RYOE!A:A&amp;RYOE!F:F, RYOE!E:E), "N/A")</f>
        <v>42.1</v>
      </c>
    </row>
    <row r="1102" spans="1:14" ht="15" customHeight="1" x14ac:dyDescent="0.45">
      <c r="A1102" s="7">
        <v>2019</v>
      </c>
      <c r="B1102" s="5" t="s">
        <v>494</v>
      </c>
      <c r="C1102" s="1" t="str">
        <f t="shared" si="34"/>
        <v>James White</v>
      </c>
      <c r="D1102" s="1" t="str">
        <f t="shared" si="35"/>
        <v>NE</v>
      </c>
      <c r="E1102" s="1">
        <v>67</v>
      </c>
      <c r="F1102" s="1">
        <v>263</v>
      </c>
      <c r="G1102" s="1">
        <v>3.9</v>
      </c>
      <c r="H1102" s="1">
        <v>1</v>
      </c>
      <c r="I1102">
        <v>1</v>
      </c>
      <c r="J1102">
        <v>15</v>
      </c>
      <c r="K1102" t="str" cm="1">
        <f t="array" ref="K1102">IFERROR(_xlfn.XLOOKUP(D1102&amp;A1102, RBWR!A:A&amp;RBWR!C:C, RBWR!B:B), "N/A")</f>
        <v>N/A</v>
      </c>
      <c r="L1102" t="str" cm="1">
        <f t="array" ref="L1102">IFERROR(_xlfn.XLOOKUP(C1102&amp;A1102, RYOE!A:A&amp;RYOE!F:F, RYOE!C:C), "N/A")</f>
        <v>N/A</v>
      </c>
      <c r="M1102" t="str" cm="1">
        <f t="array" ref="M1102">IFERROR(_xlfn.XLOOKUP(C1102&amp;A1102, RYOE!A:A&amp;RYOE!F:F, RYOE!D:D), "N/A")</f>
        <v>N/A</v>
      </c>
      <c r="N1102" t="str" cm="1">
        <f t="array" ref="N1102">IFERROR(_xlfn.XLOOKUP(C1102&amp;A1102, RYOE!A:A&amp;RYOE!F:F, RYOE!E:E), "N/A")</f>
        <v>N/A</v>
      </c>
    </row>
    <row r="1103" spans="1:14" ht="15" customHeight="1" x14ac:dyDescent="0.45">
      <c r="A1103" s="8">
        <v>2019</v>
      </c>
      <c r="B1103" s="6" t="s">
        <v>560</v>
      </c>
      <c r="C1103" s="2" t="str">
        <f t="shared" si="34"/>
        <v>Latavius Murray</v>
      </c>
      <c r="D1103" s="2" t="str">
        <f t="shared" si="35"/>
        <v>NO</v>
      </c>
      <c r="E1103" s="2">
        <v>146</v>
      </c>
      <c r="F1103" s="2">
        <v>637</v>
      </c>
      <c r="G1103" s="2">
        <v>4.4000000000000004</v>
      </c>
      <c r="H1103" s="2">
        <v>5</v>
      </c>
      <c r="I1103">
        <v>0</v>
      </c>
      <c r="J1103">
        <v>16</v>
      </c>
      <c r="K1103" t="str" cm="1">
        <f t="array" ref="K1103">IFERROR(_xlfn.XLOOKUP(D1103&amp;A1103, RBWR!A:A&amp;RBWR!C:C, RBWR!B:B), "N/A")</f>
        <v>N/A</v>
      </c>
      <c r="L1103" cm="1">
        <f t="array" ref="L1103">IFERROR(_xlfn.XLOOKUP(C1103&amp;A1103, RYOE!A:A&amp;RYOE!F:F, RYOE!C:C), "N/A")</f>
        <v>0</v>
      </c>
      <c r="M1103" cm="1">
        <f t="array" ref="M1103">IFERROR(_xlfn.XLOOKUP(C1103&amp;A1103, RYOE!A:A&amp;RYOE!F:F, RYOE!D:D), "N/A")</f>
        <v>0</v>
      </c>
      <c r="N1103" cm="1">
        <f t="array" ref="N1103">IFERROR(_xlfn.XLOOKUP(C1103&amp;A1103, RYOE!A:A&amp;RYOE!F:F, RYOE!E:E), "N/A")</f>
        <v>37.700000000000003</v>
      </c>
    </row>
    <row r="1104" spans="1:14" ht="15" customHeight="1" x14ac:dyDescent="0.45">
      <c r="A1104" s="7">
        <v>2019</v>
      </c>
      <c r="B1104" s="5" t="s">
        <v>376</v>
      </c>
      <c r="C1104" s="1" t="str">
        <f t="shared" si="34"/>
        <v>Devin Singletary</v>
      </c>
      <c r="D1104" s="1" t="str">
        <f t="shared" si="35"/>
        <v>BUF</v>
      </c>
      <c r="E1104" s="1">
        <v>151</v>
      </c>
      <c r="F1104" s="1">
        <v>775</v>
      </c>
      <c r="G1104" s="1">
        <v>5.0999999999999996</v>
      </c>
      <c r="H1104" s="1">
        <v>2</v>
      </c>
      <c r="I1104">
        <v>1</v>
      </c>
      <c r="J1104">
        <v>12</v>
      </c>
      <c r="K1104" t="str" cm="1">
        <f t="array" ref="K1104">IFERROR(_xlfn.XLOOKUP(D1104&amp;A1104, RBWR!A:A&amp;RBWR!C:C, RBWR!B:B), "N/A")</f>
        <v>N/A</v>
      </c>
      <c r="L1104" cm="1">
        <f t="array" ref="L1104">IFERROR(_xlfn.XLOOKUP(C1104&amp;A1104, RYOE!A:A&amp;RYOE!F:F, RYOE!C:C), "N/A")</f>
        <v>59</v>
      </c>
      <c r="M1104" cm="1">
        <f t="array" ref="M1104">IFERROR(_xlfn.XLOOKUP(C1104&amp;A1104, RYOE!A:A&amp;RYOE!F:F, RYOE!D:D), "N/A")</f>
        <v>0.4</v>
      </c>
      <c r="N1104" cm="1">
        <f t="array" ref="N1104">IFERROR(_xlfn.XLOOKUP(C1104&amp;A1104, RYOE!A:A&amp;RYOE!F:F, RYOE!E:E), "N/A")</f>
        <v>40.1</v>
      </c>
    </row>
    <row r="1105" spans="1:14" ht="15" customHeight="1" x14ac:dyDescent="0.45">
      <c r="A1105" s="8">
        <v>2019</v>
      </c>
      <c r="B1105" s="6" t="s">
        <v>402</v>
      </c>
      <c r="C1105" s="2" t="str">
        <f t="shared" si="34"/>
        <v>Tevin Coleman</v>
      </c>
      <c r="D1105" s="2" t="str">
        <f t="shared" si="35"/>
        <v>SF</v>
      </c>
      <c r="E1105" s="2">
        <v>137</v>
      </c>
      <c r="F1105" s="2">
        <v>544</v>
      </c>
      <c r="G1105" s="2">
        <v>4</v>
      </c>
      <c r="H1105" s="2">
        <v>6</v>
      </c>
      <c r="I1105">
        <v>0</v>
      </c>
      <c r="J1105">
        <v>14</v>
      </c>
      <c r="K1105" t="str" cm="1">
        <f t="array" ref="K1105">IFERROR(_xlfn.XLOOKUP(D1105&amp;A1105, RBWR!A:A&amp;RBWR!C:C, RBWR!B:B), "N/A")</f>
        <v>N/A</v>
      </c>
      <c r="L1105" cm="1">
        <f t="array" ref="L1105">IFERROR(_xlfn.XLOOKUP(C1105&amp;A1105, RYOE!A:A&amp;RYOE!F:F, RYOE!C:C), "N/A")</f>
        <v>-1</v>
      </c>
      <c r="M1105" cm="1">
        <f t="array" ref="M1105">IFERROR(_xlfn.XLOOKUP(C1105&amp;A1105, RYOE!A:A&amp;RYOE!F:F, RYOE!D:D), "N/A")</f>
        <v>-0.01</v>
      </c>
      <c r="N1105" cm="1">
        <f t="array" ref="N1105">IFERROR(_xlfn.XLOOKUP(C1105&amp;A1105, RYOE!A:A&amp;RYOE!F:F, RYOE!E:E), "N/A")</f>
        <v>34.6</v>
      </c>
    </row>
    <row r="1106" spans="1:14" ht="15" customHeight="1" x14ac:dyDescent="0.45">
      <c r="A1106" s="7">
        <v>2019</v>
      </c>
      <c r="B1106" s="5" t="s">
        <v>558</v>
      </c>
      <c r="C1106" s="1" t="str">
        <f t="shared" si="34"/>
        <v>James Conner</v>
      </c>
      <c r="D1106" s="1" t="str">
        <f t="shared" si="35"/>
        <v>PIT</v>
      </c>
      <c r="E1106" s="1">
        <v>116</v>
      </c>
      <c r="F1106" s="1">
        <v>464</v>
      </c>
      <c r="G1106" s="1">
        <v>4</v>
      </c>
      <c r="H1106" s="1">
        <v>4</v>
      </c>
      <c r="I1106">
        <v>1</v>
      </c>
      <c r="J1106">
        <v>10</v>
      </c>
      <c r="K1106" t="str" cm="1">
        <f t="array" ref="K1106">IFERROR(_xlfn.XLOOKUP(D1106&amp;A1106, RBWR!A:A&amp;RBWR!C:C, RBWR!B:B), "N/A")</f>
        <v>N/A</v>
      </c>
      <c r="L1106" cm="1">
        <f t="array" ref="L1106">IFERROR(_xlfn.XLOOKUP(C1106&amp;A1106, RYOE!A:A&amp;RYOE!F:F, RYOE!C:C), "N/A")</f>
        <v>-35</v>
      </c>
      <c r="M1106" cm="1">
        <f t="array" ref="M1106">IFERROR(_xlfn.XLOOKUP(C1106&amp;A1106, RYOE!A:A&amp;RYOE!F:F, RYOE!D:D), "N/A")</f>
        <v>-0.31</v>
      </c>
      <c r="N1106" cm="1">
        <f t="array" ref="N1106">IFERROR(_xlfn.XLOOKUP(C1106&amp;A1106, RYOE!A:A&amp;RYOE!F:F, RYOE!E:E), "N/A")</f>
        <v>37.4</v>
      </c>
    </row>
    <row r="1107" spans="1:14" ht="15" customHeight="1" x14ac:dyDescent="0.45">
      <c r="A1107" s="8">
        <v>2019</v>
      </c>
      <c r="B1107" s="6" t="s">
        <v>637</v>
      </c>
      <c r="C1107" s="2" t="str">
        <f t="shared" si="34"/>
        <v>Damien Williams</v>
      </c>
      <c r="D1107" s="2" t="str">
        <f t="shared" si="35"/>
        <v>KC</v>
      </c>
      <c r="E1107" s="2">
        <v>111</v>
      </c>
      <c r="F1107" s="2">
        <v>498</v>
      </c>
      <c r="G1107" s="2">
        <v>4.5</v>
      </c>
      <c r="H1107" s="2">
        <v>5</v>
      </c>
      <c r="I1107">
        <v>1</v>
      </c>
      <c r="J1107">
        <v>11</v>
      </c>
      <c r="K1107" t="str" cm="1">
        <f t="array" ref="K1107">IFERROR(_xlfn.XLOOKUP(D1107&amp;A1107, RBWR!A:A&amp;RBWR!C:C, RBWR!B:B), "N/A")</f>
        <v>N/A</v>
      </c>
      <c r="L1107" cm="1">
        <f t="array" ref="L1107">IFERROR(_xlfn.XLOOKUP(C1107&amp;A1107, RYOE!A:A&amp;RYOE!F:F, RYOE!C:C), "N/A")</f>
        <v>59</v>
      </c>
      <c r="M1107" cm="1">
        <f t="array" ref="M1107">IFERROR(_xlfn.XLOOKUP(C1107&amp;A1107, RYOE!A:A&amp;RYOE!F:F, RYOE!D:D), "N/A")</f>
        <v>0.54</v>
      </c>
      <c r="N1107" cm="1">
        <f t="array" ref="N1107">IFERROR(_xlfn.XLOOKUP(C1107&amp;A1107, RYOE!A:A&amp;RYOE!F:F, RYOE!E:E), "N/A")</f>
        <v>33.6</v>
      </c>
    </row>
    <row r="1108" spans="1:14" ht="15" customHeight="1" x14ac:dyDescent="0.45">
      <c r="A1108" s="7">
        <v>2019</v>
      </c>
      <c r="B1108" s="5" t="s">
        <v>574</v>
      </c>
      <c r="C1108" s="1" t="str">
        <f t="shared" si="34"/>
        <v>Duke Johnson Jr.</v>
      </c>
      <c r="D1108" s="1" t="str">
        <f t="shared" si="35"/>
        <v>HOU</v>
      </c>
      <c r="E1108" s="1">
        <v>83</v>
      </c>
      <c r="F1108" s="1">
        <v>410</v>
      </c>
      <c r="G1108" s="1">
        <v>4.9000000000000004</v>
      </c>
      <c r="H1108" s="1">
        <v>2</v>
      </c>
      <c r="I1108">
        <v>1</v>
      </c>
      <c r="J1108">
        <v>16</v>
      </c>
      <c r="K1108" t="str" cm="1">
        <f t="array" ref="K1108">IFERROR(_xlfn.XLOOKUP(D1108&amp;A1108, RBWR!A:A&amp;RBWR!C:C, RBWR!B:B), "N/A")</f>
        <v>N/A</v>
      </c>
      <c r="L1108" t="str" cm="1">
        <f t="array" ref="L1108">IFERROR(_xlfn.XLOOKUP(C1108&amp;A1108, RYOE!A:A&amp;RYOE!F:F, RYOE!C:C), "N/A")</f>
        <v>N/A</v>
      </c>
      <c r="M1108" t="str" cm="1">
        <f t="array" ref="M1108">IFERROR(_xlfn.XLOOKUP(C1108&amp;A1108, RYOE!A:A&amp;RYOE!F:F, RYOE!D:D), "N/A")</f>
        <v>N/A</v>
      </c>
      <c r="N1108" t="str" cm="1">
        <f t="array" ref="N1108">IFERROR(_xlfn.XLOOKUP(C1108&amp;A1108, RYOE!A:A&amp;RYOE!F:F, RYOE!E:E), "N/A")</f>
        <v>N/A</v>
      </c>
    </row>
    <row r="1109" spans="1:14" ht="15" customHeight="1" x14ac:dyDescent="0.45">
      <c r="A1109" s="8">
        <v>2019</v>
      </c>
      <c r="B1109" s="6" t="s">
        <v>563</v>
      </c>
      <c r="C1109" s="2" t="str">
        <f t="shared" si="34"/>
        <v>Jamaal Williams</v>
      </c>
      <c r="D1109" s="2" t="str">
        <f t="shared" si="35"/>
        <v>GB</v>
      </c>
      <c r="E1109" s="2">
        <v>107</v>
      </c>
      <c r="F1109" s="2">
        <v>456</v>
      </c>
      <c r="G1109" s="2">
        <v>4.3</v>
      </c>
      <c r="H1109" s="2">
        <v>1</v>
      </c>
      <c r="I1109">
        <v>0</v>
      </c>
      <c r="J1109">
        <v>14</v>
      </c>
      <c r="K1109" t="str" cm="1">
        <f t="array" ref="K1109">IFERROR(_xlfn.XLOOKUP(D1109&amp;A1109, RBWR!A:A&amp;RBWR!C:C, RBWR!B:B), "N/A")</f>
        <v>N/A</v>
      </c>
      <c r="L1109" cm="1">
        <f t="array" ref="L1109">IFERROR(_xlfn.XLOOKUP(C1109&amp;A1109, RYOE!A:A&amp;RYOE!F:F, RYOE!C:C), "N/A")</f>
        <v>-9</v>
      </c>
      <c r="M1109" cm="1">
        <f t="array" ref="M1109">IFERROR(_xlfn.XLOOKUP(C1109&amp;A1109, RYOE!A:A&amp;RYOE!F:F, RYOE!D:D), "N/A")</f>
        <v>-0.08</v>
      </c>
      <c r="N1109" cm="1">
        <f t="array" ref="N1109">IFERROR(_xlfn.XLOOKUP(C1109&amp;A1109, RYOE!A:A&amp;RYOE!F:F, RYOE!E:E), "N/A")</f>
        <v>41.3</v>
      </c>
    </row>
    <row r="1110" spans="1:14" ht="15" customHeight="1" x14ac:dyDescent="0.45">
      <c r="A1110" s="7">
        <v>2019</v>
      </c>
      <c r="B1110" s="5" t="s">
        <v>638</v>
      </c>
      <c r="C1110" s="1" t="str">
        <f t="shared" si="34"/>
        <v>David Johnson</v>
      </c>
      <c r="D1110" s="1" t="str">
        <f t="shared" si="35"/>
        <v>ARI</v>
      </c>
      <c r="E1110" s="1">
        <v>94</v>
      </c>
      <c r="F1110" s="1">
        <v>345</v>
      </c>
      <c r="G1110" s="1">
        <v>3.7</v>
      </c>
      <c r="H1110" s="1">
        <v>2</v>
      </c>
      <c r="I1110">
        <v>1</v>
      </c>
      <c r="J1110">
        <v>13</v>
      </c>
      <c r="K1110" t="str" cm="1">
        <f t="array" ref="K1110">IFERROR(_xlfn.XLOOKUP(D1110&amp;A1110, RBWR!A:A&amp;RBWR!C:C, RBWR!B:B), "N/A")</f>
        <v>N/A</v>
      </c>
      <c r="L1110" cm="1">
        <f t="array" ref="L1110">IFERROR(_xlfn.XLOOKUP(C1110&amp;A1110, RYOE!A:A&amp;RYOE!F:F, RYOE!C:C), "N/A")</f>
        <v>-64</v>
      </c>
      <c r="M1110" cm="1">
        <f t="array" ref="M1110">IFERROR(_xlfn.XLOOKUP(C1110&amp;A1110, RYOE!A:A&amp;RYOE!F:F, RYOE!D:D), "N/A")</f>
        <v>-0.68</v>
      </c>
      <c r="N1110" cm="1">
        <f t="array" ref="N1110">IFERROR(_xlfn.XLOOKUP(C1110&amp;A1110, RYOE!A:A&amp;RYOE!F:F, RYOE!E:E), "N/A")</f>
        <v>27.7</v>
      </c>
    </row>
    <row r="1111" spans="1:14" ht="15" customHeight="1" x14ac:dyDescent="0.45">
      <c r="A1111" s="8">
        <v>2019</v>
      </c>
      <c r="B1111" s="6" t="s">
        <v>468</v>
      </c>
      <c r="C1111" s="2" t="str">
        <f t="shared" si="34"/>
        <v>Jordan Howard</v>
      </c>
      <c r="D1111" s="2" t="str">
        <f t="shared" si="35"/>
        <v>PHI</v>
      </c>
      <c r="E1111" s="2">
        <v>119</v>
      </c>
      <c r="F1111" s="2">
        <v>525</v>
      </c>
      <c r="G1111" s="2">
        <v>4.4000000000000004</v>
      </c>
      <c r="H1111" s="2">
        <v>6</v>
      </c>
      <c r="I1111">
        <v>0</v>
      </c>
      <c r="J1111">
        <v>10</v>
      </c>
      <c r="K1111" t="str" cm="1">
        <f t="array" ref="K1111">IFERROR(_xlfn.XLOOKUP(D1111&amp;A1111, RBWR!A:A&amp;RBWR!C:C, RBWR!B:B), "N/A")</f>
        <v>N/A</v>
      </c>
      <c r="L1111" cm="1">
        <f t="array" ref="L1111">IFERROR(_xlfn.XLOOKUP(C1111&amp;A1111, RYOE!A:A&amp;RYOE!F:F, RYOE!C:C), "N/A")</f>
        <v>-10</v>
      </c>
      <c r="M1111" cm="1">
        <f t="array" ref="M1111">IFERROR(_xlfn.XLOOKUP(C1111&amp;A1111, RYOE!A:A&amp;RYOE!F:F, RYOE!D:D), "N/A")</f>
        <v>-0.08</v>
      </c>
      <c r="N1111" cm="1">
        <f t="array" ref="N1111">IFERROR(_xlfn.XLOOKUP(C1111&amp;A1111, RYOE!A:A&amp;RYOE!F:F, RYOE!E:E), "N/A")</f>
        <v>41.2</v>
      </c>
    </row>
    <row r="1112" spans="1:14" ht="15" customHeight="1" x14ac:dyDescent="0.45">
      <c r="A1112" s="7">
        <v>2019</v>
      </c>
      <c r="B1112" s="5" t="s">
        <v>639</v>
      </c>
      <c r="C1112" s="1" t="str">
        <f t="shared" si="34"/>
        <v>Peyton Barber</v>
      </c>
      <c r="D1112" s="1" t="str">
        <f t="shared" si="35"/>
        <v>TB</v>
      </c>
      <c r="E1112" s="1">
        <v>154</v>
      </c>
      <c r="F1112" s="1">
        <v>470</v>
      </c>
      <c r="G1112" s="1">
        <v>3.1</v>
      </c>
      <c r="H1112" s="1">
        <v>6</v>
      </c>
      <c r="I1112">
        <v>1</v>
      </c>
      <c r="J1112">
        <v>16</v>
      </c>
      <c r="K1112" t="str" cm="1">
        <f t="array" ref="K1112">IFERROR(_xlfn.XLOOKUP(D1112&amp;A1112, RBWR!A:A&amp;RBWR!C:C, RBWR!B:B), "N/A")</f>
        <v>N/A</v>
      </c>
      <c r="L1112" cm="1">
        <f t="array" ref="L1112">IFERROR(_xlfn.XLOOKUP(C1112&amp;A1112, RYOE!A:A&amp;RYOE!F:F, RYOE!C:C), "N/A")</f>
        <v>-88</v>
      </c>
      <c r="M1112" cm="1">
        <f t="array" ref="M1112">IFERROR(_xlfn.XLOOKUP(C1112&amp;A1112, RYOE!A:A&amp;RYOE!F:F, RYOE!D:D), "N/A")</f>
        <v>-0.57999999999999996</v>
      </c>
      <c r="N1112" cm="1">
        <f t="array" ref="N1112">IFERROR(_xlfn.XLOOKUP(C1112&amp;A1112, RYOE!A:A&amp;RYOE!F:F, RYOE!E:E), "N/A")</f>
        <v>37.1</v>
      </c>
    </row>
    <row r="1113" spans="1:14" ht="15" customHeight="1" x14ac:dyDescent="0.45">
      <c r="A1113" s="8">
        <v>2019</v>
      </c>
      <c r="B1113" s="6" t="s">
        <v>586</v>
      </c>
      <c r="C1113" s="2" t="str">
        <f t="shared" si="34"/>
        <v>Royce Freeman</v>
      </c>
      <c r="D1113" s="2" t="str">
        <f t="shared" si="35"/>
        <v>DEN</v>
      </c>
      <c r="E1113" s="2">
        <v>132</v>
      </c>
      <c r="F1113" s="2">
        <v>496</v>
      </c>
      <c r="G1113" s="2">
        <v>3.8</v>
      </c>
      <c r="H1113" s="2">
        <v>3</v>
      </c>
      <c r="I1113">
        <v>0</v>
      </c>
      <c r="J1113">
        <v>16</v>
      </c>
      <c r="K1113" t="str" cm="1">
        <f t="array" ref="K1113">IFERROR(_xlfn.XLOOKUP(D1113&amp;A1113, RBWR!A:A&amp;RBWR!C:C, RBWR!B:B), "N/A")</f>
        <v>N/A</v>
      </c>
      <c r="L1113" cm="1">
        <f t="array" ref="L1113">IFERROR(_xlfn.XLOOKUP(C1113&amp;A1113, RYOE!A:A&amp;RYOE!F:F, RYOE!C:C), "N/A")</f>
        <v>-125</v>
      </c>
      <c r="M1113" cm="1">
        <f t="array" ref="M1113">IFERROR(_xlfn.XLOOKUP(C1113&amp;A1113, RYOE!A:A&amp;RYOE!F:F, RYOE!D:D), "N/A")</f>
        <v>-0.98</v>
      </c>
      <c r="N1113" cm="1">
        <f t="array" ref="N1113">IFERROR(_xlfn.XLOOKUP(C1113&amp;A1113, RYOE!A:A&amp;RYOE!F:F, RYOE!E:E), "N/A")</f>
        <v>27.3</v>
      </c>
    </row>
    <row r="1114" spans="1:14" ht="15" customHeight="1" x14ac:dyDescent="0.45">
      <c r="A1114" s="7">
        <v>2019</v>
      </c>
      <c r="B1114" s="5" t="s">
        <v>640</v>
      </c>
      <c r="C1114" s="1" t="str">
        <f t="shared" si="34"/>
        <v>LeSean McCoy</v>
      </c>
      <c r="D1114" s="1" t="str">
        <f t="shared" si="35"/>
        <v>KC</v>
      </c>
      <c r="E1114" s="1">
        <v>101</v>
      </c>
      <c r="F1114" s="1">
        <v>465</v>
      </c>
      <c r="G1114" s="1">
        <v>4.5999999999999996</v>
      </c>
      <c r="H1114" s="1">
        <v>4</v>
      </c>
      <c r="I1114">
        <v>2</v>
      </c>
      <c r="J1114">
        <v>13</v>
      </c>
      <c r="K1114" t="str" cm="1">
        <f t="array" ref="K1114">IFERROR(_xlfn.XLOOKUP(D1114&amp;A1114, RBWR!A:A&amp;RBWR!C:C, RBWR!B:B), "N/A")</f>
        <v>N/A</v>
      </c>
      <c r="L1114" cm="1">
        <f t="array" ref="L1114">IFERROR(_xlfn.XLOOKUP(C1114&amp;A1114, RYOE!A:A&amp;RYOE!F:F, RYOE!C:C), "N/A")</f>
        <v>-22</v>
      </c>
      <c r="M1114" cm="1">
        <f t="array" ref="M1114">IFERROR(_xlfn.XLOOKUP(C1114&amp;A1114, RYOE!A:A&amp;RYOE!F:F, RYOE!D:D), "N/A")</f>
        <v>-0.23</v>
      </c>
      <c r="N1114" cm="1">
        <f t="array" ref="N1114">IFERROR(_xlfn.XLOOKUP(C1114&amp;A1114, RYOE!A:A&amp;RYOE!F:F, RYOE!E:E), "N/A")</f>
        <v>28.6</v>
      </c>
    </row>
    <row r="1115" spans="1:14" ht="15" customHeight="1" x14ac:dyDescent="0.45">
      <c r="A1115" s="8">
        <v>2019</v>
      </c>
      <c r="B1115" s="6" t="s">
        <v>641</v>
      </c>
      <c r="C1115" s="2" t="str">
        <f t="shared" si="34"/>
        <v>DeAndre Washington</v>
      </c>
      <c r="D1115" s="2" t="str">
        <f t="shared" si="35"/>
        <v>OAK</v>
      </c>
      <c r="E1115" s="2">
        <v>108</v>
      </c>
      <c r="F1115" s="2">
        <v>387</v>
      </c>
      <c r="G1115" s="2">
        <v>3.6</v>
      </c>
      <c r="H1115" s="2">
        <v>3</v>
      </c>
      <c r="I1115">
        <v>0</v>
      </c>
      <c r="J1115">
        <v>16</v>
      </c>
      <c r="K1115" t="str" cm="1">
        <f t="array" ref="K1115">IFERROR(_xlfn.XLOOKUP(D1115&amp;A1115, RBWR!A:A&amp;RBWR!C:C, RBWR!B:B), "N/A")</f>
        <v>N/A</v>
      </c>
      <c r="L1115" cm="1">
        <f t="array" ref="L1115">IFERROR(_xlfn.XLOOKUP(C1115&amp;A1115, RYOE!A:A&amp;RYOE!F:F, RYOE!C:C), "N/A")</f>
        <v>-105</v>
      </c>
      <c r="M1115" cm="1">
        <f t="array" ref="M1115">IFERROR(_xlfn.XLOOKUP(C1115&amp;A1115, RYOE!A:A&amp;RYOE!F:F, RYOE!D:D), "N/A")</f>
        <v>-0.98</v>
      </c>
      <c r="N1115" cm="1">
        <f t="array" ref="N1115">IFERROR(_xlfn.XLOOKUP(C1115&amp;A1115, RYOE!A:A&amp;RYOE!F:F, RYOE!E:E), "N/A")</f>
        <v>30.6</v>
      </c>
    </row>
    <row r="1116" spans="1:14" ht="15" customHeight="1" x14ac:dyDescent="0.45">
      <c r="A1116" s="7">
        <v>2019</v>
      </c>
      <c r="B1116" s="5" t="s">
        <v>284</v>
      </c>
      <c r="C1116" s="1" t="str">
        <f t="shared" si="34"/>
        <v>Gus Edwards</v>
      </c>
      <c r="D1116" s="1" t="str">
        <f t="shared" si="35"/>
        <v>BAL</v>
      </c>
      <c r="E1116" s="1">
        <v>133</v>
      </c>
      <c r="F1116" s="1">
        <v>711</v>
      </c>
      <c r="G1116" s="1">
        <v>5.3</v>
      </c>
      <c r="H1116" s="1">
        <v>2</v>
      </c>
      <c r="I1116">
        <v>1</v>
      </c>
      <c r="J1116">
        <v>16</v>
      </c>
      <c r="K1116" t="str" cm="1">
        <f t="array" ref="K1116">IFERROR(_xlfn.XLOOKUP(D1116&amp;A1116, RBWR!A:A&amp;RBWR!C:C, RBWR!B:B), "N/A")</f>
        <v>N/A</v>
      </c>
      <c r="L1116" cm="1">
        <f t="array" ref="L1116">IFERROR(_xlfn.XLOOKUP(C1116&amp;A1116, RYOE!A:A&amp;RYOE!F:F, RYOE!C:C), "N/A")</f>
        <v>73</v>
      </c>
      <c r="M1116" cm="1">
        <f t="array" ref="M1116">IFERROR(_xlfn.XLOOKUP(C1116&amp;A1116, RYOE!A:A&amp;RYOE!F:F, RYOE!D:D), "N/A")</f>
        <v>0.56000000000000005</v>
      </c>
      <c r="N1116" cm="1">
        <f t="array" ref="N1116">IFERROR(_xlfn.XLOOKUP(C1116&amp;A1116, RYOE!A:A&amp;RYOE!F:F, RYOE!E:E), "N/A")</f>
        <v>34.4</v>
      </c>
    </row>
    <row r="1117" spans="1:14" ht="15" customHeight="1" x14ac:dyDescent="0.45">
      <c r="A1117" s="8">
        <v>2019</v>
      </c>
      <c r="B1117" s="6" t="s">
        <v>533</v>
      </c>
      <c r="C1117" s="2" t="str">
        <f t="shared" si="34"/>
        <v>Tarik Cohen</v>
      </c>
      <c r="D1117" s="2" t="str">
        <f t="shared" si="35"/>
        <v>CHI</v>
      </c>
      <c r="E1117" s="2">
        <v>64</v>
      </c>
      <c r="F1117" s="2">
        <v>213</v>
      </c>
      <c r="G1117" s="2">
        <v>3.3</v>
      </c>
      <c r="H1117" s="2">
        <v>0</v>
      </c>
      <c r="I1117">
        <v>0</v>
      </c>
      <c r="J1117">
        <v>16</v>
      </c>
      <c r="K1117" t="str" cm="1">
        <f t="array" ref="K1117">IFERROR(_xlfn.XLOOKUP(D1117&amp;A1117, RBWR!A:A&amp;RBWR!C:C, RBWR!B:B), "N/A")</f>
        <v>N/A</v>
      </c>
      <c r="L1117" t="str" cm="1">
        <f t="array" ref="L1117">IFERROR(_xlfn.XLOOKUP(C1117&amp;A1117, RYOE!A:A&amp;RYOE!F:F, RYOE!C:C), "N/A")</f>
        <v>N/A</v>
      </c>
      <c r="M1117" t="str" cm="1">
        <f t="array" ref="M1117">IFERROR(_xlfn.XLOOKUP(C1117&amp;A1117, RYOE!A:A&amp;RYOE!F:F, RYOE!D:D), "N/A")</f>
        <v>N/A</v>
      </c>
      <c r="N1117" t="str" cm="1">
        <f t="array" ref="N1117">IFERROR(_xlfn.XLOOKUP(C1117&amp;A1117, RYOE!A:A&amp;RYOE!F:F, RYOE!E:E), "N/A")</f>
        <v>N/A</v>
      </c>
    </row>
    <row r="1118" spans="1:14" ht="15" customHeight="1" x14ac:dyDescent="0.45">
      <c r="A1118" s="7">
        <v>2019</v>
      </c>
      <c r="B1118" s="5" t="s">
        <v>642</v>
      </c>
      <c r="C1118" s="1" t="str">
        <f t="shared" si="34"/>
        <v>Matt Breida</v>
      </c>
      <c r="D1118" s="1" t="str">
        <f t="shared" si="35"/>
        <v>SF</v>
      </c>
      <c r="E1118" s="1">
        <v>123</v>
      </c>
      <c r="F1118" s="1">
        <v>623</v>
      </c>
      <c r="G1118" s="1">
        <v>5.0999999999999996</v>
      </c>
      <c r="H1118" s="1">
        <v>1</v>
      </c>
      <c r="I1118">
        <v>1</v>
      </c>
      <c r="J1118">
        <v>13</v>
      </c>
      <c r="K1118" t="str" cm="1">
        <f t="array" ref="K1118">IFERROR(_xlfn.XLOOKUP(D1118&amp;A1118, RBWR!A:A&amp;RBWR!C:C, RBWR!B:B), "N/A")</f>
        <v>N/A</v>
      </c>
      <c r="L1118" cm="1">
        <f t="array" ref="L1118">IFERROR(_xlfn.XLOOKUP(C1118&amp;A1118, RYOE!A:A&amp;RYOE!F:F, RYOE!C:C), "N/A")</f>
        <v>0</v>
      </c>
      <c r="M1118" cm="1">
        <f t="array" ref="M1118">IFERROR(_xlfn.XLOOKUP(C1118&amp;A1118, RYOE!A:A&amp;RYOE!F:F, RYOE!D:D), "N/A")</f>
        <v>0</v>
      </c>
      <c r="N1118" cm="1">
        <f t="array" ref="N1118">IFERROR(_xlfn.XLOOKUP(C1118&amp;A1118, RYOE!A:A&amp;RYOE!F:F, RYOE!E:E), "N/A")</f>
        <v>29.8</v>
      </c>
    </row>
    <row r="1119" spans="1:14" ht="15" customHeight="1" x14ac:dyDescent="0.45">
      <c r="A1119" s="8">
        <v>2019</v>
      </c>
      <c r="B1119" s="6" t="s">
        <v>643</v>
      </c>
      <c r="C1119" s="2" t="str">
        <f t="shared" si="34"/>
        <v>Frank Gore</v>
      </c>
      <c r="D1119" s="2" t="str">
        <f t="shared" si="35"/>
        <v>BUF</v>
      </c>
      <c r="E1119" s="2">
        <v>166</v>
      </c>
      <c r="F1119" s="2">
        <v>599</v>
      </c>
      <c r="G1119" s="2">
        <v>3.6</v>
      </c>
      <c r="H1119" s="2">
        <v>2</v>
      </c>
      <c r="I1119">
        <v>0</v>
      </c>
      <c r="J1119">
        <v>16</v>
      </c>
      <c r="K1119" t="str" cm="1">
        <f t="array" ref="K1119">IFERROR(_xlfn.XLOOKUP(D1119&amp;A1119, RBWR!A:A&amp;RBWR!C:C, RBWR!B:B), "N/A")</f>
        <v>N/A</v>
      </c>
      <c r="L1119" cm="1">
        <f t="array" ref="L1119">IFERROR(_xlfn.XLOOKUP(C1119&amp;A1119, RYOE!A:A&amp;RYOE!F:F, RYOE!C:C), "N/A")</f>
        <v>-65</v>
      </c>
      <c r="M1119" cm="1">
        <f t="array" ref="M1119">IFERROR(_xlfn.XLOOKUP(C1119&amp;A1119, RYOE!A:A&amp;RYOE!F:F, RYOE!D:D), "N/A")</f>
        <v>-0.4</v>
      </c>
      <c r="N1119" cm="1">
        <f t="array" ref="N1119">IFERROR(_xlfn.XLOOKUP(C1119&amp;A1119, RYOE!A:A&amp;RYOE!F:F, RYOE!E:E), "N/A")</f>
        <v>32.299999999999997</v>
      </c>
    </row>
    <row r="1120" spans="1:14" ht="15" customHeight="1" x14ac:dyDescent="0.45">
      <c r="A1120" s="7">
        <v>2019</v>
      </c>
      <c r="B1120" s="5" t="s">
        <v>575</v>
      </c>
      <c r="C1120" s="1" t="str">
        <f t="shared" si="34"/>
        <v>Kerryon Johnson</v>
      </c>
      <c r="D1120" s="1" t="str">
        <f t="shared" si="35"/>
        <v>DET</v>
      </c>
      <c r="E1120" s="1">
        <v>113</v>
      </c>
      <c r="F1120" s="1">
        <v>403</v>
      </c>
      <c r="G1120" s="1">
        <v>3.6</v>
      </c>
      <c r="H1120" s="1">
        <v>3</v>
      </c>
      <c r="I1120">
        <v>1</v>
      </c>
      <c r="J1120">
        <v>8</v>
      </c>
      <c r="K1120" t="str" cm="1">
        <f t="array" ref="K1120">IFERROR(_xlfn.XLOOKUP(D1120&amp;A1120, RBWR!A:A&amp;RBWR!C:C, RBWR!B:B), "N/A")</f>
        <v>N/A</v>
      </c>
      <c r="L1120" cm="1">
        <f t="array" ref="L1120">IFERROR(_xlfn.XLOOKUP(C1120&amp;A1120, RYOE!A:A&amp;RYOE!F:F, RYOE!C:C), "N/A")</f>
        <v>-56</v>
      </c>
      <c r="M1120" cm="1">
        <f t="array" ref="M1120">IFERROR(_xlfn.XLOOKUP(C1120&amp;A1120, RYOE!A:A&amp;RYOE!F:F, RYOE!D:D), "N/A")</f>
        <v>-0.51</v>
      </c>
      <c r="N1120" cm="1">
        <f t="array" ref="N1120">IFERROR(_xlfn.XLOOKUP(C1120&amp;A1120, RYOE!A:A&amp;RYOE!F:F, RYOE!E:E), "N/A")</f>
        <v>36.4</v>
      </c>
    </row>
    <row r="1121" spans="1:14" ht="15" customHeight="1" x14ac:dyDescent="0.45">
      <c r="A1121" s="8">
        <v>2019</v>
      </c>
      <c r="B1121" s="6" t="s">
        <v>285</v>
      </c>
      <c r="C1121" s="2" t="str">
        <f t="shared" si="34"/>
        <v>Tony Pollard</v>
      </c>
      <c r="D1121" s="2" t="str">
        <f t="shared" si="35"/>
        <v>DAL</v>
      </c>
      <c r="E1121" s="2">
        <v>86</v>
      </c>
      <c r="F1121" s="2">
        <v>455</v>
      </c>
      <c r="G1121" s="2">
        <v>5.3</v>
      </c>
      <c r="H1121" s="2">
        <v>2</v>
      </c>
      <c r="I1121">
        <v>1</v>
      </c>
      <c r="J1121">
        <v>15</v>
      </c>
      <c r="K1121" t="str" cm="1">
        <f t="array" ref="K1121">IFERROR(_xlfn.XLOOKUP(D1121&amp;A1121, RBWR!A:A&amp;RBWR!C:C, RBWR!B:B), "N/A")</f>
        <v>N/A</v>
      </c>
      <c r="L1121" cm="1">
        <f t="array" ref="L1121">IFERROR(_xlfn.XLOOKUP(C1121&amp;A1121, RYOE!A:A&amp;RYOE!F:F, RYOE!C:C), "N/A")</f>
        <v>89</v>
      </c>
      <c r="M1121" cm="1">
        <f t="array" ref="M1121">IFERROR(_xlfn.XLOOKUP(C1121&amp;A1121, RYOE!A:A&amp;RYOE!F:F, RYOE!D:D), "N/A")</f>
        <v>1.0900000000000001</v>
      </c>
      <c r="N1121" cm="1">
        <f t="array" ref="N1121">IFERROR(_xlfn.XLOOKUP(C1121&amp;A1121, RYOE!A:A&amp;RYOE!F:F, RYOE!E:E), "N/A")</f>
        <v>52.4</v>
      </c>
    </row>
    <row r="1122" spans="1:14" ht="15" customHeight="1" x14ac:dyDescent="0.45">
      <c r="A1122" s="7">
        <v>2019</v>
      </c>
      <c r="B1122" s="5" t="s">
        <v>566</v>
      </c>
      <c r="C1122" s="1" t="str">
        <f t="shared" si="34"/>
        <v>Rex Burkhead</v>
      </c>
      <c r="D1122" s="1" t="str">
        <f t="shared" si="35"/>
        <v>NE</v>
      </c>
      <c r="E1122" s="1">
        <v>65</v>
      </c>
      <c r="F1122" s="1">
        <v>302</v>
      </c>
      <c r="G1122" s="1">
        <v>4.5999999999999996</v>
      </c>
      <c r="H1122" s="1">
        <v>3</v>
      </c>
      <c r="I1122">
        <v>1</v>
      </c>
      <c r="J1122">
        <v>13</v>
      </c>
      <c r="K1122" t="str" cm="1">
        <f t="array" ref="K1122">IFERROR(_xlfn.XLOOKUP(D1122&amp;A1122, RBWR!A:A&amp;RBWR!C:C, RBWR!B:B), "N/A")</f>
        <v>N/A</v>
      </c>
      <c r="L1122" t="str" cm="1">
        <f t="array" ref="L1122">IFERROR(_xlfn.XLOOKUP(C1122&amp;A1122, RYOE!A:A&amp;RYOE!F:F, RYOE!C:C), "N/A")</f>
        <v>N/A</v>
      </c>
      <c r="M1122" t="str" cm="1">
        <f t="array" ref="M1122">IFERROR(_xlfn.XLOOKUP(C1122&amp;A1122, RYOE!A:A&amp;RYOE!F:F, RYOE!D:D), "N/A")</f>
        <v>N/A</v>
      </c>
      <c r="N1122" t="str" cm="1">
        <f t="array" ref="N1122">IFERROR(_xlfn.XLOOKUP(C1122&amp;A1122, RYOE!A:A&amp;RYOE!F:F, RYOE!E:E), "N/A")</f>
        <v>N/A</v>
      </c>
    </row>
    <row r="1123" spans="1:14" ht="15" customHeight="1" x14ac:dyDescent="0.45">
      <c r="A1123" s="8">
        <v>2019</v>
      </c>
      <c r="B1123" s="6" t="s">
        <v>464</v>
      </c>
      <c r="C1123" s="2" t="str">
        <f t="shared" si="34"/>
        <v>Nyheim Miller-Hines</v>
      </c>
      <c r="D1123" s="2" t="str">
        <f t="shared" si="35"/>
        <v>IND</v>
      </c>
      <c r="E1123" s="2">
        <v>52</v>
      </c>
      <c r="F1123" s="2">
        <v>199</v>
      </c>
      <c r="G1123" s="2">
        <v>3.8</v>
      </c>
      <c r="H1123" s="2">
        <v>2</v>
      </c>
      <c r="I1123">
        <v>1</v>
      </c>
      <c r="J1123">
        <v>16</v>
      </c>
      <c r="K1123" t="str" cm="1">
        <f t="array" ref="K1123">IFERROR(_xlfn.XLOOKUP(D1123&amp;A1123, RBWR!A:A&amp;RBWR!C:C, RBWR!B:B), "N/A")</f>
        <v>N/A</v>
      </c>
      <c r="L1123" t="str" cm="1">
        <f t="array" ref="L1123">IFERROR(_xlfn.XLOOKUP(C1123&amp;A1123, RYOE!A:A&amp;RYOE!F:F, RYOE!C:C), "N/A")</f>
        <v>N/A</v>
      </c>
      <c r="M1123" t="str" cm="1">
        <f t="array" ref="M1123">IFERROR(_xlfn.XLOOKUP(C1123&amp;A1123, RYOE!A:A&amp;RYOE!F:F, RYOE!D:D), "N/A")</f>
        <v>N/A</v>
      </c>
      <c r="N1123" t="str" cm="1">
        <f t="array" ref="N1123">IFERROR(_xlfn.XLOOKUP(C1123&amp;A1123, RYOE!A:A&amp;RYOE!F:F, RYOE!E:E), "N/A")</f>
        <v>N/A</v>
      </c>
    </row>
    <row r="1124" spans="1:14" ht="15" customHeight="1" x14ac:dyDescent="0.45">
      <c r="A1124" s="7">
        <v>2019</v>
      </c>
      <c r="B1124" s="5" t="s">
        <v>317</v>
      </c>
      <c r="C1124" s="1" t="str">
        <f t="shared" si="34"/>
        <v>Boston Scott</v>
      </c>
      <c r="D1124" s="1" t="str">
        <f t="shared" si="35"/>
        <v>PHI</v>
      </c>
      <c r="E1124" s="1">
        <v>61</v>
      </c>
      <c r="F1124" s="1">
        <v>245</v>
      </c>
      <c r="G1124" s="1">
        <v>4</v>
      </c>
      <c r="H1124" s="1">
        <v>5</v>
      </c>
      <c r="I1124">
        <v>1</v>
      </c>
      <c r="J1124">
        <v>11</v>
      </c>
      <c r="K1124" t="str" cm="1">
        <f t="array" ref="K1124">IFERROR(_xlfn.XLOOKUP(D1124&amp;A1124, RBWR!A:A&amp;RBWR!C:C, RBWR!B:B), "N/A")</f>
        <v>N/A</v>
      </c>
      <c r="L1124" t="str" cm="1">
        <f t="array" ref="L1124">IFERROR(_xlfn.XLOOKUP(C1124&amp;A1124, RYOE!A:A&amp;RYOE!F:F, RYOE!C:C), "N/A")</f>
        <v>N/A</v>
      </c>
      <c r="M1124" t="str" cm="1">
        <f t="array" ref="M1124">IFERROR(_xlfn.XLOOKUP(C1124&amp;A1124, RYOE!A:A&amp;RYOE!F:F, RYOE!D:D), "N/A")</f>
        <v>N/A</v>
      </c>
      <c r="N1124" t="str" cm="1">
        <f t="array" ref="N1124">IFERROR(_xlfn.XLOOKUP(C1124&amp;A1124, RYOE!A:A&amp;RYOE!F:F, RYOE!E:E), "N/A")</f>
        <v>N/A</v>
      </c>
    </row>
    <row r="1125" spans="1:14" ht="15" customHeight="1" x14ac:dyDescent="0.45">
      <c r="A1125" s="8">
        <v>2019</v>
      </c>
      <c r="B1125" s="6" t="s">
        <v>457</v>
      </c>
      <c r="C1125" s="2" t="str">
        <f t="shared" si="34"/>
        <v>Chase Edmonds</v>
      </c>
      <c r="D1125" s="2" t="str">
        <f t="shared" si="35"/>
        <v>ARI</v>
      </c>
      <c r="E1125" s="2">
        <v>60</v>
      </c>
      <c r="F1125" s="2">
        <v>303</v>
      </c>
      <c r="G1125" s="2">
        <v>5.0999999999999996</v>
      </c>
      <c r="H1125" s="2">
        <v>4</v>
      </c>
      <c r="I1125">
        <v>0</v>
      </c>
      <c r="J1125">
        <v>13</v>
      </c>
      <c r="K1125" t="str" cm="1">
        <f t="array" ref="K1125">IFERROR(_xlfn.XLOOKUP(D1125&amp;A1125, RBWR!A:A&amp;RBWR!C:C, RBWR!B:B), "N/A")</f>
        <v>N/A</v>
      </c>
      <c r="L1125" t="str" cm="1">
        <f t="array" ref="L1125">IFERROR(_xlfn.XLOOKUP(C1125&amp;A1125, RYOE!A:A&amp;RYOE!F:F, RYOE!C:C), "N/A")</f>
        <v>N/A</v>
      </c>
      <c r="M1125" t="str" cm="1">
        <f t="array" ref="M1125">IFERROR(_xlfn.XLOOKUP(C1125&amp;A1125, RYOE!A:A&amp;RYOE!F:F, RYOE!D:D), "N/A")</f>
        <v>N/A</v>
      </c>
      <c r="N1125" t="str" cm="1">
        <f t="array" ref="N1125">IFERROR(_xlfn.XLOOKUP(C1125&amp;A1125, RYOE!A:A&amp;RYOE!F:F, RYOE!E:E), "N/A")</f>
        <v>N/A</v>
      </c>
    </row>
    <row r="1126" spans="1:14" ht="15" customHeight="1" x14ac:dyDescent="0.45">
      <c r="A1126" s="7">
        <v>2019</v>
      </c>
      <c r="B1126" s="5" t="s">
        <v>390</v>
      </c>
      <c r="C1126" s="1" t="str">
        <f t="shared" si="34"/>
        <v>Rashaad Penny</v>
      </c>
      <c r="D1126" s="1" t="str">
        <f t="shared" si="35"/>
        <v>SEA</v>
      </c>
      <c r="E1126" s="1">
        <v>65</v>
      </c>
      <c r="F1126" s="1">
        <v>370</v>
      </c>
      <c r="G1126" s="1">
        <v>5.7</v>
      </c>
      <c r="H1126" s="1">
        <v>3</v>
      </c>
      <c r="I1126">
        <v>1</v>
      </c>
      <c r="J1126">
        <v>10</v>
      </c>
      <c r="K1126" t="str" cm="1">
        <f t="array" ref="K1126">IFERROR(_xlfn.XLOOKUP(D1126&amp;A1126, RBWR!A:A&amp;RBWR!C:C, RBWR!B:B), "N/A")</f>
        <v>N/A</v>
      </c>
      <c r="L1126" t="str" cm="1">
        <f t="array" ref="L1126">IFERROR(_xlfn.XLOOKUP(C1126&amp;A1126, RYOE!A:A&amp;RYOE!F:F, RYOE!C:C), "N/A")</f>
        <v>N/A</v>
      </c>
      <c r="M1126" t="str" cm="1">
        <f t="array" ref="M1126">IFERROR(_xlfn.XLOOKUP(C1126&amp;A1126, RYOE!A:A&amp;RYOE!F:F, RYOE!D:D), "N/A")</f>
        <v>N/A</v>
      </c>
      <c r="N1126" t="str" cm="1">
        <f t="array" ref="N1126">IFERROR(_xlfn.XLOOKUP(C1126&amp;A1126, RYOE!A:A&amp;RYOE!F:F, RYOE!E:E), "N/A")</f>
        <v>N/A</v>
      </c>
    </row>
    <row r="1127" spans="1:14" ht="15" customHeight="1" x14ac:dyDescent="0.45">
      <c r="A1127" s="8">
        <v>2019</v>
      </c>
      <c r="B1127" s="6" t="s">
        <v>293</v>
      </c>
      <c r="C1127" s="2" t="str">
        <f t="shared" si="34"/>
        <v>Kareem Hunt</v>
      </c>
      <c r="D1127" s="2" t="str">
        <f t="shared" si="35"/>
        <v>CLE</v>
      </c>
      <c r="E1127" s="2">
        <v>43</v>
      </c>
      <c r="F1127" s="2">
        <v>179</v>
      </c>
      <c r="G1127" s="2">
        <v>4.2</v>
      </c>
      <c r="H1127" s="2">
        <v>2</v>
      </c>
      <c r="I1127">
        <v>0</v>
      </c>
      <c r="J1127">
        <v>9</v>
      </c>
      <c r="K1127" t="str" cm="1">
        <f t="array" ref="K1127">IFERROR(_xlfn.XLOOKUP(D1127&amp;A1127, RBWR!A:A&amp;RBWR!C:C, RBWR!B:B), "N/A")</f>
        <v>N/A</v>
      </c>
      <c r="L1127" t="str" cm="1">
        <f t="array" ref="L1127">IFERROR(_xlfn.XLOOKUP(C1127&amp;A1127, RYOE!A:A&amp;RYOE!F:F, RYOE!C:C), "N/A")</f>
        <v>N/A</v>
      </c>
      <c r="M1127" t="str" cm="1">
        <f t="array" ref="M1127">IFERROR(_xlfn.XLOOKUP(C1127&amp;A1127, RYOE!A:A&amp;RYOE!F:F, RYOE!D:D), "N/A")</f>
        <v>N/A</v>
      </c>
      <c r="N1127" t="str" cm="1">
        <f t="array" ref="N1127">IFERROR(_xlfn.XLOOKUP(C1127&amp;A1127, RYOE!A:A&amp;RYOE!F:F, RYOE!E:E), "N/A")</f>
        <v>N/A</v>
      </c>
    </row>
    <row r="1128" spans="1:14" ht="15" customHeight="1" x14ac:dyDescent="0.45">
      <c r="A1128" s="7">
        <v>2019</v>
      </c>
      <c r="B1128" s="5" t="s">
        <v>598</v>
      </c>
      <c r="C1128" s="1" t="str">
        <f t="shared" si="34"/>
        <v>Jaylen Samuels</v>
      </c>
      <c r="D1128" s="1" t="str">
        <f t="shared" si="35"/>
        <v>PIT</v>
      </c>
      <c r="E1128" s="1">
        <v>66</v>
      </c>
      <c r="F1128" s="1">
        <v>175</v>
      </c>
      <c r="G1128" s="1">
        <v>2.7</v>
      </c>
      <c r="H1128" s="1">
        <v>1</v>
      </c>
      <c r="I1128">
        <v>1</v>
      </c>
      <c r="J1128">
        <v>14</v>
      </c>
      <c r="K1128" t="str" cm="1">
        <f t="array" ref="K1128">IFERROR(_xlfn.XLOOKUP(D1128&amp;A1128, RBWR!A:A&amp;RBWR!C:C, RBWR!B:B), "N/A")</f>
        <v>N/A</v>
      </c>
      <c r="L1128" t="str" cm="1">
        <f t="array" ref="L1128">IFERROR(_xlfn.XLOOKUP(C1128&amp;A1128, RYOE!A:A&amp;RYOE!F:F, RYOE!C:C), "N/A")</f>
        <v>N/A</v>
      </c>
      <c r="M1128" t="str" cm="1">
        <f t="array" ref="M1128">IFERROR(_xlfn.XLOOKUP(C1128&amp;A1128, RYOE!A:A&amp;RYOE!F:F, RYOE!D:D), "N/A")</f>
        <v>N/A</v>
      </c>
      <c r="N1128" t="str" cm="1">
        <f t="array" ref="N1128">IFERROR(_xlfn.XLOOKUP(C1128&amp;A1128, RYOE!A:A&amp;RYOE!F:F, RYOE!E:E), "N/A")</f>
        <v>N/A</v>
      </c>
    </row>
    <row r="1129" spans="1:14" ht="15" customHeight="1" x14ac:dyDescent="0.45">
      <c r="A1129" s="8">
        <v>2019</v>
      </c>
      <c r="B1129" s="6" t="s">
        <v>294</v>
      </c>
      <c r="C1129" s="2" t="str">
        <f t="shared" si="34"/>
        <v>Alexander Mattison</v>
      </c>
      <c r="D1129" s="2" t="str">
        <f t="shared" si="35"/>
        <v>MIN</v>
      </c>
      <c r="E1129" s="2">
        <v>100</v>
      </c>
      <c r="F1129" s="2">
        <v>462</v>
      </c>
      <c r="G1129" s="2">
        <v>4.5999999999999996</v>
      </c>
      <c r="H1129" s="2">
        <v>1</v>
      </c>
      <c r="I1129">
        <v>1</v>
      </c>
      <c r="J1129">
        <v>13</v>
      </c>
      <c r="K1129" t="str" cm="1">
        <f t="array" ref="K1129">IFERROR(_xlfn.XLOOKUP(D1129&amp;A1129, RBWR!A:A&amp;RBWR!C:C, RBWR!B:B), "N/A")</f>
        <v>N/A</v>
      </c>
      <c r="L1129" cm="1">
        <f t="array" ref="L1129">IFERROR(_xlfn.XLOOKUP(C1129&amp;A1129, RYOE!A:A&amp;RYOE!F:F, RYOE!C:C), "N/A")</f>
        <v>35</v>
      </c>
      <c r="M1129" cm="1">
        <f t="array" ref="M1129">IFERROR(_xlfn.XLOOKUP(C1129&amp;A1129, RYOE!A:A&amp;RYOE!F:F, RYOE!D:D), "N/A")</f>
        <v>0.36</v>
      </c>
      <c r="N1129" cm="1">
        <f t="array" ref="N1129">IFERROR(_xlfn.XLOOKUP(C1129&amp;A1129, RYOE!A:A&amp;RYOE!F:F, RYOE!E:E), "N/A")</f>
        <v>43.3</v>
      </c>
    </row>
    <row r="1130" spans="1:14" ht="15" customHeight="1" x14ac:dyDescent="0.45">
      <c r="A1130" s="7">
        <v>2019</v>
      </c>
      <c r="B1130" s="5" t="s">
        <v>567</v>
      </c>
      <c r="C1130" s="1" t="str">
        <f t="shared" si="34"/>
        <v>Brian Hill</v>
      </c>
      <c r="D1130" s="1" t="str">
        <f t="shared" si="35"/>
        <v>ATL</v>
      </c>
      <c r="E1130" s="1">
        <v>78</v>
      </c>
      <c r="F1130" s="1">
        <v>323</v>
      </c>
      <c r="G1130" s="1">
        <v>4.0999999999999996</v>
      </c>
      <c r="H1130" s="1">
        <v>2</v>
      </c>
      <c r="I1130">
        <v>0</v>
      </c>
      <c r="J1130">
        <v>12</v>
      </c>
      <c r="K1130" t="str" cm="1">
        <f t="array" ref="K1130">IFERROR(_xlfn.XLOOKUP(D1130&amp;A1130, RBWR!A:A&amp;RBWR!C:C, RBWR!B:B), "N/A")</f>
        <v>N/A</v>
      </c>
      <c r="L1130" t="str" cm="1">
        <f t="array" ref="L1130">IFERROR(_xlfn.XLOOKUP(C1130&amp;A1130, RYOE!A:A&amp;RYOE!F:F, RYOE!C:C), "N/A")</f>
        <v>N/A</v>
      </c>
      <c r="M1130" t="str" cm="1">
        <f t="array" ref="M1130">IFERROR(_xlfn.XLOOKUP(C1130&amp;A1130, RYOE!A:A&amp;RYOE!F:F, RYOE!D:D), "N/A")</f>
        <v>N/A</v>
      </c>
      <c r="N1130" t="str" cm="1">
        <f t="array" ref="N1130">IFERROR(_xlfn.XLOOKUP(C1130&amp;A1130, RYOE!A:A&amp;RYOE!F:F, RYOE!E:E), "N/A")</f>
        <v>N/A</v>
      </c>
    </row>
    <row r="1131" spans="1:14" ht="15" customHeight="1" x14ac:dyDescent="0.45">
      <c r="A1131" s="8">
        <v>2019</v>
      </c>
      <c r="B1131" s="6" t="s">
        <v>403</v>
      </c>
      <c r="C1131" s="2" t="str">
        <f t="shared" si="34"/>
        <v>Malcolm Brown</v>
      </c>
      <c r="D1131" s="2" t="str">
        <f t="shared" si="35"/>
        <v>LAR</v>
      </c>
      <c r="E1131" s="2">
        <v>69</v>
      </c>
      <c r="F1131" s="2">
        <v>255</v>
      </c>
      <c r="G1131" s="2">
        <v>3.7</v>
      </c>
      <c r="H1131" s="2">
        <v>5</v>
      </c>
      <c r="I1131">
        <v>0</v>
      </c>
      <c r="J1131">
        <v>14</v>
      </c>
      <c r="K1131" t="str" cm="1">
        <f t="array" ref="K1131">IFERROR(_xlfn.XLOOKUP(D1131&amp;A1131, RBWR!A:A&amp;RBWR!C:C, RBWR!B:B), "N/A")</f>
        <v>N/A</v>
      </c>
      <c r="L1131" t="str" cm="1">
        <f t="array" ref="L1131">IFERROR(_xlfn.XLOOKUP(C1131&amp;A1131, RYOE!A:A&amp;RYOE!F:F, RYOE!C:C), "N/A")</f>
        <v>N/A</v>
      </c>
      <c r="M1131" t="str" cm="1">
        <f t="array" ref="M1131">IFERROR(_xlfn.XLOOKUP(C1131&amp;A1131, RYOE!A:A&amp;RYOE!F:F, RYOE!D:D), "N/A")</f>
        <v>N/A</v>
      </c>
      <c r="N1131" t="str" cm="1">
        <f t="array" ref="N1131">IFERROR(_xlfn.XLOOKUP(C1131&amp;A1131, RYOE!A:A&amp;RYOE!F:F, RYOE!E:E), "N/A")</f>
        <v>N/A</v>
      </c>
    </row>
    <row r="1132" spans="1:14" ht="15" customHeight="1" x14ac:dyDescent="0.45">
      <c r="A1132" s="7">
        <v>2019</v>
      </c>
      <c r="B1132" s="5" t="s">
        <v>405</v>
      </c>
      <c r="C1132" s="1" t="str">
        <f t="shared" si="34"/>
        <v>Benny Snell Jr.</v>
      </c>
      <c r="D1132" s="1" t="str">
        <f t="shared" si="35"/>
        <v>PIT</v>
      </c>
      <c r="E1132" s="1">
        <v>108</v>
      </c>
      <c r="F1132" s="1">
        <v>426</v>
      </c>
      <c r="G1132" s="1">
        <v>3.9</v>
      </c>
      <c r="H1132" s="1">
        <v>2</v>
      </c>
      <c r="I1132">
        <v>1</v>
      </c>
      <c r="J1132">
        <v>13</v>
      </c>
      <c r="K1132" t="str" cm="1">
        <f t="array" ref="K1132">IFERROR(_xlfn.XLOOKUP(D1132&amp;A1132, RBWR!A:A&amp;RBWR!C:C, RBWR!B:B), "N/A")</f>
        <v>N/A</v>
      </c>
      <c r="L1132" cm="1">
        <f t="array" ref="L1132">IFERROR(_xlfn.XLOOKUP(C1132&amp;A1132, RYOE!A:A&amp;RYOE!F:F, RYOE!C:C), "N/A")</f>
        <v>52</v>
      </c>
      <c r="M1132" cm="1">
        <f t="array" ref="M1132">IFERROR(_xlfn.XLOOKUP(C1132&amp;A1132, RYOE!A:A&amp;RYOE!F:F, RYOE!D:D), "N/A")</f>
        <v>0.48</v>
      </c>
      <c r="N1132" cm="1">
        <f t="array" ref="N1132">IFERROR(_xlfn.XLOOKUP(C1132&amp;A1132, RYOE!A:A&amp;RYOE!F:F, RYOE!E:E), "N/A")</f>
        <v>48.6</v>
      </c>
    </row>
    <row r="1133" spans="1:14" ht="15" customHeight="1" x14ac:dyDescent="0.45">
      <c r="A1133" s="8">
        <v>2019</v>
      </c>
      <c r="B1133" s="6" t="s">
        <v>452</v>
      </c>
      <c r="C1133" s="2" t="str">
        <f t="shared" si="34"/>
        <v>Darrel Williams</v>
      </c>
      <c r="D1133" s="2" t="str">
        <f t="shared" si="35"/>
        <v>KC</v>
      </c>
      <c r="E1133" s="2">
        <v>41</v>
      </c>
      <c r="F1133" s="2">
        <v>141</v>
      </c>
      <c r="G1133" s="2">
        <v>3.4</v>
      </c>
      <c r="H1133" s="2">
        <v>3</v>
      </c>
      <c r="I1133">
        <v>1</v>
      </c>
      <c r="J1133">
        <v>12</v>
      </c>
      <c r="K1133" t="str" cm="1">
        <f t="array" ref="K1133">IFERROR(_xlfn.XLOOKUP(D1133&amp;A1133, RBWR!A:A&amp;RBWR!C:C, RBWR!B:B), "N/A")</f>
        <v>N/A</v>
      </c>
      <c r="L1133" t="str" cm="1">
        <f t="array" ref="L1133">IFERROR(_xlfn.XLOOKUP(C1133&amp;A1133, RYOE!A:A&amp;RYOE!F:F, RYOE!C:C), "N/A")</f>
        <v>N/A</v>
      </c>
      <c r="M1133" t="str" cm="1">
        <f t="array" ref="M1133">IFERROR(_xlfn.XLOOKUP(C1133&amp;A1133, RYOE!A:A&amp;RYOE!F:F, RYOE!D:D), "N/A")</f>
        <v>N/A</v>
      </c>
      <c r="N1133" t="str" cm="1">
        <f t="array" ref="N1133">IFERROR(_xlfn.XLOOKUP(C1133&amp;A1133, RYOE!A:A&amp;RYOE!F:F, RYOE!E:E), "N/A")</f>
        <v>N/A</v>
      </c>
    </row>
    <row r="1134" spans="1:14" ht="15" customHeight="1" x14ac:dyDescent="0.45">
      <c r="A1134" s="7">
        <v>2019</v>
      </c>
      <c r="B1134" s="5" t="s">
        <v>644</v>
      </c>
      <c r="C1134" s="1" t="str">
        <f t="shared" si="34"/>
        <v>Chris Thompson</v>
      </c>
      <c r="D1134" s="1" t="str">
        <f t="shared" si="35"/>
        <v>WAS</v>
      </c>
      <c r="E1134" s="1">
        <v>37</v>
      </c>
      <c r="F1134" s="1">
        <v>138</v>
      </c>
      <c r="G1134" s="1">
        <v>3.7</v>
      </c>
      <c r="H1134" s="1">
        <v>0</v>
      </c>
      <c r="I1134">
        <v>0</v>
      </c>
      <c r="J1134">
        <v>11</v>
      </c>
      <c r="K1134" t="str" cm="1">
        <f t="array" ref="K1134">IFERROR(_xlfn.XLOOKUP(D1134&amp;A1134, RBWR!A:A&amp;RBWR!C:C, RBWR!B:B), "N/A")</f>
        <v>N/A</v>
      </c>
      <c r="L1134" t="str" cm="1">
        <f t="array" ref="L1134">IFERROR(_xlfn.XLOOKUP(C1134&amp;A1134, RYOE!A:A&amp;RYOE!F:F, RYOE!C:C), "N/A")</f>
        <v>N/A</v>
      </c>
      <c r="M1134" t="str" cm="1">
        <f t="array" ref="M1134">IFERROR(_xlfn.XLOOKUP(C1134&amp;A1134, RYOE!A:A&amp;RYOE!F:F, RYOE!D:D), "N/A")</f>
        <v>N/A</v>
      </c>
      <c r="N1134" t="str" cm="1">
        <f t="array" ref="N1134">IFERROR(_xlfn.XLOOKUP(C1134&amp;A1134, RYOE!A:A&amp;RYOE!F:F, RYOE!E:E), "N/A")</f>
        <v>N/A</v>
      </c>
    </row>
    <row r="1135" spans="1:14" ht="15" customHeight="1" x14ac:dyDescent="0.45">
      <c r="A1135" s="8">
        <v>2019</v>
      </c>
      <c r="B1135" s="6" t="s">
        <v>645</v>
      </c>
      <c r="C1135" s="2" t="str">
        <f t="shared" si="34"/>
        <v>Derrius Guice</v>
      </c>
      <c r="D1135" s="2" t="str">
        <f t="shared" si="35"/>
        <v>WAS</v>
      </c>
      <c r="E1135" s="2">
        <v>42</v>
      </c>
      <c r="F1135" s="2">
        <v>245</v>
      </c>
      <c r="G1135" s="2">
        <v>5.8</v>
      </c>
      <c r="H1135" s="2">
        <v>2</v>
      </c>
      <c r="I1135">
        <v>0</v>
      </c>
      <c r="J1135">
        <v>5</v>
      </c>
      <c r="K1135" t="str" cm="1">
        <f t="array" ref="K1135">IFERROR(_xlfn.XLOOKUP(D1135&amp;A1135, RBWR!A:A&amp;RBWR!C:C, RBWR!B:B), "N/A")</f>
        <v>N/A</v>
      </c>
      <c r="L1135" t="str" cm="1">
        <f t="array" ref="L1135">IFERROR(_xlfn.XLOOKUP(C1135&amp;A1135, RYOE!A:A&amp;RYOE!F:F, RYOE!C:C), "N/A")</f>
        <v>N/A</v>
      </c>
      <c r="M1135" t="str" cm="1">
        <f t="array" ref="M1135">IFERROR(_xlfn.XLOOKUP(C1135&amp;A1135, RYOE!A:A&amp;RYOE!F:F, RYOE!D:D), "N/A")</f>
        <v>N/A</v>
      </c>
      <c r="N1135" t="str" cm="1">
        <f t="array" ref="N1135">IFERROR(_xlfn.XLOOKUP(C1135&amp;A1135, RYOE!A:A&amp;RYOE!F:F, RYOE!E:E), "N/A")</f>
        <v>N/A</v>
      </c>
    </row>
    <row r="1136" spans="1:14" ht="15" customHeight="1" x14ac:dyDescent="0.45">
      <c r="A1136" s="7">
        <v>2019</v>
      </c>
      <c r="B1136" s="5" t="s">
        <v>646</v>
      </c>
      <c r="C1136" s="1" t="str">
        <f t="shared" si="34"/>
        <v>J.D. McKissic</v>
      </c>
      <c r="D1136" s="1" t="str">
        <f t="shared" si="35"/>
        <v>DET</v>
      </c>
      <c r="E1136" s="1">
        <v>38</v>
      </c>
      <c r="F1136" s="1">
        <v>205</v>
      </c>
      <c r="G1136" s="1">
        <v>5.4</v>
      </c>
      <c r="H1136" s="1">
        <v>0</v>
      </c>
      <c r="I1136">
        <v>0</v>
      </c>
      <c r="J1136">
        <v>16</v>
      </c>
      <c r="K1136" t="str" cm="1">
        <f t="array" ref="K1136">IFERROR(_xlfn.XLOOKUP(D1136&amp;A1136, RBWR!A:A&amp;RBWR!C:C, RBWR!B:B), "N/A")</f>
        <v>N/A</v>
      </c>
      <c r="L1136" t="str" cm="1">
        <f t="array" ref="L1136">IFERROR(_xlfn.XLOOKUP(C1136&amp;A1136, RYOE!A:A&amp;RYOE!F:F, RYOE!C:C), "N/A")</f>
        <v>N/A</v>
      </c>
      <c r="M1136" t="str" cm="1">
        <f t="array" ref="M1136">IFERROR(_xlfn.XLOOKUP(C1136&amp;A1136, RYOE!A:A&amp;RYOE!F:F, RYOE!D:D), "N/A")</f>
        <v>N/A</v>
      </c>
      <c r="N1136" t="str" cm="1">
        <f t="array" ref="N1136">IFERROR(_xlfn.XLOOKUP(C1136&amp;A1136, RYOE!A:A&amp;RYOE!F:F, RYOE!E:E), "N/A")</f>
        <v>N/A</v>
      </c>
    </row>
    <row r="1137" spans="1:14" ht="15" customHeight="1" x14ac:dyDescent="0.45">
      <c r="A1137" s="8">
        <v>2019</v>
      </c>
      <c r="B1137" s="6" t="s">
        <v>414</v>
      </c>
      <c r="C1137" s="2" t="str">
        <f t="shared" si="34"/>
        <v>Jordan Wilkins</v>
      </c>
      <c r="D1137" s="2" t="str">
        <f t="shared" si="35"/>
        <v>IND</v>
      </c>
      <c r="E1137" s="2">
        <v>51</v>
      </c>
      <c r="F1137" s="2">
        <v>307</v>
      </c>
      <c r="G1137" s="2">
        <v>6</v>
      </c>
      <c r="H1137" s="2">
        <v>2</v>
      </c>
      <c r="I1137">
        <v>0</v>
      </c>
      <c r="J1137">
        <v>14</v>
      </c>
      <c r="K1137" t="str" cm="1">
        <f t="array" ref="K1137">IFERROR(_xlfn.XLOOKUP(D1137&amp;A1137, RBWR!A:A&amp;RBWR!C:C, RBWR!B:B), "N/A")</f>
        <v>N/A</v>
      </c>
      <c r="L1137" t="str" cm="1">
        <f t="array" ref="L1137">IFERROR(_xlfn.XLOOKUP(C1137&amp;A1137, RYOE!A:A&amp;RYOE!F:F, RYOE!C:C), "N/A")</f>
        <v>N/A</v>
      </c>
      <c r="M1137" t="str" cm="1">
        <f t="array" ref="M1137">IFERROR(_xlfn.XLOOKUP(C1137&amp;A1137, RYOE!A:A&amp;RYOE!F:F, RYOE!D:D), "N/A")</f>
        <v>N/A</v>
      </c>
      <c r="N1137" t="str" cm="1">
        <f t="array" ref="N1137">IFERROR(_xlfn.XLOOKUP(C1137&amp;A1137, RYOE!A:A&amp;RYOE!F:F, RYOE!E:E), "N/A")</f>
        <v>N/A</v>
      </c>
    </row>
    <row r="1138" spans="1:14" ht="15" customHeight="1" x14ac:dyDescent="0.45">
      <c r="A1138" s="7">
        <v>2019</v>
      </c>
      <c r="B1138" s="5" t="s">
        <v>594</v>
      </c>
      <c r="C1138" s="1" t="str">
        <f t="shared" si="34"/>
        <v>Mike Boone</v>
      </c>
      <c r="D1138" s="1" t="str">
        <f t="shared" si="35"/>
        <v>MIN</v>
      </c>
      <c r="E1138" s="1">
        <v>49</v>
      </c>
      <c r="F1138" s="1">
        <v>273</v>
      </c>
      <c r="G1138" s="1">
        <v>5.6</v>
      </c>
      <c r="H1138" s="1">
        <v>3</v>
      </c>
      <c r="I1138">
        <v>0</v>
      </c>
      <c r="J1138">
        <v>16</v>
      </c>
      <c r="K1138" t="str" cm="1">
        <f t="array" ref="K1138">IFERROR(_xlfn.XLOOKUP(D1138&amp;A1138, RBWR!A:A&amp;RBWR!C:C, RBWR!B:B), "N/A")</f>
        <v>N/A</v>
      </c>
      <c r="L1138" t="str" cm="1">
        <f t="array" ref="L1138">IFERROR(_xlfn.XLOOKUP(C1138&amp;A1138, RYOE!A:A&amp;RYOE!F:F, RYOE!C:C), "N/A")</f>
        <v>N/A</v>
      </c>
      <c r="M1138" t="str" cm="1">
        <f t="array" ref="M1138">IFERROR(_xlfn.XLOOKUP(C1138&amp;A1138, RYOE!A:A&amp;RYOE!F:F, RYOE!D:D), "N/A")</f>
        <v>N/A</v>
      </c>
      <c r="N1138" t="str" cm="1">
        <f t="array" ref="N1138">IFERROR(_xlfn.XLOOKUP(C1138&amp;A1138, RYOE!A:A&amp;RYOE!F:F, RYOE!E:E), "N/A")</f>
        <v>N/A</v>
      </c>
    </row>
    <row r="1139" spans="1:14" ht="15" customHeight="1" x14ac:dyDescent="0.45">
      <c r="A1139" s="8">
        <v>2019</v>
      </c>
      <c r="B1139" s="6" t="s">
        <v>647</v>
      </c>
      <c r="C1139" s="2" t="str">
        <f t="shared" si="34"/>
        <v>Jalen Richard</v>
      </c>
      <c r="D1139" s="2" t="str">
        <f t="shared" si="35"/>
        <v>OAK</v>
      </c>
      <c r="E1139" s="2">
        <v>39</v>
      </c>
      <c r="F1139" s="2">
        <v>145</v>
      </c>
      <c r="G1139" s="2">
        <v>3.7</v>
      </c>
      <c r="H1139" s="2">
        <v>0</v>
      </c>
      <c r="I1139">
        <v>0</v>
      </c>
      <c r="J1139">
        <v>16</v>
      </c>
      <c r="K1139" t="str" cm="1">
        <f t="array" ref="K1139">IFERROR(_xlfn.XLOOKUP(D1139&amp;A1139, RBWR!A:A&amp;RBWR!C:C, RBWR!B:B), "N/A")</f>
        <v>N/A</v>
      </c>
      <c r="L1139" t="str" cm="1">
        <f t="array" ref="L1139">IFERROR(_xlfn.XLOOKUP(C1139&amp;A1139, RYOE!A:A&amp;RYOE!F:F, RYOE!C:C), "N/A")</f>
        <v>N/A</v>
      </c>
      <c r="M1139" t="str" cm="1">
        <f t="array" ref="M1139">IFERROR(_xlfn.XLOOKUP(C1139&amp;A1139, RYOE!A:A&amp;RYOE!F:F, RYOE!D:D), "N/A")</f>
        <v>N/A</v>
      </c>
      <c r="N1139" t="str" cm="1">
        <f t="array" ref="N1139">IFERROR(_xlfn.XLOOKUP(C1139&amp;A1139, RYOE!A:A&amp;RYOE!F:F, RYOE!E:E), "N/A")</f>
        <v>N/A</v>
      </c>
    </row>
    <row r="1140" spans="1:14" ht="15" customHeight="1" x14ac:dyDescent="0.45">
      <c r="A1140" s="7">
        <v>2019</v>
      </c>
      <c r="B1140" s="5" t="s">
        <v>518</v>
      </c>
      <c r="C1140" s="1" t="str">
        <f t="shared" si="34"/>
        <v>Patrick Laird</v>
      </c>
      <c r="D1140" s="1" t="str">
        <f t="shared" si="35"/>
        <v>MIA</v>
      </c>
      <c r="E1140" s="1">
        <v>62</v>
      </c>
      <c r="F1140" s="1">
        <v>168</v>
      </c>
      <c r="G1140" s="1">
        <v>2.7</v>
      </c>
      <c r="H1140" s="1">
        <v>1</v>
      </c>
      <c r="I1140">
        <v>0</v>
      </c>
      <c r="J1140">
        <v>15</v>
      </c>
      <c r="K1140" t="str" cm="1">
        <f t="array" ref="K1140">IFERROR(_xlfn.XLOOKUP(D1140&amp;A1140, RBWR!A:A&amp;RBWR!C:C, RBWR!B:B), "N/A")</f>
        <v>N/A</v>
      </c>
      <c r="L1140" t="str" cm="1">
        <f t="array" ref="L1140">IFERROR(_xlfn.XLOOKUP(C1140&amp;A1140, RYOE!A:A&amp;RYOE!F:F, RYOE!C:C), "N/A")</f>
        <v>N/A</v>
      </c>
      <c r="M1140" t="str" cm="1">
        <f t="array" ref="M1140">IFERROR(_xlfn.XLOOKUP(C1140&amp;A1140, RYOE!A:A&amp;RYOE!F:F, RYOE!D:D), "N/A")</f>
        <v>N/A</v>
      </c>
      <c r="N1140" t="str" cm="1">
        <f t="array" ref="N1140">IFERROR(_xlfn.XLOOKUP(C1140&amp;A1140, RYOE!A:A&amp;RYOE!F:F, RYOE!E:E), "N/A")</f>
        <v>N/A</v>
      </c>
    </row>
    <row r="1141" spans="1:14" ht="15" customHeight="1" x14ac:dyDescent="0.45">
      <c r="A1141" s="8">
        <v>2019</v>
      </c>
      <c r="B1141" s="6" t="s">
        <v>476</v>
      </c>
      <c r="C1141" s="2" t="str">
        <f t="shared" si="34"/>
        <v>Jeff Wilson Jr.</v>
      </c>
      <c r="D1141" s="2" t="str">
        <f t="shared" si="35"/>
        <v>SF</v>
      </c>
      <c r="E1141" s="2">
        <v>27</v>
      </c>
      <c r="F1141" s="2">
        <v>105</v>
      </c>
      <c r="G1141" s="2">
        <v>3.9</v>
      </c>
      <c r="H1141" s="2">
        <v>4</v>
      </c>
      <c r="I1141">
        <v>0</v>
      </c>
      <c r="J1141">
        <v>11</v>
      </c>
      <c r="K1141" t="str" cm="1">
        <f t="array" ref="K1141">IFERROR(_xlfn.XLOOKUP(D1141&amp;A1141, RBWR!A:A&amp;RBWR!C:C, RBWR!B:B), "N/A")</f>
        <v>N/A</v>
      </c>
      <c r="L1141" t="str" cm="1">
        <f t="array" ref="L1141">IFERROR(_xlfn.XLOOKUP(C1141&amp;A1141, RYOE!A:A&amp;RYOE!F:F, RYOE!C:C), "N/A")</f>
        <v>N/A</v>
      </c>
      <c r="M1141" t="str" cm="1">
        <f t="array" ref="M1141">IFERROR(_xlfn.XLOOKUP(C1141&amp;A1141, RYOE!A:A&amp;RYOE!F:F, RYOE!D:D), "N/A")</f>
        <v>N/A</v>
      </c>
      <c r="N1141" t="str" cm="1">
        <f t="array" ref="N1141">IFERROR(_xlfn.XLOOKUP(C1141&amp;A1141, RYOE!A:A&amp;RYOE!F:F, RYOE!E:E), "N/A")</f>
        <v>N/A</v>
      </c>
    </row>
    <row r="1142" spans="1:14" ht="15" customHeight="1" x14ac:dyDescent="0.45">
      <c r="A1142" s="7">
        <v>2019</v>
      </c>
      <c r="B1142" s="5" t="s">
        <v>648</v>
      </c>
      <c r="C1142" s="1" t="str">
        <f t="shared" si="34"/>
        <v>Bo Scarbrough</v>
      </c>
      <c r="D1142" s="1" t="str">
        <f t="shared" si="35"/>
        <v>DET</v>
      </c>
      <c r="E1142" s="1">
        <v>89</v>
      </c>
      <c r="F1142" s="1">
        <v>377</v>
      </c>
      <c r="G1142" s="1">
        <v>4.2</v>
      </c>
      <c r="H1142" s="1">
        <v>1</v>
      </c>
      <c r="I1142">
        <v>1</v>
      </c>
      <c r="J1142">
        <v>6</v>
      </c>
      <c r="K1142" t="str" cm="1">
        <f t="array" ref="K1142">IFERROR(_xlfn.XLOOKUP(D1142&amp;A1142, RBWR!A:A&amp;RBWR!C:C, RBWR!B:B), "N/A")</f>
        <v>N/A</v>
      </c>
      <c r="L1142" cm="1">
        <f t="array" ref="L1142">IFERROR(_xlfn.XLOOKUP(C1142&amp;A1142, RYOE!A:A&amp;RYOE!F:F, RYOE!C:C), "N/A")</f>
        <v>-24</v>
      </c>
      <c r="M1142" cm="1">
        <f t="array" ref="M1142">IFERROR(_xlfn.XLOOKUP(C1142&amp;A1142, RYOE!A:A&amp;RYOE!F:F, RYOE!D:D), "N/A")</f>
        <v>-0.28000000000000003</v>
      </c>
      <c r="N1142" cm="1">
        <f t="array" ref="N1142">IFERROR(_xlfn.XLOOKUP(C1142&amp;A1142, RYOE!A:A&amp;RYOE!F:F, RYOE!E:E), "N/A")</f>
        <v>27.6</v>
      </c>
    </row>
    <row r="1143" spans="1:14" ht="15" customHeight="1" x14ac:dyDescent="0.45">
      <c r="A1143" s="8">
        <v>2019</v>
      </c>
      <c r="B1143" s="6" t="s">
        <v>462</v>
      </c>
      <c r="C1143" s="2" t="str">
        <f t="shared" si="34"/>
        <v>Brandon Bolden</v>
      </c>
      <c r="D1143" s="2" t="str">
        <f t="shared" si="35"/>
        <v>NE</v>
      </c>
      <c r="E1143" s="2">
        <v>15</v>
      </c>
      <c r="F1143" s="2">
        <v>68</v>
      </c>
      <c r="G1143" s="2">
        <v>4.5</v>
      </c>
      <c r="H1143" s="2">
        <v>3</v>
      </c>
      <c r="I1143">
        <v>0</v>
      </c>
      <c r="J1143">
        <v>15</v>
      </c>
      <c r="K1143" t="str" cm="1">
        <f t="array" ref="K1143">IFERROR(_xlfn.XLOOKUP(D1143&amp;A1143, RBWR!A:A&amp;RBWR!C:C, RBWR!B:B), "N/A")</f>
        <v>N/A</v>
      </c>
      <c r="L1143" t="str" cm="1">
        <f t="array" ref="L1143">IFERROR(_xlfn.XLOOKUP(C1143&amp;A1143, RYOE!A:A&amp;RYOE!F:F, RYOE!C:C), "N/A")</f>
        <v>N/A</v>
      </c>
      <c r="M1143" t="str" cm="1">
        <f t="array" ref="M1143">IFERROR(_xlfn.XLOOKUP(C1143&amp;A1143, RYOE!A:A&amp;RYOE!F:F, RYOE!D:D), "N/A")</f>
        <v>N/A</v>
      </c>
      <c r="N1143" t="str" cm="1">
        <f t="array" ref="N1143">IFERROR(_xlfn.XLOOKUP(C1143&amp;A1143, RYOE!A:A&amp;RYOE!F:F, RYOE!E:E), "N/A")</f>
        <v>N/A</v>
      </c>
    </row>
    <row r="1144" spans="1:14" ht="15" customHeight="1" x14ac:dyDescent="0.45">
      <c r="A1144" s="7">
        <v>2019</v>
      </c>
      <c r="B1144" s="5" t="s">
        <v>118</v>
      </c>
      <c r="C1144" s="1" t="str">
        <f t="shared" si="34"/>
        <v>Justice Hill</v>
      </c>
      <c r="D1144" s="1" t="str">
        <f t="shared" si="35"/>
        <v>BAL</v>
      </c>
      <c r="E1144" s="1">
        <v>58</v>
      </c>
      <c r="F1144" s="1">
        <v>225</v>
      </c>
      <c r="G1144" s="1">
        <v>3.9</v>
      </c>
      <c r="H1144" s="1">
        <v>2</v>
      </c>
      <c r="I1144">
        <v>0</v>
      </c>
      <c r="J1144">
        <v>16</v>
      </c>
      <c r="K1144" t="str" cm="1">
        <f t="array" ref="K1144">IFERROR(_xlfn.XLOOKUP(D1144&amp;A1144, RBWR!A:A&amp;RBWR!C:C, RBWR!B:B), "N/A")</f>
        <v>N/A</v>
      </c>
      <c r="L1144" t="str" cm="1">
        <f t="array" ref="L1144">IFERROR(_xlfn.XLOOKUP(C1144&amp;A1144, RYOE!A:A&amp;RYOE!F:F, RYOE!C:C), "N/A")</f>
        <v>N/A</v>
      </c>
      <c r="M1144" t="str" cm="1">
        <f t="array" ref="M1144">IFERROR(_xlfn.XLOOKUP(C1144&amp;A1144, RYOE!A:A&amp;RYOE!F:F, RYOE!D:D), "N/A")</f>
        <v>N/A</v>
      </c>
      <c r="N1144" t="str" cm="1">
        <f t="array" ref="N1144">IFERROR(_xlfn.XLOOKUP(C1144&amp;A1144, RYOE!A:A&amp;RYOE!F:F, RYOE!E:E), "N/A")</f>
        <v>N/A</v>
      </c>
    </row>
    <row r="1145" spans="1:14" ht="15" customHeight="1" x14ac:dyDescent="0.45">
      <c r="A1145" s="8">
        <v>2019</v>
      </c>
      <c r="B1145" s="6" t="s">
        <v>649</v>
      </c>
      <c r="C1145" s="2" t="str">
        <f t="shared" si="34"/>
        <v>Dion Lewis</v>
      </c>
      <c r="D1145" s="2" t="str">
        <f t="shared" si="35"/>
        <v>TEN</v>
      </c>
      <c r="E1145" s="2">
        <v>54</v>
      </c>
      <c r="F1145" s="2">
        <v>210</v>
      </c>
      <c r="G1145" s="2">
        <v>3.9</v>
      </c>
      <c r="H1145" s="2">
        <v>0</v>
      </c>
      <c r="I1145">
        <v>1</v>
      </c>
      <c r="J1145">
        <v>16</v>
      </c>
      <c r="K1145" t="str" cm="1">
        <f t="array" ref="K1145">IFERROR(_xlfn.XLOOKUP(D1145&amp;A1145, RBWR!A:A&amp;RBWR!C:C, RBWR!B:B), "N/A")</f>
        <v>N/A</v>
      </c>
      <c r="L1145" t="str" cm="1">
        <f t="array" ref="L1145">IFERROR(_xlfn.XLOOKUP(C1145&amp;A1145, RYOE!A:A&amp;RYOE!F:F, RYOE!C:C), "N/A")</f>
        <v>N/A</v>
      </c>
      <c r="M1145" t="str" cm="1">
        <f t="array" ref="M1145">IFERROR(_xlfn.XLOOKUP(C1145&amp;A1145, RYOE!A:A&amp;RYOE!F:F, RYOE!D:D), "N/A")</f>
        <v>N/A</v>
      </c>
      <c r="N1145" t="str" cm="1">
        <f t="array" ref="N1145">IFERROR(_xlfn.XLOOKUP(C1145&amp;A1145, RYOE!A:A&amp;RYOE!F:F, RYOE!E:E), "N/A")</f>
        <v>N/A</v>
      </c>
    </row>
    <row r="1146" spans="1:14" ht="15" customHeight="1" x14ac:dyDescent="0.45">
      <c r="A1146" s="7">
        <v>2019</v>
      </c>
      <c r="B1146" s="5" t="s">
        <v>650</v>
      </c>
      <c r="C1146" s="1" t="str">
        <f t="shared" si="34"/>
        <v>Dare Ogunbowale</v>
      </c>
      <c r="D1146" s="1" t="str">
        <f t="shared" si="35"/>
        <v>TB</v>
      </c>
      <c r="E1146" s="1">
        <v>11</v>
      </c>
      <c r="F1146" s="1">
        <v>17</v>
      </c>
      <c r="G1146" s="1">
        <v>1.5</v>
      </c>
      <c r="H1146" s="1">
        <v>2</v>
      </c>
      <c r="I1146">
        <v>1</v>
      </c>
      <c r="J1146">
        <v>16</v>
      </c>
      <c r="K1146" t="str" cm="1">
        <f t="array" ref="K1146">IFERROR(_xlfn.XLOOKUP(D1146&amp;A1146, RBWR!A:A&amp;RBWR!C:C, RBWR!B:B), "N/A")</f>
        <v>N/A</v>
      </c>
      <c r="L1146" t="str" cm="1">
        <f t="array" ref="L1146">IFERROR(_xlfn.XLOOKUP(C1146&amp;A1146, RYOE!A:A&amp;RYOE!F:F, RYOE!C:C), "N/A")</f>
        <v>N/A</v>
      </c>
      <c r="M1146" t="str" cm="1">
        <f t="array" ref="M1146">IFERROR(_xlfn.XLOOKUP(C1146&amp;A1146, RYOE!A:A&amp;RYOE!F:F, RYOE!D:D), "N/A")</f>
        <v>N/A</v>
      </c>
      <c r="N1146" t="str" cm="1">
        <f t="array" ref="N1146">IFERROR(_xlfn.XLOOKUP(C1146&amp;A1146, RYOE!A:A&amp;RYOE!F:F, RYOE!E:E), "N/A")</f>
        <v>N/A</v>
      </c>
    </row>
    <row r="1147" spans="1:14" ht="15" customHeight="1" x14ac:dyDescent="0.45">
      <c r="A1147" s="8">
        <v>2019</v>
      </c>
      <c r="B1147" s="6" t="s">
        <v>562</v>
      </c>
      <c r="C1147" s="2" t="str">
        <f t="shared" si="34"/>
        <v>Giovani Bernard</v>
      </c>
      <c r="D1147" s="2" t="str">
        <f t="shared" si="35"/>
        <v>CIN</v>
      </c>
      <c r="E1147" s="2">
        <v>53</v>
      </c>
      <c r="F1147" s="2">
        <v>170</v>
      </c>
      <c r="G1147" s="2">
        <v>3.2</v>
      </c>
      <c r="H1147" s="2">
        <v>0</v>
      </c>
      <c r="I1147">
        <v>1</v>
      </c>
      <c r="J1147">
        <v>16</v>
      </c>
      <c r="K1147" t="str" cm="1">
        <f t="array" ref="K1147">IFERROR(_xlfn.XLOOKUP(D1147&amp;A1147, RBWR!A:A&amp;RBWR!C:C, RBWR!B:B), "N/A")</f>
        <v>N/A</v>
      </c>
      <c r="L1147" t="str" cm="1">
        <f t="array" ref="L1147">IFERROR(_xlfn.XLOOKUP(C1147&amp;A1147, RYOE!A:A&amp;RYOE!F:F, RYOE!C:C), "N/A")</f>
        <v>N/A</v>
      </c>
      <c r="M1147" t="str" cm="1">
        <f t="array" ref="M1147">IFERROR(_xlfn.XLOOKUP(C1147&amp;A1147, RYOE!A:A&amp;RYOE!F:F, RYOE!D:D), "N/A")</f>
        <v>N/A</v>
      </c>
      <c r="N1147" t="str" cm="1">
        <f t="array" ref="N1147">IFERROR(_xlfn.XLOOKUP(C1147&amp;A1147, RYOE!A:A&amp;RYOE!F:F, RYOE!E:E), "N/A")</f>
        <v>N/A</v>
      </c>
    </row>
    <row r="1148" spans="1:14" ht="15" customHeight="1" x14ac:dyDescent="0.45">
      <c r="A1148" s="7">
        <v>2019</v>
      </c>
      <c r="B1148" s="5" t="s">
        <v>651</v>
      </c>
      <c r="C1148" s="1" t="str">
        <f t="shared" si="34"/>
        <v>Kalen Ballage</v>
      </c>
      <c r="D1148" s="1" t="str">
        <f t="shared" si="35"/>
        <v>MIA</v>
      </c>
      <c r="E1148" s="1">
        <v>74</v>
      </c>
      <c r="F1148" s="1">
        <v>135</v>
      </c>
      <c r="G1148" s="1">
        <v>1.8</v>
      </c>
      <c r="H1148" s="1">
        <v>3</v>
      </c>
      <c r="I1148">
        <v>0</v>
      </c>
      <c r="J1148">
        <v>12</v>
      </c>
      <c r="K1148" t="str" cm="1">
        <f t="array" ref="K1148">IFERROR(_xlfn.XLOOKUP(D1148&amp;A1148, RBWR!A:A&amp;RBWR!C:C, RBWR!B:B), "N/A")</f>
        <v>N/A</v>
      </c>
      <c r="L1148" t="str" cm="1">
        <f t="array" ref="L1148">IFERROR(_xlfn.XLOOKUP(C1148&amp;A1148, RYOE!A:A&amp;RYOE!F:F, RYOE!C:C), "N/A")</f>
        <v>N/A</v>
      </c>
      <c r="M1148" t="str" cm="1">
        <f t="array" ref="M1148">IFERROR(_xlfn.XLOOKUP(C1148&amp;A1148, RYOE!A:A&amp;RYOE!F:F, RYOE!D:D), "N/A")</f>
        <v>N/A</v>
      </c>
      <c r="N1148" t="str" cm="1">
        <f t="array" ref="N1148">IFERROR(_xlfn.XLOOKUP(C1148&amp;A1148, RYOE!A:A&amp;RYOE!F:F, RYOE!E:E), "N/A")</f>
        <v>N/A</v>
      </c>
    </row>
    <row r="1149" spans="1:14" ht="15" customHeight="1" x14ac:dyDescent="0.45">
      <c r="A1149" s="8">
        <v>2019</v>
      </c>
      <c r="B1149" s="6" t="s">
        <v>559</v>
      </c>
      <c r="C1149" s="2" t="str">
        <f t="shared" si="34"/>
        <v>Wayne Gallman Jr.</v>
      </c>
      <c r="D1149" s="2" t="str">
        <f t="shared" si="35"/>
        <v>NYG</v>
      </c>
      <c r="E1149" s="2">
        <v>29</v>
      </c>
      <c r="F1149" s="2">
        <v>110</v>
      </c>
      <c r="G1149" s="2">
        <v>3.8</v>
      </c>
      <c r="H1149" s="2">
        <v>2</v>
      </c>
      <c r="I1149">
        <v>1</v>
      </c>
      <c r="J1149">
        <v>10</v>
      </c>
      <c r="K1149" t="str" cm="1">
        <f t="array" ref="K1149">IFERROR(_xlfn.XLOOKUP(D1149&amp;A1149, RBWR!A:A&amp;RBWR!C:C, RBWR!B:B), "N/A")</f>
        <v>N/A</v>
      </c>
      <c r="L1149" t="str" cm="1">
        <f t="array" ref="L1149">IFERROR(_xlfn.XLOOKUP(C1149&amp;A1149, RYOE!A:A&amp;RYOE!F:F, RYOE!C:C), "N/A")</f>
        <v>N/A</v>
      </c>
      <c r="M1149" t="str" cm="1">
        <f t="array" ref="M1149">IFERROR(_xlfn.XLOOKUP(C1149&amp;A1149, RYOE!A:A&amp;RYOE!F:F, RYOE!D:D), "N/A")</f>
        <v>N/A</v>
      </c>
      <c r="N1149" t="str" cm="1">
        <f t="array" ref="N1149">IFERROR(_xlfn.XLOOKUP(C1149&amp;A1149, RYOE!A:A&amp;RYOE!F:F, RYOE!E:E), "N/A")</f>
        <v>N/A</v>
      </c>
    </row>
    <row r="1150" spans="1:14" ht="15" customHeight="1" x14ac:dyDescent="0.45">
      <c r="A1150" s="7">
        <v>2019</v>
      </c>
      <c r="B1150" s="5" t="s">
        <v>503</v>
      </c>
      <c r="C1150" s="1" t="str">
        <f t="shared" si="34"/>
        <v>Ryquell Armstead</v>
      </c>
      <c r="D1150" s="1" t="str">
        <f t="shared" si="35"/>
        <v>JAC</v>
      </c>
      <c r="E1150" s="1">
        <v>35</v>
      </c>
      <c r="F1150" s="1">
        <v>108</v>
      </c>
      <c r="G1150" s="1">
        <v>3.1</v>
      </c>
      <c r="H1150" s="1">
        <v>0</v>
      </c>
      <c r="I1150">
        <v>0</v>
      </c>
      <c r="J1150">
        <v>16</v>
      </c>
      <c r="K1150" t="str" cm="1">
        <f t="array" ref="K1150">IFERROR(_xlfn.XLOOKUP(D1150&amp;A1150, RBWR!A:A&amp;RBWR!C:C, RBWR!B:B), "N/A")</f>
        <v>N/A</v>
      </c>
      <c r="L1150" t="str" cm="1">
        <f t="array" ref="L1150">IFERROR(_xlfn.XLOOKUP(C1150&amp;A1150, RYOE!A:A&amp;RYOE!F:F, RYOE!C:C), "N/A")</f>
        <v>N/A</v>
      </c>
      <c r="M1150" t="str" cm="1">
        <f t="array" ref="M1150">IFERROR(_xlfn.XLOOKUP(C1150&amp;A1150, RYOE!A:A&amp;RYOE!F:F, RYOE!D:D), "N/A")</f>
        <v>N/A</v>
      </c>
      <c r="N1150" t="str" cm="1">
        <f t="array" ref="N1150">IFERROR(_xlfn.XLOOKUP(C1150&amp;A1150, RYOE!A:A&amp;RYOE!F:F, RYOE!E:E), "N/A")</f>
        <v>N/A</v>
      </c>
    </row>
    <row r="1151" spans="1:14" ht="15" customHeight="1" x14ac:dyDescent="0.45">
      <c r="A1151" s="8">
        <v>2019</v>
      </c>
      <c r="B1151" s="6" t="s">
        <v>652</v>
      </c>
      <c r="C1151" s="2" t="str">
        <f t="shared" si="34"/>
        <v>Ty Johnson</v>
      </c>
      <c r="D1151" s="2" t="str">
        <f t="shared" si="35"/>
        <v>DET</v>
      </c>
      <c r="E1151" s="2">
        <v>63</v>
      </c>
      <c r="F1151" s="2">
        <v>273</v>
      </c>
      <c r="G1151" s="2">
        <v>4.3</v>
      </c>
      <c r="H1151" s="2">
        <v>0</v>
      </c>
      <c r="I1151">
        <v>1</v>
      </c>
      <c r="J1151">
        <v>16</v>
      </c>
      <c r="K1151" t="str" cm="1">
        <f t="array" ref="K1151">IFERROR(_xlfn.XLOOKUP(D1151&amp;A1151, RBWR!A:A&amp;RBWR!C:C, RBWR!B:B), "N/A")</f>
        <v>N/A</v>
      </c>
      <c r="L1151" t="str" cm="1">
        <f t="array" ref="L1151">IFERROR(_xlfn.XLOOKUP(C1151&amp;A1151, RYOE!A:A&amp;RYOE!F:F, RYOE!C:C), "N/A")</f>
        <v>N/A</v>
      </c>
      <c r="M1151" t="str" cm="1">
        <f t="array" ref="M1151">IFERROR(_xlfn.XLOOKUP(C1151&amp;A1151, RYOE!A:A&amp;RYOE!F:F, RYOE!D:D), "N/A")</f>
        <v>N/A</v>
      </c>
      <c r="N1151" t="str" cm="1">
        <f t="array" ref="N1151">IFERROR(_xlfn.XLOOKUP(C1151&amp;A1151, RYOE!A:A&amp;RYOE!F:F, RYOE!E:E), "N/A")</f>
        <v>N/A</v>
      </c>
    </row>
    <row r="1152" spans="1:14" ht="15" customHeight="1" x14ac:dyDescent="0.45">
      <c r="A1152" s="7">
        <v>2019</v>
      </c>
      <c r="B1152" s="5" t="s">
        <v>653</v>
      </c>
      <c r="C1152" s="1" t="str">
        <f t="shared" si="34"/>
        <v>Jonathan Williams</v>
      </c>
      <c r="D1152" s="1" t="str">
        <f t="shared" si="35"/>
        <v>IND</v>
      </c>
      <c r="E1152" s="1">
        <v>49</v>
      </c>
      <c r="F1152" s="1">
        <v>235</v>
      </c>
      <c r="G1152" s="1">
        <v>4.8</v>
      </c>
      <c r="H1152" s="1">
        <v>1</v>
      </c>
      <c r="I1152">
        <v>0</v>
      </c>
      <c r="J1152">
        <v>9</v>
      </c>
      <c r="K1152" t="str" cm="1">
        <f t="array" ref="K1152">IFERROR(_xlfn.XLOOKUP(D1152&amp;A1152, RBWR!A:A&amp;RBWR!C:C, RBWR!B:B), "N/A")</f>
        <v>N/A</v>
      </c>
      <c r="L1152" t="str" cm="1">
        <f t="array" ref="L1152">IFERROR(_xlfn.XLOOKUP(C1152&amp;A1152, RYOE!A:A&amp;RYOE!F:F, RYOE!C:C), "N/A")</f>
        <v>N/A</v>
      </c>
      <c r="M1152" t="str" cm="1">
        <f t="array" ref="M1152">IFERROR(_xlfn.XLOOKUP(C1152&amp;A1152, RYOE!A:A&amp;RYOE!F:F, RYOE!D:D), "N/A")</f>
        <v>N/A</v>
      </c>
      <c r="N1152" t="str" cm="1">
        <f t="array" ref="N1152">IFERROR(_xlfn.XLOOKUP(C1152&amp;A1152, RYOE!A:A&amp;RYOE!F:F, RYOE!E:E), "N/A")</f>
        <v>N/A</v>
      </c>
    </row>
    <row r="1153" spans="1:14" ht="15" customHeight="1" x14ac:dyDescent="0.45">
      <c r="A1153" s="8">
        <v>2019</v>
      </c>
      <c r="B1153" s="6" t="s">
        <v>205</v>
      </c>
      <c r="C1153" s="2" t="str">
        <f t="shared" si="34"/>
        <v>Kyle Juszczyk</v>
      </c>
      <c r="D1153" s="2" t="str">
        <f t="shared" si="35"/>
        <v>SF</v>
      </c>
      <c r="E1153" s="2">
        <v>3</v>
      </c>
      <c r="F1153" s="2">
        <v>7</v>
      </c>
      <c r="G1153" s="2">
        <v>2.2999999999999998</v>
      </c>
      <c r="H1153" s="2">
        <v>0</v>
      </c>
      <c r="I1153">
        <v>0</v>
      </c>
      <c r="J1153">
        <v>12</v>
      </c>
      <c r="K1153" t="str" cm="1">
        <f t="array" ref="K1153">IFERROR(_xlfn.XLOOKUP(D1153&amp;A1153, RBWR!A:A&amp;RBWR!C:C, RBWR!B:B), "N/A")</f>
        <v>N/A</v>
      </c>
      <c r="L1153" t="str" cm="1">
        <f t="array" ref="L1153">IFERROR(_xlfn.XLOOKUP(C1153&amp;A1153, RYOE!A:A&amp;RYOE!F:F, RYOE!C:C), "N/A")</f>
        <v>N/A</v>
      </c>
      <c r="M1153" t="str" cm="1">
        <f t="array" ref="M1153">IFERROR(_xlfn.XLOOKUP(C1153&amp;A1153, RYOE!A:A&amp;RYOE!F:F, RYOE!D:D), "N/A")</f>
        <v>N/A</v>
      </c>
      <c r="N1153" t="str" cm="1">
        <f t="array" ref="N1153">IFERROR(_xlfn.XLOOKUP(C1153&amp;A1153, RYOE!A:A&amp;RYOE!F:F, RYOE!E:E), "N/A")</f>
        <v>N/A</v>
      </c>
    </row>
    <row r="1154" spans="1:14" ht="15" customHeight="1" x14ac:dyDescent="0.45">
      <c r="A1154" s="7">
        <v>2019</v>
      </c>
      <c r="B1154" s="5" t="s">
        <v>497</v>
      </c>
      <c r="C1154" s="1" t="str">
        <f t="shared" ref="C1154:C1217" si="36">TRIM(LEFT(B1154, LEN(B1154) - LEN(TRIM(RIGHT(SUBSTITUTE(TRIM(B1154)," ",REPT(" ",100)),100)))))</f>
        <v>Qadree Ollison</v>
      </c>
      <c r="D1154" s="1" t="str">
        <f t="shared" ref="D1154:D1217" si="37">MID(B1154, FIND("(", B1154) + 1, FIND(")", B1154) - FIND("(", B1154) - 1)</f>
        <v>ATL</v>
      </c>
      <c r="E1154" s="1">
        <v>22</v>
      </c>
      <c r="F1154" s="1">
        <v>50</v>
      </c>
      <c r="G1154" s="1">
        <v>2.2999999999999998</v>
      </c>
      <c r="H1154" s="1">
        <v>4</v>
      </c>
      <c r="I1154">
        <v>0</v>
      </c>
      <c r="J1154">
        <v>8</v>
      </c>
      <c r="K1154" t="str" cm="1">
        <f t="array" ref="K1154">IFERROR(_xlfn.XLOOKUP(D1154&amp;A1154, RBWR!A:A&amp;RBWR!C:C, RBWR!B:B), "N/A")</f>
        <v>N/A</v>
      </c>
      <c r="L1154" t="str" cm="1">
        <f t="array" ref="L1154">IFERROR(_xlfn.XLOOKUP(C1154&amp;A1154, RYOE!A:A&amp;RYOE!F:F, RYOE!C:C), "N/A")</f>
        <v>N/A</v>
      </c>
      <c r="M1154" t="str" cm="1">
        <f t="array" ref="M1154">IFERROR(_xlfn.XLOOKUP(C1154&amp;A1154, RYOE!A:A&amp;RYOE!F:F, RYOE!D:D), "N/A")</f>
        <v>N/A</v>
      </c>
      <c r="N1154" t="str" cm="1">
        <f t="array" ref="N1154">IFERROR(_xlfn.XLOOKUP(C1154&amp;A1154, RYOE!A:A&amp;RYOE!F:F, RYOE!E:E), "N/A")</f>
        <v>N/A</v>
      </c>
    </row>
    <row r="1155" spans="1:14" ht="15" customHeight="1" x14ac:dyDescent="0.45">
      <c r="A1155" s="8">
        <v>2019</v>
      </c>
      <c r="B1155" s="6" t="s">
        <v>654</v>
      </c>
      <c r="C1155" s="2" t="str">
        <f t="shared" si="36"/>
        <v>Mark Walton</v>
      </c>
      <c r="D1155" s="2" t="str">
        <f t="shared" si="37"/>
        <v>MIA</v>
      </c>
      <c r="E1155" s="2">
        <v>53</v>
      </c>
      <c r="F1155" s="2">
        <v>201</v>
      </c>
      <c r="G1155" s="2">
        <v>3.8</v>
      </c>
      <c r="H1155" s="2">
        <v>0</v>
      </c>
      <c r="I1155">
        <v>1</v>
      </c>
      <c r="J1155">
        <v>7</v>
      </c>
      <c r="K1155" t="str" cm="1">
        <f t="array" ref="K1155">IFERROR(_xlfn.XLOOKUP(D1155&amp;A1155, RBWR!A:A&amp;RBWR!C:C, RBWR!B:B), "N/A")</f>
        <v>N/A</v>
      </c>
      <c r="L1155" t="str" cm="1">
        <f t="array" ref="L1155">IFERROR(_xlfn.XLOOKUP(C1155&amp;A1155, RYOE!A:A&amp;RYOE!F:F, RYOE!C:C), "N/A")</f>
        <v>N/A</v>
      </c>
      <c r="M1155" t="str" cm="1">
        <f t="array" ref="M1155">IFERROR(_xlfn.XLOOKUP(C1155&amp;A1155, RYOE!A:A&amp;RYOE!F:F, RYOE!D:D), "N/A")</f>
        <v>N/A</v>
      </c>
      <c r="N1155" t="str" cm="1">
        <f t="array" ref="N1155">IFERROR(_xlfn.XLOOKUP(C1155&amp;A1155, RYOE!A:A&amp;RYOE!F:F, RYOE!E:E), "N/A")</f>
        <v>N/A</v>
      </c>
    </row>
    <row r="1156" spans="1:14" ht="15" customHeight="1" x14ac:dyDescent="0.45">
      <c r="A1156" s="7">
        <v>2019</v>
      </c>
      <c r="B1156" s="5" t="s">
        <v>655</v>
      </c>
      <c r="C1156" s="1" t="str">
        <f t="shared" si="36"/>
        <v>Bilal Powell</v>
      </c>
      <c r="D1156" s="1" t="str">
        <f t="shared" si="37"/>
        <v>NYJ</v>
      </c>
      <c r="E1156" s="1">
        <v>59</v>
      </c>
      <c r="F1156" s="1">
        <v>229</v>
      </c>
      <c r="G1156" s="1">
        <v>3.9</v>
      </c>
      <c r="H1156" s="1">
        <v>0</v>
      </c>
      <c r="I1156">
        <v>0</v>
      </c>
      <c r="J1156">
        <v>14</v>
      </c>
      <c r="K1156" t="str" cm="1">
        <f t="array" ref="K1156">IFERROR(_xlfn.XLOOKUP(D1156&amp;A1156, RBWR!A:A&amp;RBWR!C:C, RBWR!B:B), "N/A")</f>
        <v>N/A</v>
      </c>
      <c r="L1156" t="str" cm="1">
        <f t="array" ref="L1156">IFERROR(_xlfn.XLOOKUP(C1156&amp;A1156, RYOE!A:A&amp;RYOE!F:F, RYOE!C:C), "N/A")</f>
        <v>N/A</v>
      </c>
      <c r="M1156" t="str" cm="1">
        <f t="array" ref="M1156">IFERROR(_xlfn.XLOOKUP(C1156&amp;A1156, RYOE!A:A&amp;RYOE!F:F, RYOE!D:D), "N/A")</f>
        <v>N/A</v>
      </c>
      <c r="N1156" t="str" cm="1">
        <f t="array" ref="N1156">IFERROR(_xlfn.XLOOKUP(C1156&amp;A1156, RYOE!A:A&amp;RYOE!F:F, RYOE!E:E), "N/A")</f>
        <v>N/A</v>
      </c>
    </row>
    <row r="1157" spans="1:14" ht="15" customHeight="1" x14ac:dyDescent="0.45">
      <c r="A1157" s="8">
        <v>2019</v>
      </c>
      <c r="B1157" s="6" t="s">
        <v>656</v>
      </c>
      <c r="C1157" s="2" t="str">
        <f t="shared" si="36"/>
        <v>Dontrell Hilliard</v>
      </c>
      <c r="D1157" s="2" t="str">
        <f t="shared" si="37"/>
        <v>CLE</v>
      </c>
      <c r="E1157" s="2">
        <v>13</v>
      </c>
      <c r="F1157" s="2">
        <v>49</v>
      </c>
      <c r="G1157" s="2">
        <v>3.8</v>
      </c>
      <c r="H1157" s="2">
        <v>2</v>
      </c>
      <c r="I1157">
        <v>0</v>
      </c>
      <c r="J1157">
        <v>14</v>
      </c>
      <c r="K1157" t="str" cm="1">
        <f t="array" ref="K1157">IFERROR(_xlfn.XLOOKUP(D1157&amp;A1157, RBWR!A:A&amp;RBWR!C:C, RBWR!B:B), "N/A")</f>
        <v>N/A</v>
      </c>
      <c r="L1157" t="str" cm="1">
        <f t="array" ref="L1157">IFERROR(_xlfn.XLOOKUP(C1157&amp;A1157, RYOE!A:A&amp;RYOE!F:F, RYOE!C:C), "N/A")</f>
        <v>N/A</v>
      </c>
      <c r="M1157" t="str" cm="1">
        <f t="array" ref="M1157">IFERROR(_xlfn.XLOOKUP(C1157&amp;A1157, RYOE!A:A&amp;RYOE!F:F, RYOE!D:D), "N/A")</f>
        <v>N/A</v>
      </c>
      <c r="N1157" t="str" cm="1">
        <f t="array" ref="N1157">IFERROR(_xlfn.XLOOKUP(C1157&amp;A1157, RYOE!A:A&amp;RYOE!F:F, RYOE!E:E), "N/A")</f>
        <v>N/A</v>
      </c>
    </row>
    <row r="1158" spans="1:14" ht="15" customHeight="1" x14ac:dyDescent="0.45">
      <c r="A1158" s="7">
        <v>2019</v>
      </c>
      <c r="B1158" s="5" t="s">
        <v>578</v>
      </c>
      <c r="C1158" s="1" t="str">
        <f t="shared" si="36"/>
        <v>Ito Smith</v>
      </c>
      <c r="D1158" s="1" t="str">
        <f t="shared" si="37"/>
        <v>ATL</v>
      </c>
      <c r="E1158" s="1">
        <v>22</v>
      </c>
      <c r="F1158" s="1">
        <v>106</v>
      </c>
      <c r="G1158" s="1">
        <v>4.8</v>
      </c>
      <c r="H1158" s="1">
        <v>1</v>
      </c>
      <c r="I1158">
        <v>0</v>
      </c>
      <c r="J1158">
        <v>7</v>
      </c>
      <c r="K1158" t="str" cm="1">
        <f t="array" ref="K1158">IFERROR(_xlfn.XLOOKUP(D1158&amp;A1158, RBWR!A:A&amp;RBWR!C:C, RBWR!B:B), "N/A")</f>
        <v>N/A</v>
      </c>
      <c r="L1158" t="str" cm="1">
        <f t="array" ref="L1158">IFERROR(_xlfn.XLOOKUP(C1158&amp;A1158, RYOE!A:A&amp;RYOE!F:F, RYOE!C:C), "N/A")</f>
        <v>N/A</v>
      </c>
      <c r="M1158" t="str" cm="1">
        <f t="array" ref="M1158">IFERROR(_xlfn.XLOOKUP(C1158&amp;A1158, RYOE!A:A&amp;RYOE!F:F, RYOE!D:D), "N/A")</f>
        <v>N/A</v>
      </c>
      <c r="N1158" t="str" cm="1">
        <f t="array" ref="N1158">IFERROR(_xlfn.XLOOKUP(C1158&amp;A1158, RYOE!A:A&amp;RYOE!F:F, RYOE!E:E), "N/A")</f>
        <v>N/A</v>
      </c>
    </row>
    <row r="1159" spans="1:14" ht="15" customHeight="1" x14ac:dyDescent="0.45">
      <c r="A1159" s="8">
        <v>2019</v>
      </c>
      <c r="B1159" s="6" t="s">
        <v>581</v>
      </c>
      <c r="C1159" s="2" t="str">
        <f t="shared" si="36"/>
        <v>Cordarrelle Patterson</v>
      </c>
      <c r="D1159" s="2" t="str">
        <f t="shared" si="37"/>
        <v>CHI</v>
      </c>
      <c r="E1159" s="2">
        <v>17</v>
      </c>
      <c r="F1159" s="2">
        <v>103</v>
      </c>
      <c r="G1159" s="2">
        <v>6.1</v>
      </c>
      <c r="H1159" s="2">
        <v>0</v>
      </c>
      <c r="I1159">
        <v>0</v>
      </c>
      <c r="J1159">
        <v>16</v>
      </c>
      <c r="K1159" t="str" cm="1">
        <f t="array" ref="K1159">IFERROR(_xlfn.XLOOKUP(D1159&amp;A1159, RBWR!A:A&amp;RBWR!C:C, RBWR!B:B), "N/A")</f>
        <v>N/A</v>
      </c>
      <c r="L1159" t="str" cm="1">
        <f t="array" ref="L1159">IFERROR(_xlfn.XLOOKUP(C1159&amp;A1159, RYOE!A:A&amp;RYOE!F:F, RYOE!C:C), "N/A")</f>
        <v>N/A</v>
      </c>
      <c r="M1159" t="str" cm="1">
        <f t="array" ref="M1159">IFERROR(_xlfn.XLOOKUP(C1159&amp;A1159, RYOE!A:A&amp;RYOE!F:F, RYOE!D:D), "N/A")</f>
        <v>N/A</v>
      </c>
      <c r="N1159" t="str" cm="1">
        <f t="array" ref="N1159">IFERROR(_xlfn.XLOOKUP(C1159&amp;A1159, RYOE!A:A&amp;RYOE!F:F, RYOE!E:E), "N/A")</f>
        <v>N/A</v>
      </c>
    </row>
    <row r="1160" spans="1:14" ht="15" customHeight="1" x14ac:dyDescent="0.45">
      <c r="A1160" s="7">
        <v>2019</v>
      </c>
      <c r="B1160" s="5" t="s">
        <v>416</v>
      </c>
      <c r="C1160" s="1" t="str">
        <f t="shared" si="36"/>
        <v>Myles Gaskin</v>
      </c>
      <c r="D1160" s="1" t="str">
        <f t="shared" si="37"/>
        <v>MIA</v>
      </c>
      <c r="E1160" s="1">
        <v>36</v>
      </c>
      <c r="F1160" s="1">
        <v>133</v>
      </c>
      <c r="G1160" s="1">
        <v>3.7</v>
      </c>
      <c r="H1160" s="1">
        <v>1</v>
      </c>
      <c r="I1160">
        <v>0</v>
      </c>
      <c r="J1160">
        <v>7</v>
      </c>
      <c r="K1160" t="str" cm="1">
        <f t="array" ref="K1160">IFERROR(_xlfn.XLOOKUP(D1160&amp;A1160, RBWR!A:A&amp;RBWR!C:C, RBWR!B:B), "N/A")</f>
        <v>N/A</v>
      </c>
      <c r="L1160" t="str" cm="1">
        <f t="array" ref="L1160">IFERROR(_xlfn.XLOOKUP(C1160&amp;A1160, RYOE!A:A&amp;RYOE!F:F, RYOE!C:C), "N/A")</f>
        <v>N/A</v>
      </c>
      <c r="M1160" t="str" cm="1">
        <f t="array" ref="M1160">IFERROR(_xlfn.XLOOKUP(C1160&amp;A1160, RYOE!A:A&amp;RYOE!F:F, RYOE!D:D), "N/A")</f>
        <v>N/A</v>
      </c>
      <c r="N1160" t="str" cm="1">
        <f t="array" ref="N1160">IFERROR(_xlfn.XLOOKUP(C1160&amp;A1160, RYOE!A:A&amp;RYOE!F:F, RYOE!E:E), "N/A")</f>
        <v>N/A</v>
      </c>
    </row>
    <row r="1161" spans="1:14" ht="15" customHeight="1" x14ac:dyDescent="0.45">
      <c r="A1161" s="8">
        <v>2019</v>
      </c>
      <c r="B1161" s="6" t="s">
        <v>588</v>
      </c>
      <c r="C1161" s="2" t="str">
        <f t="shared" si="36"/>
        <v>Ameer Abdullah</v>
      </c>
      <c r="D1161" s="2" t="str">
        <f t="shared" si="37"/>
        <v>MIN</v>
      </c>
      <c r="E1161" s="2">
        <v>23</v>
      </c>
      <c r="F1161" s="2">
        <v>115</v>
      </c>
      <c r="G1161" s="2">
        <v>5</v>
      </c>
      <c r="H1161" s="2">
        <v>0</v>
      </c>
      <c r="I1161">
        <v>1</v>
      </c>
      <c r="J1161">
        <v>16</v>
      </c>
      <c r="K1161" t="str" cm="1">
        <f t="array" ref="K1161">IFERROR(_xlfn.XLOOKUP(D1161&amp;A1161, RBWR!A:A&amp;RBWR!C:C, RBWR!B:B), "N/A")</f>
        <v>N/A</v>
      </c>
      <c r="L1161" t="str" cm="1">
        <f t="array" ref="L1161">IFERROR(_xlfn.XLOOKUP(C1161&amp;A1161, RYOE!A:A&amp;RYOE!F:F, RYOE!C:C), "N/A")</f>
        <v>N/A</v>
      </c>
      <c r="M1161" t="str" cm="1">
        <f t="array" ref="M1161">IFERROR(_xlfn.XLOOKUP(C1161&amp;A1161, RYOE!A:A&amp;RYOE!F:F, RYOE!D:D), "N/A")</f>
        <v>N/A</v>
      </c>
      <c r="N1161" t="str" cm="1">
        <f t="array" ref="N1161">IFERROR(_xlfn.XLOOKUP(C1161&amp;A1161, RYOE!A:A&amp;RYOE!F:F, RYOE!E:E), "N/A")</f>
        <v>N/A</v>
      </c>
    </row>
    <row r="1162" spans="1:14" ht="15" customHeight="1" x14ac:dyDescent="0.45">
      <c r="A1162" s="7">
        <v>2019</v>
      </c>
      <c r="B1162" s="5" t="s">
        <v>521</v>
      </c>
      <c r="C1162" s="1" t="str">
        <f t="shared" si="36"/>
        <v>Reggie Bonnafon</v>
      </c>
      <c r="D1162" s="1" t="str">
        <f t="shared" si="37"/>
        <v>CAR</v>
      </c>
      <c r="E1162" s="1">
        <v>16</v>
      </c>
      <c r="F1162" s="1">
        <v>116</v>
      </c>
      <c r="G1162" s="1">
        <v>7.3</v>
      </c>
      <c r="H1162" s="1">
        <v>1</v>
      </c>
      <c r="I1162">
        <v>0</v>
      </c>
      <c r="J1162">
        <v>16</v>
      </c>
      <c r="K1162" t="str" cm="1">
        <f t="array" ref="K1162">IFERROR(_xlfn.XLOOKUP(D1162&amp;A1162, RBWR!A:A&amp;RBWR!C:C, RBWR!B:B), "N/A")</f>
        <v>N/A</v>
      </c>
      <c r="L1162" t="str" cm="1">
        <f t="array" ref="L1162">IFERROR(_xlfn.XLOOKUP(C1162&amp;A1162, RYOE!A:A&amp;RYOE!F:F, RYOE!C:C), "N/A")</f>
        <v>N/A</v>
      </c>
      <c r="M1162" t="str" cm="1">
        <f t="array" ref="M1162">IFERROR(_xlfn.XLOOKUP(C1162&amp;A1162, RYOE!A:A&amp;RYOE!F:F, RYOE!D:D), "N/A")</f>
        <v>N/A</v>
      </c>
      <c r="N1162" t="str" cm="1">
        <f t="array" ref="N1162">IFERROR(_xlfn.XLOOKUP(C1162&amp;A1162, RYOE!A:A&amp;RYOE!F:F, RYOE!E:E), "N/A")</f>
        <v>N/A</v>
      </c>
    </row>
    <row r="1163" spans="1:14" ht="15" customHeight="1" x14ac:dyDescent="0.45">
      <c r="A1163" s="8">
        <v>2019</v>
      </c>
      <c r="B1163" s="6" t="s">
        <v>585</v>
      </c>
      <c r="C1163" s="2" t="str">
        <f t="shared" si="36"/>
        <v>Darwin Thompson</v>
      </c>
      <c r="D1163" s="2" t="str">
        <f t="shared" si="37"/>
        <v>KC</v>
      </c>
      <c r="E1163" s="2">
        <v>37</v>
      </c>
      <c r="F1163" s="2">
        <v>128</v>
      </c>
      <c r="G1163" s="2">
        <v>3.5</v>
      </c>
      <c r="H1163" s="2">
        <v>1</v>
      </c>
      <c r="I1163">
        <v>0</v>
      </c>
      <c r="J1163">
        <v>12</v>
      </c>
      <c r="K1163" t="str" cm="1">
        <f t="array" ref="K1163">IFERROR(_xlfn.XLOOKUP(D1163&amp;A1163, RBWR!A:A&amp;RBWR!C:C, RBWR!B:B), "N/A")</f>
        <v>N/A</v>
      </c>
      <c r="L1163" t="str" cm="1">
        <f t="array" ref="L1163">IFERROR(_xlfn.XLOOKUP(C1163&amp;A1163, RYOE!A:A&amp;RYOE!F:F, RYOE!C:C), "N/A")</f>
        <v>N/A</v>
      </c>
      <c r="M1163" t="str" cm="1">
        <f t="array" ref="M1163">IFERROR(_xlfn.XLOOKUP(C1163&amp;A1163, RYOE!A:A&amp;RYOE!F:F, RYOE!D:D), "N/A")</f>
        <v>N/A</v>
      </c>
      <c r="N1163" t="str" cm="1">
        <f t="array" ref="N1163">IFERROR(_xlfn.XLOOKUP(C1163&amp;A1163, RYOE!A:A&amp;RYOE!F:F, RYOE!E:E), "N/A")</f>
        <v>N/A</v>
      </c>
    </row>
    <row r="1164" spans="1:14" ht="15" customHeight="1" x14ac:dyDescent="0.45">
      <c r="A1164" s="7">
        <v>2019</v>
      </c>
      <c r="B1164" s="5" t="s">
        <v>467</v>
      </c>
      <c r="C1164" s="1" t="str">
        <f t="shared" si="36"/>
        <v>Justin Jackson</v>
      </c>
      <c r="D1164" s="1" t="str">
        <f t="shared" si="37"/>
        <v>LAC</v>
      </c>
      <c r="E1164" s="1">
        <v>29</v>
      </c>
      <c r="F1164" s="1">
        <v>200</v>
      </c>
      <c r="G1164" s="1">
        <v>6.9</v>
      </c>
      <c r="H1164" s="1">
        <v>0</v>
      </c>
      <c r="I1164">
        <v>0</v>
      </c>
      <c r="J1164">
        <v>7</v>
      </c>
      <c r="K1164" t="str" cm="1">
        <f t="array" ref="K1164">IFERROR(_xlfn.XLOOKUP(D1164&amp;A1164, RBWR!A:A&amp;RBWR!C:C, RBWR!B:B), "N/A")</f>
        <v>N/A</v>
      </c>
      <c r="L1164" t="str" cm="1">
        <f t="array" ref="L1164">IFERROR(_xlfn.XLOOKUP(C1164&amp;A1164, RYOE!A:A&amp;RYOE!F:F, RYOE!C:C), "N/A")</f>
        <v>N/A</v>
      </c>
      <c r="M1164" t="str" cm="1">
        <f t="array" ref="M1164">IFERROR(_xlfn.XLOOKUP(C1164&amp;A1164, RYOE!A:A&amp;RYOE!F:F, RYOE!D:D), "N/A")</f>
        <v>N/A</v>
      </c>
      <c r="N1164" t="str" cm="1">
        <f t="array" ref="N1164">IFERROR(_xlfn.XLOOKUP(C1164&amp;A1164, RYOE!A:A&amp;RYOE!F:F, RYOE!E:E), "N/A")</f>
        <v>N/A</v>
      </c>
    </row>
    <row r="1165" spans="1:14" ht="15" customHeight="1" x14ac:dyDescent="0.45">
      <c r="A1165" s="8">
        <v>2019</v>
      </c>
      <c r="B1165" s="6" t="s">
        <v>168</v>
      </c>
      <c r="C1165" s="2" t="str">
        <f t="shared" si="36"/>
        <v>C.J. Ham</v>
      </c>
      <c r="D1165" s="2" t="str">
        <f t="shared" si="37"/>
        <v>MIN</v>
      </c>
      <c r="E1165" s="2">
        <v>7</v>
      </c>
      <c r="F1165" s="2">
        <v>17</v>
      </c>
      <c r="G1165" s="2">
        <v>2.4</v>
      </c>
      <c r="H1165" s="2">
        <v>0</v>
      </c>
      <c r="I1165">
        <v>1</v>
      </c>
      <c r="J1165">
        <v>16</v>
      </c>
      <c r="K1165" t="str" cm="1">
        <f t="array" ref="K1165">IFERROR(_xlfn.XLOOKUP(D1165&amp;A1165, RBWR!A:A&amp;RBWR!C:C, RBWR!B:B), "N/A")</f>
        <v>N/A</v>
      </c>
      <c r="L1165" t="str" cm="1">
        <f t="array" ref="L1165">IFERROR(_xlfn.XLOOKUP(C1165&amp;A1165, RYOE!A:A&amp;RYOE!F:F, RYOE!C:C), "N/A")</f>
        <v>N/A</v>
      </c>
      <c r="M1165" t="str" cm="1">
        <f t="array" ref="M1165">IFERROR(_xlfn.XLOOKUP(C1165&amp;A1165, RYOE!A:A&amp;RYOE!F:F, RYOE!D:D), "N/A")</f>
        <v>N/A</v>
      </c>
      <c r="N1165" t="str" cm="1">
        <f t="array" ref="N1165">IFERROR(_xlfn.XLOOKUP(C1165&amp;A1165, RYOE!A:A&amp;RYOE!F:F, RYOE!E:E), "N/A")</f>
        <v>N/A</v>
      </c>
    </row>
    <row r="1166" spans="1:14" ht="15" customHeight="1" x14ac:dyDescent="0.45">
      <c r="A1166" s="7">
        <v>2019</v>
      </c>
      <c r="B1166" s="5" t="s">
        <v>657</v>
      </c>
      <c r="C1166" s="1" t="str">
        <f t="shared" si="36"/>
        <v>Ty Montgomery II</v>
      </c>
      <c r="D1166" s="1" t="str">
        <f t="shared" si="37"/>
        <v>NYJ</v>
      </c>
      <c r="E1166" s="1">
        <v>32</v>
      </c>
      <c r="F1166" s="1">
        <v>103</v>
      </c>
      <c r="G1166" s="1">
        <v>3.2</v>
      </c>
      <c r="H1166" s="1">
        <v>0</v>
      </c>
      <c r="I1166">
        <v>0</v>
      </c>
      <c r="J1166">
        <v>16</v>
      </c>
      <c r="K1166" t="str" cm="1">
        <f t="array" ref="K1166">IFERROR(_xlfn.XLOOKUP(D1166&amp;A1166, RBWR!A:A&amp;RBWR!C:C, RBWR!B:B), "N/A")</f>
        <v>N/A</v>
      </c>
      <c r="L1166" t="str" cm="1">
        <f t="array" ref="L1166">IFERROR(_xlfn.XLOOKUP(C1166&amp;A1166, RYOE!A:A&amp;RYOE!F:F, RYOE!C:C), "N/A")</f>
        <v>N/A</v>
      </c>
      <c r="M1166" t="str" cm="1">
        <f t="array" ref="M1166">IFERROR(_xlfn.XLOOKUP(C1166&amp;A1166, RYOE!A:A&amp;RYOE!F:F, RYOE!D:D), "N/A")</f>
        <v>N/A</v>
      </c>
      <c r="N1166" t="str" cm="1">
        <f t="array" ref="N1166">IFERROR(_xlfn.XLOOKUP(C1166&amp;A1166, RYOE!A:A&amp;RYOE!F:F, RYOE!E:E), "N/A")</f>
        <v>N/A</v>
      </c>
    </row>
    <row r="1167" spans="1:14" ht="15" customHeight="1" x14ac:dyDescent="0.45">
      <c r="A1167" s="8">
        <v>2019</v>
      </c>
      <c r="B1167" s="6" t="s">
        <v>658</v>
      </c>
      <c r="C1167" s="2" t="str">
        <f t="shared" si="36"/>
        <v>C.J. Prosise</v>
      </c>
      <c r="D1167" s="2" t="str">
        <f t="shared" si="37"/>
        <v>SEA</v>
      </c>
      <c r="E1167" s="2">
        <v>23</v>
      </c>
      <c r="F1167" s="2">
        <v>72</v>
      </c>
      <c r="G1167" s="2">
        <v>3.1</v>
      </c>
      <c r="H1167" s="2">
        <v>1</v>
      </c>
      <c r="I1167">
        <v>1</v>
      </c>
      <c r="J1167">
        <v>9</v>
      </c>
      <c r="K1167" t="str" cm="1">
        <f t="array" ref="K1167">IFERROR(_xlfn.XLOOKUP(D1167&amp;A1167, RBWR!A:A&amp;RBWR!C:C, RBWR!B:B), "N/A")</f>
        <v>N/A</v>
      </c>
      <c r="L1167" t="str" cm="1">
        <f t="array" ref="L1167">IFERROR(_xlfn.XLOOKUP(C1167&amp;A1167, RYOE!A:A&amp;RYOE!F:F, RYOE!C:C), "N/A")</f>
        <v>N/A</v>
      </c>
      <c r="M1167" t="str" cm="1">
        <f t="array" ref="M1167">IFERROR(_xlfn.XLOOKUP(C1167&amp;A1167, RYOE!A:A&amp;RYOE!F:F, RYOE!D:D), "N/A")</f>
        <v>N/A</v>
      </c>
      <c r="N1167" t="str" cm="1">
        <f t="array" ref="N1167">IFERROR(_xlfn.XLOOKUP(C1167&amp;A1167, RYOE!A:A&amp;RYOE!F:F, RYOE!E:E), "N/A")</f>
        <v>N/A</v>
      </c>
    </row>
    <row r="1168" spans="1:14" ht="15" customHeight="1" x14ac:dyDescent="0.45">
      <c r="A1168" s="7">
        <v>2019</v>
      </c>
      <c r="B1168" s="5" t="s">
        <v>305</v>
      </c>
      <c r="C1168" s="1" t="str">
        <f t="shared" si="36"/>
        <v>Darrell Henderson Jr.</v>
      </c>
      <c r="D1168" s="1" t="str">
        <f t="shared" si="37"/>
        <v>LAR</v>
      </c>
      <c r="E1168" s="1">
        <v>39</v>
      </c>
      <c r="F1168" s="1">
        <v>147</v>
      </c>
      <c r="G1168" s="1">
        <v>3.8</v>
      </c>
      <c r="H1168" s="1">
        <v>0</v>
      </c>
      <c r="I1168">
        <v>0</v>
      </c>
      <c r="J1168">
        <v>13</v>
      </c>
      <c r="K1168" t="str" cm="1">
        <f t="array" ref="K1168">IFERROR(_xlfn.XLOOKUP(D1168&amp;A1168, RBWR!A:A&amp;RBWR!C:C, RBWR!B:B), "N/A")</f>
        <v>N/A</v>
      </c>
      <c r="L1168" t="str" cm="1">
        <f t="array" ref="L1168">IFERROR(_xlfn.XLOOKUP(C1168&amp;A1168, RYOE!A:A&amp;RYOE!F:F, RYOE!C:C), "N/A")</f>
        <v>N/A</v>
      </c>
      <c r="M1168" t="str" cm="1">
        <f t="array" ref="M1168">IFERROR(_xlfn.XLOOKUP(C1168&amp;A1168, RYOE!A:A&amp;RYOE!F:F, RYOE!D:D), "N/A")</f>
        <v>N/A</v>
      </c>
      <c r="N1168" t="str" cm="1">
        <f t="array" ref="N1168">IFERROR(_xlfn.XLOOKUP(C1168&amp;A1168, RYOE!A:A&amp;RYOE!F:F, RYOE!E:E), "N/A")</f>
        <v>N/A</v>
      </c>
    </row>
    <row r="1169" spans="1:14" ht="15" customHeight="1" x14ac:dyDescent="0.45">
      <c r="A1169" s="8">
        <v>2019</v>
      </c>
      <c r="B1169" s="6" t="s">
        <v>399</v>
      </c>
      <c r="C1169" s="2" t="str">
        <f t="shared" si="36"/>
        <v>Travis Homer</v>
      </c>
      <c r="D1169" s="2" t="str">
        <f t="shared" si="37"/>
        <v>SEA</v>
      </c>
      <c r="E1169" s="2">
        <v>18</v>
      </c>
      <c r="F1169" s="2">
        <v>114</v>
      </c>
      <c r="G1169" s="2">
        <v>6.3</v>
      </c>
      <c r="H1169" s="2">
        <v>0</v>
      </c>
      <c r="I1169">
        <v>0</v>
      </c>
      <c r="J1169">
        <v>16</v>
      </c>
      <c r="K1169" t="str" cm="1">
        <f t="array" ref="K1169">IFERROR(_xlfn.XLOOKUP(D1169&amp;A1169, RBWR!A:A&amp;RBWR!C:C, RBWR!B:B), "N/A")</f>
        <v>N/A</v>
      </c>
      <c r="L1169" t="str" cm="1">
        <f t="array" ref="L1169">IFERROR(_xlfn.XLOOKUP(C1169&amp;A1169, RYOE!A:A&amp;RYOE!F:F, RYOE!C:C), "N/A")</f>
        <v>N/A</v>
      </c>
      <c r="M1169" t="str" cm="1">
        <f t="array" ref="M1169">IFERROR(_xlfn.XLOOKUP(C1169&amp;A1169, RYOE!A:A&amp;RYOE!F:F, RYOE!D:D), "N/A")</f>
        <v>N/A</v>
      </c>
      <c r="N1169" t="str" cm="1">
        <f t="array" ref="N1169">IFERROR(_xlfn.XLOOKUP(C1169&amp;A1169, RYOE!A:A&amp;RYOE!F:F, RYOE!E:E), "N/A")</f>
        <v>N/A</v>
      </c>
    </row>
    <row r="1170" spans="1:14" ht="15" customHeight="1" x14ac:dyDescent="0.45">
      <c r="A1170" s="7">
        <v>2019</v>
      </c>
      <c r="B1170" s="5" t="s">
        <v>591</v>
      </c>
      <c r="C1170" s="1" t="str">
        <f t="shared" si="36"/>
        <v>T.J. Yeldon</v>
      </c>
      <c r="D1170" s="1" t="str">
        <f t="shared" si="37"/>
        <v>BUF</v>
      </c>
      <c r="E1170" s="1">
        <v>17</v>
      </c>
      <c r="F1170" s="1">
        <v>63</v>
      </c>
      <c r="G1170" s="1">
        <v>3.7</v>
      </c>
      <c r="H1170" s="1">
        <v>0</v>
      </c>
      <c r="I1170">
        <v>1</v>
      </c>
      <c r="J1170">
        <v>6</v>
      </c>
      <c r="K1170" t="str" cm="1">
        <f t="array" ref="K1170">IFERROR(_xlfn.XLOOKUP(D1170&amp;A1170, RBWR!A:A&amp;RBWR!C:C, RBWR!B:B), "N/A")</f>
        <v>N/A</v>
      </c>
      <c r="L1170" t="str" cm="1">
        <f t="array" ref="L1170">IFERROR(_xlfn.XLOOKUP(C1170&amp;A1170, RYOE!A:A&amp;RYOE!F:F, RYOE!C:C), "N/A")</f>
        <v>N/A</v>
      </c>
      <c r="M1170" t="str" cm="1">
        <f t="array" ref="M1170">IFERROR(_xlfn.XLOOKUP(C1170&amp;A1170, RYOE!A:A&amp;RYOE!F:F, RYOE!D:D), "N/A")</f>
        <v>N/A</v>
      </c>
      <c r="N1170" t="str" cm="1">
        <f t="array" ref="N1170">IFERROR(_xlfn.XLOOKUP(C1170&amp;A1170, RYOE!A:A&amp;RYOE!F:F, RYOE!E:E), "N/A")</f>
        <v>N/A</v>
      </c>
    </row>
    <row r="1171" spans="1:14" ht="15" customHeight="1" x14ac:dyDescent="0.45">
      <c r="A1171" s="8">
        <v>2019</v>
      </c>
      <c r="B1171" s="6" t="s">
        <v>511</v>
      </c>
      <c r="C1171" s="2" t="str">
        <f t="shared" si="36"/>
        <v>Wendell Smallwood</v>
      </c>
      <c r="D1171" s="2" t="str">
        <f t="shared" si="37"/>
        <v>WAS</v>
      </c>
      <c r="E1171" s="2">
        <v>22</v>
      </c>
      <c r="F1171" s="2">
        <v>81</v>
      </c>
      <c r="G1171" s="2">
        <v>3.7</v>
      </c>
      <c r="H1171" s="2">
        <v>0</v>
      </c>
      <c r="I1171">
        <v>0</v>
      </c>
      <c r="J1171">
        <v>15</v>
      </c>
      <c r="K1171" t="str" cm="1">
        <f t="array" ref="K1171">IFERROR(_xlfn.XLOOKUP(D1171&amp;A1171, RBWR!A:A&amp;RBWR!C:C, RBWR!B:B), "N/A")</f>
        <v>N/A</v>
      </c>
      <c r="L1171" t="str" cm="1">
        <f t="array" ref="L1171">IFERROR(_xlfn.XLOOKUP(C1171&amp;A1171, RYOE!A:A&amp;RYOE!F:F, RYOE!C:C), "N/A")</f>
        <v>N/A</v>
      </c>
      <c r="M1171" t="str" cm="1">
        <f t="array" ref="M1171">IFERROR(_xlfn.XLOOKUP(C1171&amp;A1171, RYOE!A:A&amp;RYOE!F:F, RYOE!D:D), "N/A")</f>
        <v>N/A</v>
      </c>
      <c r="N1171" t="str" cm="1">
        <f t="array" ref="N1171">IFERROR(_xlfn.XLOOKUP(C1171&amp;A1171, RYOE!A:A&amp;RYOE!F:F, RYOE!E:E), "N/A")</f>
        <v>N/A</v>
      </c>
    </row>
    <row r="1172" spans="1:14" ht="15" customHeight="1" x14ac:dyDescent="0.45">
      <c r="A1172" s="7">
        <v>2019</v>
      </c>
      <c r="B1172" s="5" t="s">
        <v>659</v>
      </c>
      <c r="C1172" s="1" t="str">
        <f t="shared" si="36"/>
        <v>Wes Hills</v>
      </c>
      <c r="D1172" s="1" t="str">
        <f t="shared" si="37"/>
        <v>DET</v>
      </c>
      <c r="E1172" s="1">
        <v>10</v>
      </c>
      <c r="F1172" s="1">
        <v>21</v>
      </c>
      <c r="G1172" s="1">
        <v>2.1</v>
      </c>
      <c r="H1172" s="1">
        <v>2</v>
      </c>
      <c r="I1172">
        <v>0</v>
      </c>
      <c r="J1172">
        <v>1</v>
      </c>
      <c r="K1172" t="str" cm="1">
        <f t="array" ref="K1172">IFERROR(_xlfn.XLOOKUP(D1172&amp;A1172, RBWR!A:A&amp;RBWR!C:C, RBWR!B:B), "N/A")</f>
        <v>N/A</v>
      </c>
      <c r="L1172" t="str" cm="1">
        <f t="array" ref="L1172">IFERROR(_xlfn.XLOOKUP(C1172&amp;A1172, RYOE!A:A&amp;RYOE!F:F, RYOE!C:C), "N/A")</f>
        <v>N/A</v>
      </c>
      <c r="M1172" t="str" cm="1">
        <f t="array" ref="M1172">IFERROR(_xlfn.XLOOKUP(C1172&amp;A1172, RYOE!A:A&amp;RYOE!F:F, RYOE!D:D), "N/A")</f>
        <v>N/A</v>
      </c>
      <c r="N1172" t="str" cm="1">
        <f t="array" ref="N1172">IFERROR(_xlfn.XLOOKUP(C1172&amp;A1172, RYOE!A:A&amp;RYOE!F:F, RYOE!E:E), "N/A")</f>
        <v>N/A</v>
      </c>
    </row>
    <row r="1173" spans="1:14" ht="15" customHeight="1" x14ac:dyDescent="0.45">
      <c r="A1173" s="8">
        <v>2019</v>
      </c>
      <c r="B1173" s="6" t="s">
        <v>536</v>
      </c>
      <c r="C1173" s="2" t="str">
        <f t="shared" si="36"/>
        <v>Trey Edmunds</v>
      </c>
      <c r="D1173" s="2" t="str">
        <f t="shared" si="37"/>
        <v>PIT</v>
      </c>
      <c r="E1173" s="2">
        <v>22</v>
      </c>
      <c r="F1173" s="2">
        <v>92</v>
      </c>
      <c r="G1173" s="2">
        <v>4.2</v>
      </c>
      <c r="H1173" s="2">
        <v>0</v>
      </c>
      <c r="I1173">
        <v>0</v>
      </c>
      <c r="J1173">
        <v>12</v>
      </c>
      <c r="K1173" t="str" cm="1">
        <f t="array" ref="K1173">IFERROR(_xlfn.XLOOKUP(D1173&amp;A1173, RBWR!A:A&amp;RBWR!C:C, RBWR!B:B), "N/A")</f>
        <v>N/A</v>
      </c>
      <c r="L1173" t="str" cm="1">
        <f t="array" ref="L1173">IFERROR(_xlfn.XLOOKUP(C1173&amp;A1173, RYOE!A:A&amp;RYOE!F:F, RYOE!C:C), "N/A")</f>
        <v>N/A</v>
      </c>
      <c r="M1173" t="str" cm="1">
        <f t="array" ref="M1173">IFERROR(_xlfn.XLOOKUP(C1173&amp;A1173, RYOE!A:A&amp;RYOE!F:F, RYOE!D:D), "N/A")</f>
        <v>N/A</v>
      </c>
      <c r="N1173" t="str" cm="1">
        <f t="array" ref="N1173">IFERROR(_xlfn.XLOOKUP(C1173&amp;A1173, RYOE!A:A&amp;RYOE!F:F, RYOE!E:E), "N/A")</f>
        <v>N/A</v>
      </c>
    </row>
    <row r="1174" spans="1:14" ht="15" customHeight="1" x14ac:dyDescent="0.45">
      <c r="A1174" s="7">
        <v>2019</v>
      </c>
      <c r="B1174" s="5" t="s">
        <v>660</v>
      </c>
      <c r="C1174" s="1" t="str">
        <f t="shared" si="36"/>
        <v>Kerrith Whyte Jr.</v>
      </c>
      <c r="D1174" s="1" t="str">
        <f t="shared" si="37"/>
        <v>PIT</v>
      </c>
      <c r="E1174" s="1">
        <v>24</v>
      </c>
      <c r="F1174" s="1">
        <v>122</v>
      </c>
      <c r="G1174" s="1">
        <v>5.0999999999999996</v>
      </c>
      <c r="H1174" s="1">
        <v>0</v>
      </c>
      <c r="I1174">
        <v>0</v>
      </c>
      <c r="J1174">
        <v>6</v>
      </c>
      <c r="K1174" t="str" cm="1">
        <f t="array" ref="K1174">IFERROR(_xlfn.XLOOKUP(D1174&amp;A1174, RBWR!A:A&amp;RBWR!C:C, RBWR!B:B), "N/A")</f>
        <v>N/A</v>
      </c>
      <c r="L1174" t="str" cm="1">
        <f t="array" ref="L1174">IFERROR(_xlfn.XLOOKUP(C1174&amp;A1174, RYOE!A:A&amp;RYOE!F:F, RYOE!C:C), "N/A")</f>
        <v>N/A</v>
      </c>
      <c r="M1174" t="str" cm="1">
        <f t="array" ref="M1174">IFERROR(_xlfn.XLOOKUP(C1174&amp;A1174, RYOE!A:A&amp;RYOE!F:F, RYOE!D:D), "N/A")</f>
        <v>N/A</v>
      </c>
      <c r="N1174" t="str" cm="1">
        <f t="array" ref="N1174">IFERROR(_xlfn.XLOOKUP(C1174&amp;A1174, RYOE!A:A&amp;RYOE!F:F, RYOE!E:E), "N/A")</f>
        <v>N/A</v>
      </c>
    </row>
    <row r="1175" spans="1:14" ht="15" customHeight="1" x14ac:dyDescent="0.45">
      <c r="A1175" s="8">
        <v>2019</v>
      </c>
      <c r="B1175" s="6" t="s">
        <v>661</v>
      </c>
      <c r="C1175" s="2" t="str">
        <f t="shared" si="36"/>
        <v>Alec Ingold</v>
      </c>
      <c r="D1175" s="2" t="str">
        <f t="shared" si="37"/>
        <v>OAK</v>
      </c>
      <c r="E1175" s="2">
        <v>10</v>
      </c>
      <c r="F1175" s="2">
        <v>17</v>
      </c>
      <c r="G1175" s="2">
        <v>1.7</v>
      </c>
      <c r="H1175" s="2">
        <v>0</v>
      </c>
      <c r="I1175">
        <v>0</v>
      </c>
      <c r="J1175">
        <v>16</v>
      </c>
      <c r="K1175" t="str" cm="1">
        <f t="array" ref="K1175">IFERROR(_xlfn.XLOOKUP(D1175&amp;A1175, RBWR!A:A&amp;RBWR!C:C, RBWR!B:B), "N/A")</f>
        <v>N/A</v>
      </c>
      <c r="L1175" t="str" cm="1">
        <f t="array" ref="L1175">IFERROR(_xlfn.XLOOKUP(C1175&amp;A1175, RYOE!A:A&amp;RYOE!F:F, RYOE!C:C), "N/A")</f>
        <v>N/A</v>
      </c>
      <c r="M1175" t="str" cm="1">
        <f t="array" ref="M1175">IFERROR(_xlfn.XLOOKUP(C1175&amp;A1175, RYOE!A:A&amp;RYOE!F:F, RYOE!D:D), "N/A")</f>
        <v>N/A</v>
      </c>
      <c r="N1175" t="str" cm="1">
        <f t="array" ref="N1175">IFERROR(_xlfn.XLOOKUP(C1175&amp;A1175, RYOE!A:A&amp;RYOE!F:F, RYOE!E:E), "N/A")</f>
        <v>N/A</v>
      </c>
    </row>
    <row r="1176" spans="1:14" ht="15" customHeight="1" x14ac:dyDescent="0.45">
      <c r="A1176" s="7">
        <v>2019</v>
      </c>
      <c r="B1176" s="5" t="s">
        <v>662</v>
      </c>
      <c r="C1176" s="1" t="str">
        <f t="shared" si="36"/>
        <v>Darren Sproles</v>
      </c>
      <c r="D1176" s="1" t="str">
        <f t="shared" si="37"/>
        <v>PHI</v>
      </c>
      <c r="E1176" s="1">
        <v>17</v>
      </c>
      <c r="F1176" s="1">
        <v>66</v>
      </c>
      <c r="G1176" s="1">
        <v>3.9</v>
      </c>
      <c r="H1176" s="1">
        <v>0</v>
      </c>
      <c r="I1176">
        <v>0</v>
      </c>
      <c r="J1176">
        <v>6</v>
      </c>
      <c r="K1176" t="str" cm="1">
        <f t="array" ref="K1176">IFERROR(_xlfn.XLOOKUP(D1176&amp;A1176, RBWR!A:A&amp;RBWR!C:C, RBWR!B:B), "N/A")</f>
        <v>N/A</v>
      </c>
      <c r="L1176" t="str" cm="1">
        <f t="array" ref="L1176">IFERROR(_xlfn.XLOOKUP(C1176&amp;A1176, RYOE!A:A&amp;RYOE!F:F, RYOE!C:C), "N/A")</f>
        <v>N/A</v>
      </c>
      <c r="M1176" t="str" cm="1">
        <f t="array" ref="M1176">IFERROR(_xlfn.XLOOKUP(C1176&amp;A1176, RYOE!A:A&amp;RYOE!F:F, RYOE!D:D), "N/A")</f>
        <v>N/A</v>
      </c>
      <c r="N1176" t="str" cm="1">
        <f t="array" ref="N1176">IFERROR(_xlfn.XLOOKUP(C1176&amp;A1176, RYOE!A:A&amp;RYOE!F:F, RYOE!E:E), "N/A")</f>
        <v>N/A</v>
      </c>
    </row>
    <row r="1177" spans="1:14" ht="15" customHeight="1" x14ac:dyDescent="0.45">
      <c r="A1177" s="8">
        <v>2019</v>
      </c>
      <c r="B1177" s="6" t="s">
        <v>173</v>
      </c>
      <c r="C1177" s="2" t="str">
        <f t="shared" si="36"/>
        <v>Patrick Ricard</v>
      </c>
      <c r="D1177" s="2" t="str">
        <f t="shared" si="37"/>
        <v>BAL</v>
      </c>
      <c r="E1177" s="2">
        <v>0</v>
      </c>
      <c r="F1177" s="2">
        <v>0</v>
      </c>
      <c r="G1177" s="2">
        <v>0</v>
      </c>
      <c r="H1177" s="2">
        <v>0</v>
      </c>
      <c r="I1177">
        <v>0</v>
      </c>
      <c r="J1177">
        <v>16</v>
      </c>
      <c r="K1177" t="str" cm="1">
        <f t="array" ref="K1177">IFERROR(_xlfn.XLOOKUP(D1177&amp;A1177, RBWR!A:A&amp;RBWR!C:C, RBWR!B:B), "N/A")</f>
        <v>N/A</v>
      </c>
      <c r="L1177" t="str" cm="1">
        <f t="array" ref="L1177">IFERROR(_xlfn.XLOOKUP(C1177&amp;A1177, RYOE!A:A&amp;RYOE!F:F, RYOE!C:C), "N/A")</f>
        <v>N/A</v>
      </c>
      <c r="M1177" t="str" cm="1">
        <f t="array" ref="M1177">IFERROR(_xlfn.XLOOKUP(C1177&amp;A1177, RYOE!A:A&amp;RYOE!F:F, RYOE!D:D), "N/A")</f>
        <v>N/A</v>
      </c>
      <c r="N1177" t="str" cm="1">
        <f t="array" ref="N1177">IFERROR(_xlfn.XLOOKUP(C1177&amp;A1177, RYOE!A:A&amp;RYOE!F:F, RYOE!E:E), "N/A")</f>
        <v>N/A</v>
      </c>
    </row>
    <row r="1178" spans="1:14" ht="15" customHeight="1" x14ac:dyDescent="0.45">
      <c r="A1178" s="7">
        <v>2019</v>
      </c>
      <c r="B1178" s="5" t="s">
        <v>663</v>
      </c>
      <c r="C1178" s="1" t="str">
        <f t="shared" si="36"/>
        <v>Javorius Allen</v>
      </c>
      <c r="D1178" s="1" t="str">
        <f t="shared" si="37"/>
        <v>NYG</v>
      </c>
      <c r="E1178" s="1">
        <v>10</v>
      </c>
      <c r="F1178" s="1">
        <v>36</v>
      </c>
      <c r="G1178" s="1">
        <v>3.6</v>
      </c>
      <c r="H1178" s="1">
        <v>1</v>
      </c>
      <c r="I1178">
        <v>0</v>
      </c>
      <c r="J1178">
        <v>11</v>
      </c>
      <c r="K1178" t="str" cm="1">
        <f t="array" ref="K1178">IFERROR(_xlfn.XLOOKUP(D1178&amp;A1178, RBWR!A:A&amp;RBWR!C:C, RBWR!B:B), "N/A")</f>
        <v>N/A</v>
      </c>
      <c r="L1178" t="str" cm="1">
        <f t="array" ref="L1178">IFERROR(_xlfn.XLOOKUP(C1178&amp;A1178, RYOE!A:A&amp;RYOE!F:F, RYOE!C:C), "N/A")</f>
        <v>N/A</v>
      </c>
      <c r="M1178" t="str" cm="1">
        <f t="array" ref="M1178">IFERROR(_xlfn.XLOOKUP(C1178&amp;A1178, RYOE!A:A&amp;RYOE!F:F, RYOE!D:D), "N/A")</f>
        <v>N/A</v>
      </c>
      <c r="N1178" t="str" cm="1">
        <f t="array" ref="N1178">IFERROR(_xlfn.XLOOKUP(C1178&amp;A1178, RYOE!A:A&amp;RYOE!F:F, RYOE!E:E), "N/A")</f>
        <v>N/A</v>
      </c>
    </row>
    <row r="1179" spans="1:14" ht="15" customHeight="1" x14ac:dyDescent="0.45">
      <c r="A1179" s="8">
        <v>2019</v>
      </c>
      <c r="B1179" s="6" t="s">
        <v>664</v>
      </c>
      <c r="C1179" s="2" t="str">
        <f t="shared" si="36"/>
        <v>Andy Janovich</v>
      </c>
      <c r="D1179" s="2" t="str">
        <f t="shared" si="37"/>
        <v>DEN</v>
      </c>
      <c r="E1179" s="2">
        <v>1</v>
      </c>
      <c r="F1179" s="2">
        <v>1</v>
      </c>
      <c r="G1179" s="2">
        <v>1</v>
      </c>
      <c r="H1179" s="2">
        <v>1</v>
      </c>
      <c r="I1179">
        <v>0</v>
      </c>
      <c r="J1179">
        <v>8</v>
      </c>
      <c r="K1179" t="str" cm="1">
        <f t="array" ref="K1179">IFERROR(_xlfn.XLOOKUP(D1179&amp;A1179, RBWR!A:A&amp;RBWR!C:C, RBWR!B:B), "N/A")</f>
        <v>N/A</v>
      </c>
      <c r="L1179" t="str" cm="1">
        <f t="array" ref="L1179">IFERROR(_xlfn.XLOOKUP(C1179&amp;A1179, RYOE!A:A&amp;RYOE!F:F, RYOE!C:C), "N/A")</f>
        <v>N/A</v>
      </c>
      <c r="M1179" t="str" cm="1">
        <f t="array" ref="M1179">IFERROR(_xlfn.XLOOKUP(C1179&amp;A1179, RYOE!A:A&amp;RYOE!F:F, RYOE!D:D), "N/A")</f>
        <v>N/A</v>
      </c>
      <c r="N1179" t="str" cm="1">
        <f t="array" ref="N1179">IFERROR(_xlfn.XLOOKUP(C1179&amp;A1179, RYOE!A:A&amp;RYOE!F:F, RYOE!E:E), "N/A")</f>
        <v>N/A</v>
      </c>
    </row>
    <row r="1180" spans="1:14" ht="15" customHeight="1" x14ac:dyDescent="0.45">
      <c r="A1180" s="7">
        <v>2019</v>
      </c>
      <c r="B1180" s="5" t="s">
        <v>665</v>
      </c>
      <c r="C1180" s="1" t="str">
        <f t="shared" si="36"/>
        <v>Derek Watt</v>
      </c>
      <c r="D1180" s="1" t="str">
        <f t="shared" si="37"/>
        <v>LAC</v>
      </c>
      <c r="E1180" s="1">
        <v>7</v>
      </c>
      <c r="F1180" s="1">
        <v>10</v>
      </c>
      <c r="G1180" s="1">
        <v>1.4</v>
      </c>
      <c r="H1180" s="1">
        <v>1</v>
      </c>
      <c r="I1180">
        <v>0</v>
      </c>
      <c r="J1180">
        <v>16</v>
      </c>
      <c r="K1180" t="str" cm="1">
        <f t="array" ref="K1180">IFERROR(_xlfn.XLOOKUP(D1180&amp;A1180, RBWR!A:A&amp;RBWR!C:C, RBWR!B:B), "N/A")</f>
        <v>N/A</v>
      </c>
      <c r="L1180" t="str" cm="1">
        <f t="array" ref="L1180">IFERROR(_xlfn.XLOOKUP(C1180&amp;A1180, RYOE!A:A&amp;RYOE!F:F, RYOE!C:C), "N/A")</f>
        <v>N/A</v>
      </c>
      <c r="M1180" t="str" cm="1">
        <f t="array" ref="M1180">IFERROR(_xlfn.XLOOKUP(C1180&amp;A1180, RYOE!A:A&amp;RYOE!F:F, RYOE!D:D), "N/A")</f>
        <v>N/A</v>
      </c>
      <c r="N1180" t="str" cm="1">
        <f t="array" ref="N1180">IFERROR(_xlfn.XLOOKUP(C1180&amp;A1180, RYOE!A:A&amp;RYOE!F:F, RYOE!E:E), "N/A")</f>
        <v>N/A</v>
      </c>
    </row>
    <row r="1181" spans="1:14" ht="15" customHeight="1" x14ac:dyDescent="0.45">
      <c r="A1181" s="8">
        <v>2019</v>
      </c>
      <c r="B1181" s="6" t="s">
        <v>666</v>
      </c>
      <c r="C1181" s="2" t="str">
        <f t="shared" si="36"/>
        <v>Danny Vitale</v>
      </c>
      <c r="D1181" s="2" t="str">
        <f t="shared" si="37"/>
        <v>GB</v>
      </c>
      <c r="E1181" s="2">
        <v>1</v>
      </c>
      <c r="F1181" s="2">
        <v>3</v>
      </c>
      <c r="G1181" s="2">
        <v>3</v>
      </c>
      <c r="H1181" s="2">
        <v>0</v>
      </c>
      <c r="I1181">
        <v>0</v>
      </c>
      <c r="J1181">
        <v>15</v>
      </c>
      <c r="K1181" t="str" cm="1">
        <f t="array" ref="K1181">IFERROR(_xlfn.XLOOKUP(D1181&amp;A1181, RBWR!A:A&amp;RBWR!C:C, RBWR!B:B), "N/A")</f>
        <v>N/A</v>
      </c>
      <c r="L1181" t="str" cm="1">
        <f t="array" ref="L1181">IFERROR(_xlfn.XLOOKUP(C1181&amp;A1181, RYOE!A:A&amp;RYOE!F:F, RYOE!C:C), "N/A")</f>
        <v>N/A</v>
      </c>
      <c r="M1181" t="str" cm="1">
        <f t="array" ref="M1181">IFERROR(_xlfn.XLOOKUP(C1181&amp;A1181, RYOE!A:A&amp;RYOE!F:F, RYOE!D:D), "N/A")</f>
        <v>N/A</v>
      </c>
      <c r="N1181" t="str" cm="1">
        <f t="array" ref="N1181">IFERROR(_xlfn.XLOOKUP(C1181&amp;A1181, RYOE!A:A&amp;RYOE!F:F, RYOE!E:E), "N/A")</f>
        <v>N/A</v>
      </c>
    </row>
    <row r="1182" spans="1:14" ht="15" customHeight="1" x14ac:dyDescent="0.45">
      <c r="A1182" s="7">
        <v>2019</v>
      </c>
      <c r="B1182" s="5" t="s">
        <v>667</v>
      </c>
      <c r="C1182" s="1" t="str">
        <f t="shared" si="36"/>
        <v>Marshawn Lynch</v>
      </c>
      <c r="D1182" s="1" t="str">
        <f t="shared" si="37"/>
        <v>SEA</v>
      </c>
      <c r="E1182" s="1">
        <v>12</v>
      </c>
      <c r="F1182" s="1">
        <v>34</v>
      </c>
      <c r="G1182" s="1">
        <v>2.8</v>
      </c>
      <c r="H1182" s="1">
        <v>1</v>
      </c>
      <c r="I1182">
        <v>0</v>
      </c>
      <c r="J1182">
        <v>2</v>
      </c>
      <c r="K1182" t="str" cm="1">
        <f t="array" ref="K1182">IFERROR(_xlfn.XLOOKUP(D1182&amp;A1182, RBWR!A:A&amp;RBWR!C:C, RBWR!B:B), "N/A")</f>
        <v>N/A</v>
      </c>
      <c r="L1182" t="str" cm="1">
        <f t="array" ref="L1182">IFERROR(_xlfn.XLOOKUP(C1182&amp;A1182, RYOE!A:A&amp;RYOE!F:F, RYOE!C:C), "N/A")</f>
        <v>N/A</v>
      </c>
      <c r="M1182" t="str" cm="1">
        <f t="array" ref="M1182">IFERROR(_xlfn.XLOOKUP(C1182&amp;A1182, RYOE!A:A&amp;RYOE!F:F, RYOE!D:D), "N/A")</f>
        <v>N/A</v>
      </c>
      <c r="N1182" t="str" cm="1">
        <f t="array" ref="N1182">IFERROR(_xlfn.XLOOKUP(C1182&amp;A1182, RYOE!A:A&amp;RYOE!F:F, RYOE!E:E), "N/A")</f>
        <v>N/A</v>
      </c>
    </row>
    <row r="1183" spans="1:14" ht="15" customHeight="1" x14ac:dyDescent="0.45">
      <c r="A1183" s="8">
        <v>2019</v>
      </c>
      <c r="B1183" s="6" t="s">
        <v>424</v>
      </c>
      <c r="C1183" s="2" t="str">
        <f t="shared" si="36"/>
        <v>D'Ernest Johnson</v>
      </c>
      <c r="D1183" s="2" t="str">
        <f t="shared" si="37"/>
        <v>CLE</v>
      </c>
      <c r="E1183" s="2">
        <v>4</v>
      </c>
      <c r="F1183" s="2">
        <v>21</v>
      </c>
      <c r="G1183" s="2">
        <v>5.3</v>
      </c>
      <c r="H1183" s="2">
        <v>0</v>
      </c>
      <c r="I1183">
        <v>0</v>
      </c>
      <c r="J1183">
        <v>16</v>
      </c>
      <c r="K1183" t="str" cm="1">
        <f t="array" ref="K1183">IFERROR(_xlfn.XLOOKUP(D1183&amp;A1183, RBWR!A:A&amp;RBWR!C:C, RBWR!B:B), "N/A")</f>
        <v>N/A</v>
      </c>
      <c r="L1183" t="str" cm="1">
        <f t="array" ref="L1183">IFERROR(_xlfn.XLOOKUP(C1183&amp;A1183, RYOE!A:A&amp;RYOE!F:F, RYOE!C:C), "N/A")</f>
        <v>N/A</v>
      </c>
      <c r="M1183" t="str" cm="1">
        <f t="array" ref="M1183">IFERROR(_xlfn.XLOOKUP(C1183&amp;A1183, RYOE!A:A&amp;RYOE!F:F, RYOE!D:D), "N/A")</f>
        <v>N/A</v>
      </c>
      <c r="N1183" t="str" cm="1">
        <f t="array" ref="N1183">IFERROR(_xlfn.XLOOKUP(C1183&amp;A1183, RYOE!A:A&amp;RYOE!F:F, RYOE!E:E), "N/A")</f>
        <v>N/A</v>
      </c>
    </row>
    <row r="1184" spans="1:14" ht="15" customHeight="1" x14ac:dyDescent="0.45">
      <c r="A1184" s="7">
        <v>2019</v>
      </c>
      <c r="B1184" s="5" t="s">
        <v>668</v>
      </c>
      <c r="C1184" s="1" t="str">
        <f t="shared" si="36"/>
        <v>Kenjon Barner</v>
      </c>
      <c r="D1184" s="1" t="str">
        <f t="shared" si="37"/>
        <v>ATL</v>
      </c>
      <c r="E1184" s="1">
        <v>4</v>
      </c>
      <c r="F1184" s="1">
        <v>28</v>
      </c>
      <c r="G1184" s="1">
        <v>7</v>
      </c>
      <c r="H1184" s="1">
        <v>0</v>
      </c>
      <c r="I1184">
        <v>1</v>
      </c>
      <c r="J1184">
        <v>14</v>
      </c>
      <c r="K1184" t="str" cm="1">
        <f t="array" ref="K1184">IFERROR(_xlfn.XLOOKUP(D1184&amp;A1184, RBWR!A:A&amp;RBWR!C:C, RBWR!B:B), "N/A")</f>
        <v>N/A</v>
      </c>
      <c r="L1184" t="str" cm="1">
        <f t="array" ref="L1184">IFERROR(_xlfn.XLOOKUP(C1184&amp;A1184, RYOE!A:A&amp;RYOE!F:F, RYOE!C:C), "N/A")</f>
        <v>N/A</v>
      </c>
      <c r="M1184" t="str" cm="1">
        <f t="array" ref="M1184">IFERROR(_xlfn.XLOOKUP(C1184&amp;A1184, RYOE!A:A&amp;RYOE!F:F, RYOE!D:D), "N/A")</f>
        <v>N/A</v>
      </c>
      <c r="N1184" t="str" cm="1">
        <f t="array" ref="N1184">IFERROR(_xlfn.XLOOKUP(C1184&amp;A1184, RYOE!A:A&amp;RYOE!F:F, RYOE!E:E), "N/A")</f>
        <v>N/A</v>
      </c>
    </row>
    <row r="1185" spans="1:14" ht="15" customHeight="1" x14ac:dyDescent="0.45">
      <c r="A1185" s="8">
        <v>2019</v>
      </c>
      <c r="B1185" s="6" t="s">
        <v>607</v>
      </c>
      <c r="C1185" s="2" t="str">
        <f t="shared" si="36"/>
        <v>Alex Armah Jr.</v>
      </c>
      <c r="D1185" s="2" t="str">
        <f t="shared" si="37"/>
        <v>CAR</v>
      </c>
      <c r="E1185" s="2">
        <v>6</v>
      </c>
      <c r="F1185" s="2">
        <v>11</v>
      </c>
      <c r="G1185" s="2">
        <v>1.8</v>
      </c>
      <c r="H1185" s="2">
        <v>1</v>
      </c>
      <c r="I1185">
        <v>0</v>
      </c>
      <c r="J1185">
        <v>16</v>
      </c>
      <c r="K1185" t="str" cm="1">
        <f t="array" ref="K1185">IFERROR(_xlfn.XLOOKUP(D1185&amp;A1185, RBWR!A:A&amp;RBWR!C:C, RBWR!B:B), "N/A")</f>
        <v>N/A</v>
      </c>
      <c r="L1185" t="str" cm="1">
        <f t="array" ref="L1185">IFERROR(_xlfn.XLOOKUP(C1185&amp;A1185, RYOE!A:A&amp;RYOE!F:F, RYOE!C:C), "N/A")</f>
        <v>N/A</v>
      </c>
      <c r="M1185" t="str" cm="1">
        <f t="array" ref="M1185">IFERROR(_xlfn.XLOOKUP(C1185&amp;A1185, RYOE!A:A&amp;RYOE!F:F, RYOE!D:D), "N/A")</f>
        <v>N/A</v>
      </c>
      <c r="N1185" t="str" cm="1">
        <f t="array" ref="N1185">IFERROR(_xlfn.XLOOKUP(C1185&amp;A1185, RYOE!A:A&amp;RYOE!F:F, RYOE!E:E), "N/A")</f>
        <v>N/A</v>
      </c>
    </row>
    <row r="1186" spans="1:14" ht="15" customHeight="1" x14ac:dyDescent="0.45">
      <c r="A1186" s="7">
        <v>2019</v>
      </c>
      <c r="B1186" s="5" t="s">
        <v>596</v>
      </c>
      <c r="C1186" s="1" t="str">
        <f t="shared" si="36"/>
        <v>Troymaine Pope</v>
      </c>
      <c r="D1186" s="1" t="str">
        <f t="shared" si="37"/>
        <v>LAC</v>
      </c>
      <c r="E1186" s="1">
        <v>10</v>
      </c>
      <c r="F1186" s="1">
        <v>20</v>
      </c>
      <c r="G1186" s="1">
        <v>2</v>
      </c>
      <c r="H1186" s="1">
        <v>0</v>
      </c>
      <c r="I1186">
        <v>1</v>
      </c>
      <c r="J1186">
        <v>14</v>
      </c>
      <c r="K1186" t="str" cm="1">
        <f t="array" ref="K1186">IFERROR(_xlfn.XLOOKUP(D1186&amp;A1186, RBWR!A:A&amp;RBWR!C:C, RBWR!B:B), "N/A")</f>
        <v>N/A</v>
      </c>
      <c r="L1186" t="str" cm="1">
        <f t="array" ref="L1186">IFERROR(_xlfn.XLOOKUP(C1186&amp;A1186, RYOE!A:A&amp;RYOE!F:F, RYOE!C:C), "N/A")</f>
        <v>N/A</v>
      </c>
      <c r="M1186" t="str" cm="1">
        <f t="array" ref="M1186">IFERROR(_xlfn.XLOOKUP(C1186&amp;A1186, RYOE!A:A&amp;RYOE!F:F, RYOE!D:D), "N/A")</f>
        <v>N/A</v>
      </c>
      <c r="N1186" t="str" cm="1">
        <f t="array" ref="N1186">IFERROR(_xlfn.XLOOKUP(C1186&amp;A1186, RYOE!A:A&amp;RYOE!F:F, RYOE!E:E), "N/A")</f>
        <v>N/A</v>
      </c>
    </row>
    <row r="1187" spans="1:14" ht="15" customHeight="1" x14ac:dyDescent="0.45">
      <c r="A1187" s="8">
        <v>2019</v>
      </c>
      <c r="B1187" s="6" t="s">
        <v>669</v>
      </c>
      <c r="C1187" s="2" t="str">
        <f t="shared" si="36"/>
        <v>Spencer Ware</v>
      </c>
      <c r="D1187" s="2" t="str">
        <f t="shared" si="37"/>
        <v>KC</v>
      </c>
      <c r="E1187" s="2">
        <v>17</v>
      </c>
      <c r="F1187" s="2">
        <v>51</v>
      </c>
      <c r="G1187" s="2">
        <v>3</v>
      </c>
      <c r="H1187" s="2">
        <v>0</v>
      </c>
      <c r="I1187">
        <v>0</v>
      </c>
      <c r="J1187">
        <v>3</v>
      </c>
      <c r="K1187" t="str" cm="1">
        <f t="array" ref="K1187">IFERROR(_xlfn.XLOOKUP(D1187&amp;A1187, RBWR!A:A&amp;RBWR!C:C, RBWR!B:B), "N/A")</f>
        <v>N/A</v>
      </c>
      <c r="L1187" t="str" cm="1">
        <f t="array" ref="L1187">IFERROR(_xlfn.XLOOKUP(C1187&amp;A1187, RYOE!A:A&amp;RYOE!F:F, RYOE!C:C), "N/A")</f>
        <v>N/A</v>
      </c>
      <c r="M1187" t="str" cm="1">
        <f t="array" ref="M1187">IFERROR(_xlfn.XLOOKUP(C1187&amp;A1187, RYOE!A:A&amp;RYOE!F:F, RYOE!D:D), "N/A")</f>
        <v>N/A</v>
      </c>
      <c r="N1187" t="str" cm="1">
        <f t="array" ref="N1187">IFERROR(_xlfn.XLOOKUP(C1187&amp;A1187, RYOE!A:A&amp;RYOE!F:F, RYOE!E:E), "N/A")</f>
        <v>N/A</v>
      </c>
    </row>
    <row r="1188" spans="1:14" ht="15" customHeight="1" x14ac:dyDescent="0.45">
      <c r="A1188" s="7">
        <v>2019</v>
      </c>
      <c r="B1188" s="5" t="s">
        <v>670</v>
      </c>
      <c r="C1188" s="1" t="str">
        <f t="shared" si="36"/>
        <v>Devontae Booker</v>
      </c>
      <c r="D1188" s="1" t="str">
        <f t="shared" si="37"/>
        <v>DEN</v>
      </c>
      <c r="E1188" s="1">
        <v>2</v>
      </c>
      <c r="F1188" s="1">
        <v>9</v>
      </c>
      <c r="G1188" s="1">
        <v>4.5</v>
      </c>
      <c r="H1188" s="1">
        <v>0</v>
      </c>
      <c r="I1188">
        <v>0</v>
      </c>
      <c r="J1188">
        <v>16</v>
      </c>
      <c r="K1188" t="str" cm="1">
        <f t="array" ref="K1188">IFERROR(_xlfn.XLOOKUP(D1188&amp;A1188, RBWR!A:A&amp;RBWR!C:C, RBWR!B:B), "N/A")</f>
        <v>N/A</v>
      </c>
      <c r="L1188" t="str" cm="1">
        <f t="array" ref="L1188">IFERROR(_xlfn.XLOOKUP(C1188&amp;A1188, RYOE!A:A&amp;RYOE!F:F, RYOE!C:C), "N/A")</f>
        <v>N/A</v>
      </c>
      <c r="M1188" t="str" cm="1">
        <f t="array" ref="M1188">IFERROR(_xlfn.XLOOKUP(C1188&amp;A1188, RYOE!A:A&amp;RYOE!F:F, RYOE!D:D), "N/A")</f>
        <v>N/A</v>
      </c>
      <c r="N1188" t="str" cm="1">
        <f t="array" ref="N1188">IFERROR(_xlfn.XLOOKUP(C1188&amp;A1188, RYOE!A:A&amp;RYOE!F:F, RYOE!E:E), "N/A")</f>
        <v>N/A</v>
      </c>
    </row>
    <row r="1189" spans="1:14" ht="15" customHeight="1" x14ac:dyDescent="0.45">
      <c r="A1189" s="8">
        <v>2019</v>
      </c>
      <c r="B1189" s="6" t="s">
        <v>420</v>
      </c>
      <c r="C1189" s="2" t="str">
        <f t="shared" si="36"/>
        <v>Dwayne Washington</v>
      </c>
      <c r="D1189" s="2" t="str">
        <f t="shared" si="37"/>
        <v>NO</v>
      </c>
      <c r="E1189" s="2">
        <v>8</v>
      </c>
      <c r="F1189" s="2">
        <v>60</v>
      </c>
      <c r="G1189" s="2">
        <v>7.5</v>
      </c>
      <c r="H1189" s="2">
        <v>0</v>
      </c>
      <c r="I1189">
        <v>0</v>
      </c>
      <c r="J1189">
        <v>16</v>
      </c>
      <c r="K1189" t="str" cm="1">
        <f t="array" ref="K1189">IFERROR(_xlfn.XLOOKUP(D1189&amp;A1189, RBWR!A:A&amp;RBWR!C:C, RBWR!B:B), "N/A")</f>
        <v>N/A</v>
      </c>
      <c r="L1189" t="str" cm="1">
        <f t="array" ref="L1189">IFERROR(_xlfn.XLOOKUP(C1189&amp;A1189, RYOE!A:A&amp;RYOE!F:F, RYOE!C:C), "N/A")</f>
        <v>N/A</v>
      </c>
      <c r="M1189" t="str" cm="1">
        <f t="array" ref="M1189">IFERROR(_xlfn.XLOOKUP(C1189&amp;A1189, RYOE!A:A&amp;RYOE!F:F, RYOE!D:D), "N/A")</f>
        <v>N/A</v>
      </c>
      <c r="N1189" t="str" cm="1">
        <f t="array" ref="N1189">IFERROR(_xlfn.XLOOKUP(C1189&amp;A1189, RYOE!A:A&amp;RYOE!F:F, RYOE!E:E), "N/A")</f>
        <v>N/A</v>
      </c>
    </row>
    <row r="1190" spans="1:14" ht="15" customHeight="1" x14ac:dyDescent="0.45">
      <c r="A1190" s="7">
        <v>2019</v>
      </c>
      <c r="B1190" s="5" t="s">
        <v>671</v>
      </c>
      <c r="C1190" s="1" t="str">
        <f t="shared" si="36"/>
        <v>Tra Carson</v>
      </c>
      <c r="D1190" s="1" t="str">
        <f t="shared" si="37"/>
        <v>DET</v>
      </c>
      <c r="E1190" s="1">
        <v>18</v>
      </c>
      <c r="F1190" s="1">
        <v>48</v>
      </c>
      <c r="G1190" s="1">
        <v>2.7</v>
      </c>
      <c r="H1190" s="1">
        <v>0</v>
      </c>
      <c r="I1190">
        <v>0</v>
      </c>
      <c r="J1190">
        <v>4</v>
      </c>
      <c r="K1190" t="str" cm="1">
        <f t="array" ref="K1190">IFERROR(_xlfn.XLOOKUP(D1190&amp;A1190, RBWR!A:A&amp;RBWR!C:C, RBWR!B:B), "N/A")</f>
        <v>N/A</v>
      </c>
      <c r="L1190" t="str" cm="1">
        <f t="array" ref="L1190">IFERROR(_xlfn.XLOOKUP(C1190&amp;A1190, RYOE!A:A&amp;RYOE!F:F, RYOE!C:C), "N/A")</f>
        <v>N/A</v>
      </c>
      <c r="M1190" t="str" cm="1">
        <f t="array" ref="M1190">IFERROR(_xlfn.XLOOKUP(C1190&amp;A1190, RYOE!A:A&amp;RYOE!F:F, RYOE!D:D), "N/A")</f>
        <v>N/A</v>
      </c>
      <c r="N1190" t="str" cm="1">
        <f t="array" ref="N1190">IFERROR(_xlfn.XLOOKUP(C1190&amp;A1190, RYOE!A:A&amp;RYOE!F:F, RYOE!E:E), "N/A")</f>
        <v>N/A</v>
      </c>
    </row>
    <row r="1191" spans="1:14" ht="15" customHeight="1" x14ac:dyDescent="0.45">
      <c r="A1191" s="8">
        <v>2019</v>
      </c>
      <c r="B1191" s="6" t="s">
        <v>672</v>
      </c>
      <c r="C1191" s="2" t="str">
        <f t="shared" si="36"/>
        <v>Zach Line</v>
      </c>
      <c r="D1191" s="2" t="str">
        <f t="shared" si="37"/>
        <v>NO</v>
      </c>
      <c r="E1191" s="2">
        <v>7</v>
      </c>
      <c r="F1191" s="2">
        <v>20</v>
      </c>
      <c r="G1191" s="2">
        <v>2.9</v>
      </c>
      <c r="H1191" s="2">
        <v>0</v>
      </c>
      <c r="I1191">
        <v>0</v>
      </c>
      <c r="J1191">
        <v>12</v>
      </c>
      <c r="K1191" t="str" cm="1">
        <f t="array" ref="K1191">IFERROR(_xlfn.XLOOKUP(D1191&amp;A1191, RBWR!A:A&amp;RBWR!C:C, RBWR!B:B), "N/A")</f>
        <v>N/A</v>
      </c>
      <c r="L1191" t="str" cm="1">
        <f t="array" ref="L1191">IFERROR(_xlfn.XLOOKUP(C1191&amp;A1191, RYOE!A:A&amp;RYOE!F:F, RYOE!C:C), "N/A")</f>
        <v>N/A</v>
      </c>
      <c r="M1191" t="str" cm="1">
        <f t="array" ref="M1191">IFERROR(_xlfn.XLOOKUP(C1191&amp;A1191, RYOE!A:A&amp;RYOE!F:F, RYOE!D:D), "N/A")</f>
        <v>N/A</v>
      </c>
      <c r="N1191" t="str" cm="1">
        <f t="array" ref="N1191">IFERROR(_xlfn.XLOOKUP(C1191&amp;A1191, RYOE!A:A&amp;RYOE!F:F, RYOE!E:E), "N/A")</f>
        <v>N/A</v>
      </c>
    </row>
    <row r="1192" spans="1:14" ht="15" customHeight="1" x14ac:dyDescent="0.45">
      <c r="A1192" s="7">
        <v>2019</v>
      </c>
      <c r="B1192" s="5" t="s">
        <v>553</v>
      </c>
      <c r="C1192" s="1" t="str">
        <f t="shared" si="36"/>
        <v>Khari Blasingame</v>
      </c>
      <c r="D1192" s="1" t="str">
        <f t="shared" si="37"/>
        <v>TEN</v>
      </c>
      <c r="E1192" s="1">
        <v>0</v>
      </c>
      <c r="F1192" s="1">
        <v>0</v>
      </c>
      <c r="G1192" s="1">
        <v>0</v>
      </c>
      <c r="H1192" s="1">
        <v>0</v>
      </c>
      <c r="I1192">
        <v>0</v>
      </c>
      <c r="J1192">
        <v>6</v>
      </c>
      <c r="K1192" t="str" cm="1">
        <f t="array" ref="K1192">IFERROR(_xlfn.XLOOKUP(D1192&amp;A1192, RBWR!A:A&amp;RBWR!C:C, RBWR!B:B), "N/A")</f>
        <v>N/A</v>
      </c>
      <c r="L1192" t="str" cm="1">
        <f t="array" ref="L1192">IFERROR(_xlfn.XLOOKUP(C1192&amp;A1192, RYOE!A:A&amp;RYOE!F:F, RYOE!C:C), "N/A")</f>
        <v>N/A</v>
      </c>
      <c r="M1192" t="str" cm="1">
        <f t="array" ref="M1192">IFERROR(_xlfn.XLOOKUP(C1192&amp;A1192, RYOE!A:A&amp;RYOE!F:F, RYOE!D:D), "N/A")</f>
        <v>N/A</v>
      </c>
      <c r="N1192" t="str" cm="1">
        <f t="array" ref="N1192">IFERROR(_xlfn.XLOOKUP(C1192&amp;A1192, RYOE!A:A&amp;RYOE!F:F, RYOE!E:E), "N/A")</f>
        <v>N/A</v>
      </c>
    </row>
    <row r="1193" spans="1:14" ht="15" customHeight="1" x14ac:dyDescent="0.45">
      <c r="A1193" s="8">
        <v>2019</v>
      </c>
      <c r="B1193" s="6" t="s">
        <v>673</v>
      </c>
      <c r="C1193" s="2" t="str">
        <f t="shared" si="36"/>
        <v>Jon Hilliman</v>
      </c>
      <c r="D1193" s="2" t="str">
        <f t="shared" si="37"/>
        <v>NYG</v>
      </c>
      <c r="E1193" s="2">
        <v>30</v>
      </c>
      <c r="F1193" s="2">
        <v>91</v>
      </c>
      <c r="G1193" s="2">
        <v>3</v>
      </c>
      <c r="H1193" s="2">
        <v>0</v>
      </c>
      <c r="I1193">
        <v>2</v>
      </c>
      <c r="J1193">
        <v>3</v>
      </c>
      <c r="K1193" t="str" cm="1">
        <f t="array" ref="K1193">IFERROR(_xlfn.XLOOKUP(D1193&amp;A1193, RBWR!A:A&amp;RBWR!C:C, RBWR!B:B), "N/A")</f>
        <v>N/A</v>
      </c>
      <c r="L1193" t="str" cm="1">
        <f t="array" ref="L1193">IFERROR(_xlfn.XLOOKUP(C1193&amp;A1193, RYOE!A:A&amp;RYOE!F:F, RYOE!C:C), "N/A")</f>
        <v>N/A</v>
      </c>
      <c r="M1193" t="str" cm="1">
        <f t="array" ref="M1193">IFERROR(_xlfn.XLOOKUP(C1193&amp;A1193, RYOE!A:A&amp;RYOE!F:F, RYOE!D:D), "N/A")</f>
        <v>N/A</v>
      </c>
      <c r="N1193" t="str" cm="1">
        <f t="array" ref="N1193">IFERROR(_xlfn.XLOOKUP(C1193&amp;A1193, RYOE!A:A&amp;RYOE!F:F, RYOE!E:E), "N/A")</f>
        <v>N/A</v>
      </c>
    </row>
    <row r="1194" spans="1:14" ht="15" customHeight="1" x14ac:dyDescent="0.45">
      <c r="A1194" s="7">
        <v>2019</v>
      </c>
      <c r="B1194" s="5" t="s">
        <v>529</v>
      </c>
      <c r="C1194" s="1" t="str">
        <f t="shared" si="36"/>
        <v>Devine Ozigbo</v>
      </c>
      <c r="D1194" s="1" t="str">
        <f t="shared" si="37"/>
        <v>JAC</v>
      </c>
      <c r="E1194" s="1">
        <v>9</v>
      </c>
      <c r="F1194" s="1">
        <v>27</v>
      </c>
      <c r="G1194" s="1">
        <v>3</v>
      </c>
      <c r="H1194" s="1">
        <v>0</v>
      </c>
      <c r="I1194">
        <v>0</v>
      </c>
      <c r="J1194">
        <v>10</v>
      </c>
      <c r="K1194" t="str" cm="1">
        <f t="array" ref="K1194">IFERROR(_xlfn.XLOOKUP(D1194&amp;A1194, RBWR!A:A&amp;RBWR!C:C, RBWR!B:B), "N/A")</f>
        <v>N/A</v>
      </c>
      <c r="L1194" t="str" cm="1">
        <f t="array" ref="L1194">IFERROR(_xlfn.XLOOKUP(C1194&amp;A1194, RYOE!A:A&amp;RYOE!F:F, RYOE!C:C), "N/A")</f>
        <v>N/A</v>
      </c>
      <c r="M1194" t="str" cm="1">
        <f t="array" ref="M1194">IFERROR(_xlfn.XLOOKUP(C1194&amp;A1194, RYOE!A:A&amp;RYOE!F:F, RYOE!D:D), "N/A")</f>
        <v>N/A</v>
      </c>
      <c r="N1194" t="str" cm="1">
        <f t="array" ref="N1194">IFERROR(_xlfn.XLOOKUP(C1194&amp;A1194, RYOE!A:A&amp;RYOE!F:F, RYOE!E:E), "N/A")</f>
        <v>N/A</v>
      </c>
    </row>
    <row r="1195" spans="1:14" ht="15" customHeight="1" x14ac:dyDescent="0.45">
      <c r="A1195" s="8">
        <v>2019</v>
      </c>
      <c r="B1195" s="6" t="s">
        <v>674</v>
      </c>
      <c r="C1195" s="2" t="str">
        <f t="shared" si="36"/>
        <v>Taiwan Jones</v>
      </c>
      <c r="D1195" s="2" t="str">
        <f t="shared" si="37"/>
        <v>HOU</v>
      </c>
      <c r="E1195" s="2">
        <v>9</v>
      </c>
      <c r="F1195" s="2">
        <v>40</v>
      </c>
      <c r="G1195" s="2">
        <v>4.4000000000000004</v>
      </c>
      <c r="H1195" s="2">
        <v>0</v>
      </c>
      <c r="I1195">
        <v>0</v>
      </c>
      <c r="J1195">
        <v>11</v>
      </c>
      <c r="K1195" t="str" cm="1">
        <f t="array" ref="K1195">IFERROR(_xlfn.XLOOKUP(D1195&amp;A1195, RBWR!A:A&amp;RBWR!C:C, RBWR!B:B), "N/A")</f>
        <v>N/A</v>
      </c>
      <c r="L1195" t="str" cm="1">
        <f t="array" ref="L1195">IFERROR(_xlfn.XLOOKUP(C1195&amp;A1195, RYOE!A:A&amp;RYOE!F:F, RYOE!C:C), "N/A")</f>
        <v>N/A</v>
      </c>
      <c r="M1195" t="str" cm="1">
        <f t="array" ref="M1195">IFERROR(_xlfn.XLOOKUP(C1195&amp;A1195, RYOE!A:A&amp;RYOE!F:F, RYOE!D:D), "N/A")</f>
        <v>N/A</v>
      </c>
      <c r="N1195" t="str" cm="1">
        <f t="array" ref="N1195">IFERROR(_xlfn.XLOOKUP(C1195&amp;A1195, RYOE!A:A&amp;RYOE!F:F, RYOE!E:E), "N/A")</f>
        <v>N/A</v>
      </c>
    </row>
    <row r="1196" spans="1:14" ht="15" customHeight="1" x14ac:dyDescent="0.45">
      <c r="A1196" s="7">
        <v>2019</v>
      </c>
      <c r="B1196" s="5" t="s">
        <v>556</v>
      </c>
      <c r="C1196" s="1" t="str">
        <f t="shared" si="36"/>
        <v>Mike Davis</v>
      </c>
      <c r="D1196" s="1" t="str">
        <f t="shared" si="37"/>
        <v>CAR</v>
      </c>
      <c r="E1196" s="1">
        <v>13</v>
      </c>
      <c r="F1196" s="1">
        <v>27</v>
      </c>
      <c r="G1196" s="1">
        <v>2.1</v>
      </c>
      <c r="H1196" s="1">
        <v>0</v>
      </c>
      <c r="I1196">
        <v>0</v>
      </c>
      <c r="J1196">
        <v>12</v>
      </c>
      <c r="K1196" t="str" cm="1">
        <f t="array" ref="K1196">IFERROR(_xlfn.XLOOKUP(D1196&amp;A1196, RBWR!A:A&amp;RBWR!C:C, RBWR!B:B), "N/A")</f>
        <v>N/A</v>
      </c>
      <c r="L1196" t="str" cm="1">
        <f t="array" ref="L1196">IFERROR(_xlfn.XLOOKUP(C1196&amp;A1196, RYOE!A:A&amp;RYOE!F:F, RYOE!C:C), "N/A")</f>
        <v>N/A</v>
      </c>
      <c r="M1196" t="str" cm="1">
        <f t="array" ref="M1196">IFERROR(_xlfn.XLOOKUP(C1196&amp;A1196, RYOE!A:A&amp;RYOE!F:F, RYOE!D:D), "N/A")</f>
        <v>N/A</v>
      </c>
      <c r="N1196" t="str" cm="1">
        <f t="array" ref="N1196">IFERROR(_xlfn.XLOOKUP(C1196&amp;A1196, RYOE!A:A&amp;RYOE!F:F, RYOE!E:E), "N/A")</f>
        <v>N/A</v>
      </c>
    </row>
    <row r="1197" spans="1:14" ht="15" customHeight="1" x14ac:dyDescent="0.45">
      <c r="A1197" s="8">
        <v>2019</v>
      </c>
      <c r="B1197" s="6" t="s">
        <v>675</v>
      </c>
      <c r="C1197" s="2" t="str">
        <f t="shared" si="36"/>
        <v>Patrick DiMarco</v>
      </c>
      <c r="D1197" s="2" t="str">
        <f t="shared" si="37"/>
        <v>BUF</v>
      </c>
      <c r="E1197" s="2">
        <v>3</v>
      </c>
      <c r="F1197" s="2">
        <v>7</v>
      </c>
      <c r="G1197" s="2">
        <v>2.2999999999999998</v>
      </c>
      <c r="H1197" s="2">
        <v>0</v>
      </c>
      <c r="I1197">
        <v>0</v>
      </c>
      <c r="J1197">
        <v>16</v>
      </c>
      <c r="K1197" t="str" cm="1">
        <f t="array" ref="K1197">IFERROR(_xlfn.XLOOKUP(D1197&amp;A1197, RBWR!A:A&amp;RBWR!C:C, RBWR!B:B), "N/A")</f>
        <v>N/A</v>
      </c>
      <c r="L1197" t="str" cm="1">
        <f t="array" ref="L1197">IFERROR(_xlfn.XLOOKUP(C1197&amp;A1197, RYOE!A:A&amp;RYOE!F:F, RYOE!C:C), "N/A")</f>
        <v>N/A</v>
      </c>
      <c r="M1197" t="str" cm="1">
        <f t="array" ref="M1197">IFERROR(_xlfn.XLOOKUP(C1197&amp;A1197, RYOE!A:A&amp;RYOE!F:F, RYOE!D:D), "N/A")</f>
        <v>N/A</v>
      </c>
      <c r="N1197" t="str" cm="1">
        <f t="array" ref="N1197">IFERROR(_xlfn.XLOOKUP(C1197&amp;A1197, RYOE!A:A&amp;RYOE!F:F, RYOE!E:E), "N/A")</f>
        <v>N/A</v>
      </c>
    </row>
    <row r="1198" spans="1:14" ht="15" customHeight="1" x14ac:dyDescent="0.45">
      <c r="A1198" s="7">
        <v>2019</v>
      </c>
      <c r="B1198" s="5" t="s">
        <v>486</v>
      </c>
      <c r="C1198" s="1" t="str">
        <f t="shared" si="36"/>
        <v>Elijhaa Penny</v>
      </c>
      <c r="D1198" s="1" t="str">
        <f t="shared" si="37"/>
        <v>NYG</v>
      </c>
      <c r="E1198" s="1">
        <v>15</v>
      </c>
      <c r="F1198" s="1">
        <v>39</v>
      </c>
      <c r="G1198" s="1">
        <v>2.6</v>
      </c>
      <c r="H1198" s="1">
        <v>0</v>
      </c>
      <c r="I1198">
        <v>0</v>
      </c>
      <c r="J1198">
        <v>16</v>
      </c>
      <c r="K1198" t="str" cm="1">
        <f t="array" ref="K1198">IFERROR(_xlfn.XLOOKUP(D1198&amp;A1198, RBWR!A:A&amp;RBWR!C:C, RBWR!B:B), "N/A")</f>
        <v>N/A</v>
      </c>
      <c r="L1198" t="str" cm="1">
        <f t="array" ref="L1198">IFERROR(_xlfn.XLOOKUP(C1198&amp;A1198, RYOE!A:A&amp;RYOE!F:F, RYOE!C:C), "N/A")</f>
        <v>N/A</v>
      </c>
      <c r="M1198" t="str" cm="1">
        <f t="array" ref="M1198">IFERROR(_xlfn.XLOOKUP(C1198&amp;A1198, RYOE!A:A&amp;RYOE!F:F, RYOE!D:D), "N/A")</f>
        <v>N/A</v>
      </c>
      <c r="N1198" t="str" cm="1">
        <f t="array" ref="N1198">IFERROR(_xlfn.XLOOKUP(C1198&amp;A1198, RYOE!A:A&amp;RYOE!F:F, RYOE!E:E), "N/A")</f>
        <v>N/A</v>
      </c>
    </row>
    <row r="1199" spans="1:14" ht="15" customHeight="1" x14ac:dyDescent="0.45">
      <c r="A1199" s="8">
        <v>2019</v>
      </c>
      <c r="B1199" s="6" t="s">
        <v>676</v>
      </c>
      <c r="C1199" s="2" t="str">
        <f t="shared" si="36"/>
        <v>C.J. Anderson</v>
      </c>
      <c r="D1199" s="2" t="str">
        <f t="shared" si="37"/>
        <v>DET</v>
      </c>
      <c r="E1199" s="2">
        <v>16</v>
      </c>
      <c r="F1199" s="2">
        <v>43</v>
      </c>
      <c r="G1199" s="2">
        <v>2.7</v>
      </c>
      <c r="H1199" s="2">
        <v>0</v>
      </c>
      <c r="I1199">
        <v>0</v>
      </c>
      <c r="J1199">
        <v>2</v>
      </c>
      <c r="K1199" t="str" cm="1">
        <f t="array" ref="K1199">IFERROR(_xlfn.XLOOKUP(D1199&amp;A1199, RBWR!A:A&amp;RBWR!C:C, RBWR!B:B), "N/A")</f>
        <v>N/A</v>
      </c>
      <c r="L1199" t="str" cm="1">
        <f t="array" ref="L1199">IFERROR(_xlfn.XLOOKUP(C1199&amp;A1199, RYOE!A:A&amp;RYOE!F:F, RYOE!C:C), "N/A")</f>
        <v>N/A</v>
      </c>
      <c r="M1199" t="str" cm="1">
        <f t="array" ref="M1199">IFERROR(_xlfn.XLOOKUP(C1199&amp;A1199, RYOE!A:A&amp;RYOE!F:F, RYOE!D:D), "N/A")</f>
        <v>N/A</v>
      </c>
      <c r="N1199" t="str" cm="1">
        <f t="array" ref="N1199">IFERROR(_xlfn.XLOOKUP(C1199&amp;A1199, RYOE!A:A&amp;RYOE!F:F, RYOE!E:E), "N/A")</f>
        <v>N/A</v>
      </c>
    </row>
    <row r="1200" spans="1:14" ht="15" customHeight="1" x14ac:dyDescent="0.45">
      <c r="A1200" s="7">
        <v>2019</v>
      </c>
      <c r="B1200" s="5" t="s">
        <v>677</v>
      </c>
      <c r="C1200" s="1" t="str">
        <f t="shared" si="36"/>
        <v>Paul Perkins</v>
      </c>
      <c r="D1200" s="1" t="str">
        <f t="shared" si="37"/>
        <v>DET</v>
      </c>
      <c r="E1200" s="1">
        <v>12</v>
      </c>
      <c r="F1200" s="1">
        <v>29</v>
      </c>
      <c r="G1200" s="1">
        <v>2.4</v>
      </c>
      <c r="H1200" s="1">
        <v>0</v>
      </c>
      <c r="I1200">
        <v>0</v>
      </c>
      <c r="J1200">
        <v>4</v>
      </c>
      <c r="K1200" t="str" cm="1">
        <f t="array" ref="K1200">IFERROR(_xlfn.XLOOKUP(D1200&amp;A1200, RBWR!A:A&amp;RBWR!C:C, RBWR!B:B), "N/A")</f>
        <v>N/A</v>
      </c>
      <c r="L1200" t="str" cm="1">
        <f t="array" ref="L1200">IFERROR(_xlfn.XLOOKUP(C1200&amp;A1200, RYOE!A:A&amp;RYOE!F:F, RYOE!C:C), "N/A")</f>
        <v>N/A</v>
      </c>
      <c r="M1200" t="str" cm="1">
        <f t="array" ref="M1200">IFERROR(_xlfn.XLOOKUP(C1200&amp;A1200, RYOE!A:A&amp;RYOE!F:F, RYOE!D:D), "N/A")</f>
        <v>N/A</v>
      </c>
      <c r="N1200" t="str" cm="1">
        <f t="array" ref="N1200">IFERROR(_xlfn.XLOOKUP(C1200&amp;A1200, RYOE!A:A&amp;RYOE!F:F, RYOE!E:E), "N/A")</f>
        <v>N/A</v>
      </c>
    </row>
    <row r="1201" spans="1:14" ht="15" customHeight="1" x14ac:dyDescent="0.45">
      <c r="A1201" s="8">
        <v>2019</v>
      </c>
      <c r="B1201" s="6" t="s">
        <v>599</v>
      </c>
      <c r="C1201" s="2" t="str">
        <f t="shared" si="36"/>
        <v>Anthony Sherman</v>
      </c>
      <c r="D1201" s="2" t="str">
        <f t="shared" si="37"/>
        <v>KC</v>
      </c>
      <c r="E1201" s="2">
        <v>4</v>
      </c>
      <c r="F1201" s="2">
        <v>9</v>
      </c>
      <c r="G1201" s="2">
        <v>2.2999999999999998</v>
      </c>
      <c r="H1201" s="2">
        <v>0</v>
      </c>
      <c r="I1201">
        <v>0</v>
      </c>
      <c r="J1201">
        <v>16</v>
      </c>
      <c r="K1201" t="str" cm="1">
        <f t="array" ref="K1201">IFERROR(_xlfn.XLOOKUP(D1201&amp;A1201, RBWR!A:A&amp;RBWR!C:C, RBWR!B:B), "N/A")</f>
        <v>N/A</v>
      </c>
      <c r="L1201" t="str" cm="1">
        <f t="array" ref="L1201">IFERROR(_xlfn.XLOOKUP(C1201&amp;A1201, RYOE!A:A&amp;RYOE!F:F, RYOE!C:C), "N/A")</f>
        <v>N/A</v>
      </c>
      <c r="M1201" t="str" cm="1">
        <f t="array" ref="M1201">IFERROR(_xlfn.XLOOKUP(C1201&amp;A1201, RYOE!A:A&amp;RYOE!F:F, RYOE!D:D), "N/A")</f>
        <v>N/A</v>
      </c>
      <c r="N1201" t="str" cm="1">
        <f t="array" ref="N1201">IFERROR(_xlfn.XLOOKUP(C1201&amp;A1201, RYOE!A:A&amp;RYOE!F:F, RYOE!E:E), "N/A")</f>
        <v>N/A</v>
      </c>
    </row>
    <row r="1202" spans="1:14" ht="15" customHeight="1" x14ac:dyDescent="0.45">
      <c r="A1202" s="7">
        <v>2019</v>
      </c>
      <c r="B1202" s="5" t="s">
        <v>678</v>
      </c>
      <c r="C1202" s="1" t="str">
        <f t="shared" si="36"/>
        <v>Jay Ajayi</v>
      </c>
      <c r="D1202" s="1" t="str">
        <f t="shared" si="37"/>
        <v>PHI</v>
      </c>
      <c r="E1202" s="1">
        <v>10</v>
      </c>
      <c r="F1202" s="1">
        <v>30</v>
      </c>
      <c r="G1202" s="1">
        <v>3</v>
      </c>
      <c r="H1202" s="1">
        <v>0</v>
      </c>
      <c r="I1202">
        <v>0</v>
      </c>
      <c r="J1202">
        <v>4</v>
      </c>
      <c r="K1202" t="str" cm="1">
        <f t="array" ref="K1202">IFERROR(_xlfn.XLOOKUP(D1202&amp;A1202, RBWR!A:A&amp;RBWR!C:C, RBWR!B:B), "N/A")</f>
        <v>N/A</v>
      </c>
      <c r="L1202" t="str" cm="1">
        <f t="array" ref="L1202">IFERROR(_xlfn.XLOOKUP(C1202&amp;A1202, RYOE!A:A&amp;RYOE!F:F, RYOE!C:C), "N/A")</f>
        <v>N/A</v>
      </c>
      <c r="M1202" t="str" cm="1">
        <f t="array" ref="M1202">IFERROR(_xlfn.XLOOKUP(C1202&amp;A1202, RYOE!A:A&amp;RYOE!F:F, RYOE!D:D), "N/A")</f>
        <v>N/A</v>
      </c>
      <c r="N1202" t="str" cm="1">
        <f t="array" ref="N1202">IFERROR(_xlfn.XLOOKUP(C1202&amp;A1202, RYOE!A:A&amp;RYOE!F:F, RYOE!E:E), "N/A")</f>
        <v>N/A</v>
      </c>
    </row>
    <row r="1203" spans="1:14" ht="15" customHeight="1" x14ac:dyDescent="0.45">
      <c r="A1203" s="8">
        <v>2019</v>
      </c>
      <c r="B1203" s="6" t="s">
        <v>679</v>
      </c>
      <c r="C1203" s="2" t="str">
        <f t="shared" si="36"/>
        <v>Dalyn Dawkins</v>
      </c>
      <c r="D1203" s="2" t="str">
        <f t="shared" si="37"/>
        <v>TEN</v>
      </c>
      <c r="E1203" s="2">
        <v>11</v>
      </c>
      <c r="F1203" s="2">
        <v>26</v>
      </c>
      <c r="G1203" s="2">
        <v>2.4</v>
      </c>
      <c r="H1203" s="2">
        <v>0</v>
      </c>
      <c r="I1203">
        <v>0</v>
      </c>
      <c r="J1203">
        <v>2</v>
      </c>
      <c r="K1203" t="str" cm="1">
        <f t="array" ref="K1203">IFERROR(_xlfn.XLOOKUP(D1203&amp;A1203, RBWR!A:A&amp;RBWR!C:C, RBWR!B:B), "N/A")</f>
        <v>N/A</v>
      </c>
      <c r="L1203" t="str" cm="1">
        <f t="array" ref="L1203">IFERROR(_xlfn.XLOOKUP(C1203&amp;A1203, RYOE!A:A&amp;RYOE!F:F, RYOE!C:C), "N/A")</f>
        <v>N/A</v>
      </c>
      <c r="M1203" t="str" cm="1">
        <f t="array" ref="M1203">IFERROR(_xlfn.XLOOKUP(C1203&amp;A1203, RYOE!A:A&amp;RYOE!F:F, RYOE!D:D), "N/A")</f>
        <v>N/A</v>
      </c>
      <c r="N1203" t="str" cm="1">
        <f t="array" ref="N1203">IFERROR(_xlfn.XLOOKUP(C1203&amp;A1203, RYOE!A:A&amp;RYOE!F:F, RYOE!E:E), "N/A")</f>
        <v>N/A</v>
      </c>
    </row>
    <row r="1204" spans="1:14" ht="15" customHeight="1" x14ac:dyDescent="0.45">
      <c r="A1204" s="7">
        <v>2019</v>
      </c>
      <c r="B1204" s="5" t="s">
        <v>680</v>
      </c>
      <c r="C1204" s="1" t="str">
        <f t="shared" si="36"/>
        <v>T.J. Logan</v>
      </c>
      <c r="D1204" s="1" t="str">
        <f t="shared" si="37"/>
        <v>TB</v>
      </c>
      <c r="E1204" s="1">
        <v>3</v>
      </c>
      <c r="F1204" s="1">
        <v>10</v>
      </c>
      <c r="G1204" s="1">
        <v>3.3</v>
      </c>
      <c r="H1204" s="1">
        <v>0</v>
      </c>
      <c r="I1204">
        <v>0</v>
      </c>
      <c r="J1204">
        <v>12</v>
      </c>
      <c r="K1204" t="str" cm="1">
        <f t="array" ref="K1204">IFERROR(_xlfn.XLOOKUP(D1204&amp;A1204, RBWR!A:A&amp;RBWR!C:C, RBWR!B:B), "N/A")</f>
        <v>N/A</v>
      </c>
      <c r="L1204" t="str" cm="1">
        <f t="array" ref="L1204">IFERROR(_xlfn.XLOOKUP(C1204&amp;A1204, RYOE!A:A&amp;RYOE!F:F, RYOE!C:C), "N/A")</f>
        <v>N/A</v>
      </c>
      <c r="M1204" t="str" cm="1">
        <f t="array" ref="M1204">IFERROR(_xlfn.XLOOKUP(C1204&amp;A1204, RYOE!A:A&amp;RYOE!F:F, RYOE!D:D), "N/A")</f>
        <v>N/A</v>
      </c>
      <c r="N1204" t="str" cm="1">
        <f t="array" ref="N1204">IFERROR(_xlfn.XLOOKUP(C1204&amp;A1204, RYOE!A:A&amp;RYOE!F:F, RYOE!E:E), "N/A")</f>
        <v>N/A</v>
      </c>
    </row>
    <row r="1205" spans="1:14" ht="15" customHeight="1" x14ac:dyDescent="0.45">
      <c r="A1205" s="8">
        <v>2019</v>
      </c>
      <c r="B1205" s="6" t="s">
        <v>332</v>
      </c>
      <c r="C1205" s="2" t="str">
        <f t="shared" si="36"/>
        <v>Keith Smith</v>
      </c>
      <c r="D1205" s="2" t="str">
        <f t="shared" si="37"/>
        <v>ATL</v>
      </c>
      <c r="E1205" s="2">
        <v>5</v>
      </c>
      <c r="F1205" s="2">
        <v>8</v>
      </c>
      <c r="G1205" s="2">
        <v>1.6</v>
      </c>
      <c r="H1205" s="2">
        <v>0</v>
      </c>
      <c r="I1205">
        <v>0</v>
      </c>
      <c r="J1205">
        <v>16</v>
      </c>
      <c r="K1205" t="str" cm="1">
        <f t="array" ref="K1205">IFERROR(_xlfn.XLOOKUP(D1205&amp;A1205, RBWR!A:A&amp;RBWR!C:C, RBWR!B:B), "N/A")</f>
        <v>N/A</v>
      </c>
      <c r="L1205" t="str" cm="1">
        <f t="array" ref="L1205">IFERROR(_xlfn.XLOOKUP(C1205&amp;A1205, RYOE!A:A&amp;RYOE!F:F, RYOE!C:C), "N/A")</f>
        <v>N/A</v>
      </c>
      <c r="M1205" t="str" cm="1">
        <f t="array" ref="M1205">IFERROR(_xlfn.XLOOKUP(C1205&amp;A1205, RYOE!A:A&amp;RYOE!F:F, RYOE!D:D), "N/A")</f>
        <v>N/A</v>
      </c>
      <c r="N1205" t="str" cm="1">
        <f t="array" ref="N1205">IFERROR(_xlfn.XLOOKUP(C1205&amp;A1205, RYOE!A:A&amp;RYOE!F:F, RYOE!E:E), "N/A")</f>
        <v>N/A</v>
      </c>
    </row>
    <row r="1206" spans="1:14" ht="15" customHeight="1" x14ac:dyDescent="0.45">
      <c r="A1206" s="7">
        <v>2019</v>
      </c>
      <c r="B1206" s="5" t="s">
        <v>592</v>
      </c>
      <c r="C1206" s="1" t="str">
        <f t="shared" si="36"/>
        <v>Tyler Ervin</v>
      </c>
      <c r="D1206" s="1" t="str">
        <f t="shared" si="37"/>
        <v>GB</v>
      </c>
      <c r="E1206" s="1">
        <v>1</v>
      </c>
      <c r="F1206" s="1">
        <v>10</v>
      </c>
      <c r="G1206" s="1">
        <v>10</v>
      </c>
      <c r="H1206" s="1">
        <v>0</v>
      </c>
      <c r="I1206">
        <v>0</v>
      </c>
      <c r="J1206">
        <v>10</v>
      </c>
      <c r="K1206" t="str" cm="1">
        <f t="array" ref="K1206">IFERROR(_xlfn.XLOOKUP(D1206&amp;A1206, RBWR!A:A&amp;RBWR!C:C, RBWR!B:B), "N/A")</f>
        <v>N/A</v>
      </c>
      <c r="L1206" t="str" cm="1">
        <f t="array" ref="L1206">IFERROR(_xlfn.XLOOKUP(C1206&amp;A1206, RYOE!A:A&amp;RYOE!F:F, RYOE!C:C), "N/A")</f>
        <v>N/A</v>
      </c>
      <c r="M1206" t="str" cm="1">
        <f t="array" ref="M1206">IFERROR(_xlfn.XLOOKUP(C1206&amp;A1206, RYOE!A:A&amp;RYOE!F:F, RYOE!D:D), "N/A")</f>
        <v>N/A</v>
      </c>
      <c r="N1206" t="str" cm="1">
        <f t="array" ref="N1206">IFERROR(_xlfn.XLOOKUP(C1206&amp;A1206, RYOE!A:A&amp;RYOE!F:F, RYOE!E:E), "N/A")</f>
        <v>N/A</v>
      </c>
    </row>
    <row r="1207" spans="1:14" ht="15" customHeight="1" x14ac:dyDescent="0.45">
      <c r="A1207" s="8">
        <v>2019</v>
      </c>
      <c r="B1207" s="6" t="s">
        <v>681</v>
      </c>
      <c r="C1207" s="2" t="str">
        <f t="shared" si="36"/>
        <v>Zach Zenner</v>
      </c>
      <c r="D1207" s="2" t="str">
        <f t="shared" si="37"/>
        <v>MIA</v>
      </c>
      <c r="E1207" s="2">
        <v>3</v>
      </c>
      <c r="F1207" s="2">
        <v>-2</v>
      </c>
      <c r="G1207" s="2">
        <v>-0.7</v>
      </c>
      <c r="H1207" s="2">
        <v>0</v>
      </c>
      <c r="I1207">
        <v>0</v>
      </c>
      <c r="J1207">
        <v>6</v>
      </c>
      <c r="K1207" t="str" cm="1">
        <f t="array" ref="K1207">IFERROR(_xlfn.XLOOKUP(D1207&amp;A1207, RBWR!A:A&amp;RBWR!C:C, RBWR!B:B), "N/A")</f>
        <v>N/A</v>
      </c>
      <c r="L1207" t="str" cm="1">
        <f t="array" ref="L1207">IFERROR(_xlfn.XLOOKUP(C1207&amp;A1207, RYOE!A:A&amp;RYOE!F:F, RYOE!C:C), "N/A")</f>
        <v>N/A</v>
      </c>
      <c r="M1207" t="str" cm="1">
        <f t="array" ref="M1207">IFERROR(_xlfn.XLOOKUP(C1207&amp;A1207, RYOE!A:A&amp;RYOE!F:F, RYOE!D:D), "N/A")</f>
        <v>N/A</v>
      </c>
      <c r="N1207" t="str" cm="1">
        <f t="array" ref="N1207">IFERROR(_xlfn.XLOOKUP(C1207&amp;A1207, RYOE!A:A&amp;RYOE!F:F, RYOE!E:E), "N/A")</f>
        <v>N/A</v>
      </c>
    </row>
    <row r="1208" spans="1:14" ht="15" customHeight="1" x14ac:dyDescent="0.45">
      <c r="A1208" s="7">
        <v>2019</v>
      </c>
      <c r="B1208" s="5" t="s">
        <v>682</v>
      </c>
      <c r="C1208" s="1" t="str">
        <f t="shared" si="36"/>
        <v>Nick Bawden</v>
      </c>
      <c r="D1208" s="1" t="str">
        <f t="shared" si="37"/>
        <v>DET</v>
      </c>
      <c r="E1208" s="1">
        <v>0</v>
      </c>
      <c r="F1208" s="1">
        <v>0</v>
      </c>
      <c r="G1208" s="1">
        <v>0</v>
      </c>
      <c r="H1208" s="1">
        <v>0</v>
      </c>
      <c r="I1208">
        <v>0</v>
      </c>
      <c r="J1208">
        <v>10</v>
      </c>
      <c r="K1208" t="str" cm="1">
        <f t="array" ref="K1208">IFERROR(_xlfn.XLOOKUP(D1208&amp;A1208, RBWR!A:A&amp;RBWR!C:C, RBWR!B:B), "N/A")</f>
        <v>N/A</v>
      </c>
      <c r="L1208" t="str" cm="1">
        <f t="array" ref="L1208">IFERROR(_xlfn.XLOOKUP(C1208&amp;A1208, RYOE!A:A&amp;RYOE!F:F, RYOE!C:C), "N/A")</f>
        <v>N/A</v>
      </c>
      <c r="M1208" t="str" cm="1">
        <f t="array" ref="M1208">IFERROR(_xlfn.XLOOKUP(C1208&amp;A1208, RYOE!A:A&amp;RYOE!F:F, RYOE!D:D), "N/A")</f>
        <v>N/A</v>
      </c>
      <c r="N1208" t="str" cm="1">
        <f t="array" ref="N1208">IFERROR(_xlfn.XLOOKUP(C1208&amp;A1208, RYOE!A:A&amp;RYOE!F:F, RYOE!E:E), "N/A")</f>
        <v>N/A</v>
      </c>
    </row>
    <row r="1209" spans="1:14" ht="15" customHeight="1" x14ac:dyDescent="0.45">
      <c r="A1209" s="8">
        <v>2019</v>
      </c>
      <c r="B1209" s="6" t="s">
        <v>683</v>
      </c>
      <c r="C1209" s="2" t="str">
        <f t="shared" si="36"/>
        <v>Samaje Perine</v>
      </c>
      <c r="D1209" s="2" t="str">
        <f t="shared" si="37"/>
        <v>MIA</v>
      </c>
      <c r="E1209" s="2">
        <v>5</v>
      </c>
      <c r="F1209" s="2">
        <v>16</v>
      </c>
      <c r="G1209" s="2">
        <v>3.2</v>
      </c>
      <c r="H1209" s="2">
        <v>0</v>
      </c>
      <c r="I1209">
        <v>0</v>
      </c>
      <c r="J1209">
        <v>7</v>
      </c>
      <c r="K1209" t="str" cm="1">
        <f t="array" ref="K1209">IFERROR(_xlfn.XLOOKUP(D1209&amp;A1209, RBWR!A:A&amp;RBWR!C:C, RBWR!B:B), "N/A")</f>
        <v>N/A</v>
      </c>
      <c r="L1209" t="str" cm="1">
        <f t="array" ref="L1209">IFERROR(_xlfn.XLOOKUP(C1209&amp;A1209, RYOE!A:A&amp;RYOE!F:F, RYOE!C:C), "N/A")</f>
        <v>N/A</v>
      </c>
      <c r="M1209" t="str" cm="1">
        <f t="array" ref="M1209">IFERROR(_xlfn.XLOOKUP(C1209&amp;A1209, RYOE!A:A&amp;RYOE!F:F, RYOE!D:D), "N/A")</f>
        <v>N/A</v>
      </c>
      <c r="N1209" t="str" cm="1">
        <f t="array" ref="N1209">IFERROR(_xlfn.XLOOKUP(C1209&amp;A1209, RYOE!A:A&amp;RYOE!F:F, RYOE!E:E), "N/A")</f>
        <v>N/A</v>
      </c>
    </row>
    <row r="1210" spans="1:14" ht="15" customHeight="1" x14ac:dyDescent="0.45">
      <c r="A1210" s="7">
        <v>2019</v>
      </c>
      <c r="B1210" s="5" t="s">
        <v>583</v>
      </c>
      <c r="C1210" s="1" t="str">
        <f t="shared" si="36"/>
        <v>Josh Adams</v>
      </c>
      <c r="D1210" s="1" t="str">
        <f t="shared" si="37"/>
        <v>NYJ</v>
      </c>
      <c r="E1210" s="1">
        <v>8</v>
      </c>
      <c r="F1210" s="1">
        <v>12</v>
      </c>
      <c r="G1210" s="1">
        <v>1.5</v>
      </c>
      <c r="H1210" s="1">
        <v>0</v>
      </c>
      <c r="I1210">
        <v>0</v>
      </c>
      <c r="J1210">
        <v>3</v>
      </c>
      <c r="K1210" t="str" cm="1">
        <f t="array" ref="K1210">IFERROR(_xlfn.XLOOKUP(D1210&amp;A1210, RBWR!A:A&amp;RBWR!C:C, RBWR!B:B), "N/A")</f>
        <v>N/A</v>
      </c>
      <c r="L1210" t="str" cm="1">
        <f t="array" ref="L1210">IFERROR(_xlfn.XLOOKUP(C1210&amp;A1210, RYOE!A:A&amp;RYOE!F:F, RYOE!C:C), "N/A")</f>
        <v>N/A</v>
      </c>
      <c r="M1210" t="str" cm="1">
        <f t="array" ref="M1210">IFERROR(_xlfn.XLOOKUP(C1210&amp;A1210, RYOE!A:A&amp;RYOE!F:F, RYOE!D:D), "N/A")</f>
        <v>N/A</v>
      </c>
      <c r="N1210" t="str" cm="1">
        <f t="array" ref="N1210">IFERROR(_xlfn.XLOOKUP(C1210&amp;A1210, RYOE!A:A&amp;RYOE!F:F, RYOE!E:E), "N/A")</f>
        <v>N/A</v>
      </c>
    </row>
    <row r="1211" spans="1:14" ht="15" customHeight="1" x14ac:dyDescent="0.45">
      <c r="A1211" s="8">
        <v>2019</v>
      </c>
      <c r="B1211" s="6" t="s">
        <v>383</v>
      </c>
      <c r="C1211" s="2" t="str">
        <f t="shared" si="36"/>
        <v>Damien Harris</v>
      </c>
      <c r="D1211" s="2" t="str">
        <f t="shared" si="37"/>
        <v>NE</v>
      </c>
      <c r="E1211" s="2">
        <v>4</v>
      </c>
      <c r="F1211" s="2">
        <v>12</v>
      </c>
      <c r="G1211" s="2">
        <v>3</v>
      </c>
      <c r="H1211" s="2">
        <v>0</v>
      </c>
      <c r="I1211">
        <v>0</v>
      </c>
      <c r="J1211">
        <v>2</v>
      </c>
      <c r="K1211" t="str" cm="1">
        <f t="array" ref="K1211">IFERROR(_xlfn.XLOOKUP(D1211&amp;A1211, RBWR!A:A&amp;RBWR!C:C, RBWR!B:B), "N/A")</f>
        <v>N/A</v>
      </c>
      <c r="L1211" t="str" cm="1">
        <f t="array" ref="L1211">IFERROR(_xlfn.XLOOKUP(C1211&amp;A1211, RYOE!A:A&amp;RYOE!F:F, RYOE!C:C), "N/A")</f>
        <v>N/A</v>
      </c>
      <c r="M1211" t="str" cm="1">
        <f t="array" ref="M1211">IFERROR(_xlfn.XLOOKUP(C1211&amp;A1211, RYOE!A:A&amp;RYOE!F:F, RYOE!D:D), "N/A")</f>
        <v>N/A</v>
      </c>
      <c r="N1211" t="str" cm="1">
        <f t="array" ref="N1211">IFERROR(_xlfn.XLOOKUP(C1211&amp;A1211, RYOE!A:A&amp;RYOE!F:F, RYOE!E:E), "N/A")</f>
        <v>N/A</v>
      </c>
    </row>
    <row r="1212" spans="1:14" ht="15" customHeight="1" x14ac:dyDescent="0.45">
      <c r="A1212" s="7">
        <v>2019</v>
      </c>
      <c r="B1212" s="5" t="s">
        <v>611</v>
      </c>
      <c r="C1212" s="1" t="str">
        <f t="shared" si="36"/>
        <v>Dexter Williams</v>
      </c>
      <c r="D1212" s="1" t="str">
        <f t="shared" si="37"/>
        <v>GB</v>
      </c>
      <c r="E1212" s="1">
        <v>5</v>
      </c>
      <c r="F1212" s="1">
        <v>11</v>
      </c>
      <c r="G1212" s="1">
        <v>2.2000000000000002</v>
      </c>
      <c r="H1212" s="1">
        <v>0</v>
      </c>
      <c r="I1212">
        <v>0</v>
      </c>
      <c r="J1212">
        <v>4</v>
      </c>
      <c r="K1212" t="str" cm="1">
        <f t="array" ref="K1212">IFERROR(_xlfn.XLOOKUP(D1212&amp;A1212, RBWR!A:A&amp;RBWR!C:C, RBWR!B:B), "N/A")</f>
        <v>N/A</v>
      </c>
      <c r="L1212" t="str" cm="1">
        <f t="array" ref="L1212">IFERROR(_xlfn.XLOOKUP(C1212&amp;A1212, RYOE!A:A&amp;RYOE!F:F, RYOE!C:C), "N/A")</f>
        <v>N/A</v>
      </c>
      <c r="M1212" t="str" cm="1">
        <f t="array" ref="M1212">IFERROR(_xlfn.XLOOKUP(C1212&amp;A1212, RYOE!A:A&amp;RYOE!F:F, RYOE!D:D), "N/A")</f>
        <v>N/A</v>
      </c>
      <c r="N1212" t="str" cm="1">
        <f t="array" ref="N1212">IFERROR(_xlfn.XLOOKUP(C1212&amp;A1212, RYOE!A:A&amp;RYOE!F:F, RYOE!E:E), "N/A")</f>
        <v>N/A</v>
      </c>
    </row>
    <row r="1213" spans="1:14" ht="15" customHeight="1" x14ac:dyDescent="0.45">
      <c r="A1213" s="8">
        <v>2019</v>
      </c>
      <c r="B1213" s="6" t="s">
        <v>600</v>
      </c>
      <c r="C1213" s="2" t="str">
        <f t="shared" si="36"/>
        <v>Buddy Howell</v>
      </c>
      <c r="D1213" s="2" t="str">
        <f t="shared" si="37"/>
        <v>HOU</v>
      </c>
      <c r="E1213" s="2">
        <v>5</v>
      </c>
      <c r="F1213" s="2">
        <v>10</v>
      </c>
      <c r="G1213" s="2">
        <v>2</v>
      </c>
      <c r="H1213" s="2">
        <v>0</v>
      </c>
      <c r="I1213">
        <v>0</v>
      </c>
      <c r="J1213">
        <v>16</v>
      </c>
      <c r="K1213" t="str" cm="1">
        <f t="array" ref="K1213">IFERROR(_xlfn.XLOOKUP(D1213&amp;A1213, RBWR!A:A&amp;RBWR!C:C, RBWR!B:B), "N/A")</f>
        <v>N/A</v>
      </c>
      <c r="L1213" t="str" cm="1">
        <f t="array" ref="L1213">IFERROR(_xlfn.XLOOKUP(C1213&amp;A1213, RYOE!A:A&amp;RYOE!F:F, RYOE!C:C), "N/A")</f>
        <v>N/A</v>
      </c>
      <c r="M1213" t="str" cm="1">
        <f t="array" ref="M1213">IFERROR(_xlfn.XLOOKUP(C1213&amp;A1213, RYOE!A:A&amp;RYOE!F:F, RYOE!D:D), "N/A")</f>
        <v>N/A</v>
      </c>
      <c r="N1213" t="str" cm="1">
        <f t="array" ref="N1213">IFERROR(_xlfn.XLOOKUP(C1213&amp;A1213, RYOE!A:A&amp;RYOE!F:F, RYOE!E:E), "N/A")</f>
        <v>N/A</v>
      </c>
    </row>
    <row r="1214" spans="1:14" ht="15" customHeight="1" x14ac:dyDescent="0.45">
      <c r="A1214" s="7">
        <v>2019</v>
      </c>
      <c r="B1214" s="5" t="s">
        <v>684</v>
      </c>
      <c r="C1214" s="1" t="str">
        <f t="shared" si="36"/>
        <v>Josh Ferguson</v>
      </c>
      <c r="D1214" s="1" t="str">
        <f t="shared" si="37"/>
        <v>WAS</v>
      </c>
      <c r="E1214" s="1">
        <v>3</v>
      </c>
      <c r="F1214" s="1">
        <v>9</v>
      </c>
      <c r="G1214" s="1">
        <v>3</v>
      </c>
      <c r="H1214" s="1">
        <v>0</v>
      </c>
      <c r="I1214">
        <v>0</v>
      </c>
      <c r="J1214">
        <v>2</v>
      </c>
      <c r="K1214" t="str" cm="1">
        <f t="array" ref="K1214">IFERROR(_xlfn.XLOOKUP(D1214&amp;A1214, RBWR!A:A&amp;RBWR!C:C, RBWR!B:B), "N/A")</f>
        <v>N/A</v>
      </c>
      <c r="L1214" t="str" cm="1">
        <f t="array" ref="L1214">IFERROR(_xlfn.XLOOKUP(C1214&amp;A1214, RYOE!A:A&amp;RYOE!F:F, RYOE!C:C), "N/A")</f>
        <v>N/A</v>
      </c>
      <c r="M1214" t="str" cm="1">
        <f t="array" ref="M1214">IFERROR(_xlfn.XLOOKUP(C1214&amp;A1214, RYOE!A:A&amp;RYOE!F:F, RYOE!D:D), "N/A")</f>
        <v>N/A</v>
      </c>
      <c r="N1214" t="str" cm="1">
        <f t="array" ref="N1214">IFERROR(_xlfn.XLOOKUP(C1214&amp;A1214, RYOE!A:A&amp;RYOE!F:F, RYOE!E:E), "N/A")</f>
        <v>N/A</v>
      </c>
    </row>
    <row r="1215" spans="1:14" ht="15" customHeight="1" x14ac:dyDescent="0.45">
      <c r="A1215" s="8">
        <v>2019</v>
      </c>
      <c r="B1215" s="6" t="s">
        <v>685</v>
      </c>
      <c r="C1215" s="2" t="str">
        <f t="shared" si="36"/>
        <v>John Kelly Jr.</v>
      </c>
      <c r="D1215" s="2" t="str">
        <f t="shared" si="37"/>
        <v>LAR</v>
      </c>
      <c r="E1215" s="2">
        <v>3</v>
      </c>
      <c r="F1215" s="2">
        <v>9</v>
      </c>
      <c r="G1215" s="2">
        <v>3</v>
      </c>
      <c r="H1215" s="2">
        <v>0</v>
      </c>
      <c r="I1215">
        <v>0</v>
      </c>
      <c r="J1215">
        <v>5</v>
      </c>
      <c r="K1215" t="str" cm="1">
        <f t="array" ref="K1215">IFERROR(_xlfn.XLOOKUP(D1215&amp;A1215, RBWR!A:A&amp;RBWR!C:C, RBWR!B:B), "N/A")</f>
        <v>N/A</v>
      </c>
      <c r="L1215" t="str" cm="1">
        <f t="array" ref="L1215">IFERROR(_xlfn.XLOOKUP(C1215&amp;A1215, RYOE!A:A&amp;RYOE!F:F, RYOE!C:C), "N/A")</f>
        <v>N/A</v>
      </c>
      <c r="M1215" t="str" cm="1">
        <f t="array" ref="M1215">IFERROR(_xlfn.XLOOKUP(C1215&amp;A1215, RYOE!A:A&amp;RYOE!F:F, RYOE!D:D), "N/A")</f>
        <v>N/A</v>
      </c>
      <c r="N1215" t="str" cm="1">
        <f t="array" ref="N1215">IFERROR(_xlfn.XLOOKUP(C1215&amp;A1215, RYOE!A:A&amp;RYOE!F:F, RYOE!E:E), "N/A")</f>
        <v>N/A</v>
      </c>
    </row>
    <row r="1216" spans="1:14" ht="15" customHeight="1" x14ac:dyDescent="0.45">
      <c r="A1216" s="7">
        <v>2019</v>
      </c>
      <c r="B1216" s="5" t="s">
        <v>686</v>
      </c>
      <c r="C1216" s="1" t="str">
        <f t="shared" si="36"/>
        <v>Jordan Scarlett</v>
      </c>
      <c r="D1216" s="1" t="str">
        <f t="shared" si="37"/>
        <v>CAR</v>
      </c>
      <c r="E1216" s="1">
        <v>4</v>
      </c>
      <c r="F1216" s="1">
        <v>9</v>
      </c>
      <c r="G1216" s="1">
        <v>2.2999999999999998</v>
      </c>
      <c r="H1216" s="1">
        <v>0</v>
      </c>
      <c r="I1216">
        <v>0</v>
      </c>
      <c r="J1216">
        <v>9</v>
      </c>
      <c r="K1216" t="str" cm="1">
        <f t="array" ref="K1216">IFERROR(_xlfn.XLOOKUP(D1216&amp;A1216, RBWR!A:A&amp;RBWR!C:C, RBWR!B:B), "N/A")</f>
        <v>N/A</v>
      </c>
      <c r="L1216" t="str" cm="1">
        <f t="array" ref="L1216">IFERROR(_xlfn.XLOOKUP(C1216&amp;A1216, RYOE!A:A&amp;RYOE!F:F, RYOE!C:C), "N/A")</f>
        <v>N/A</v>
      </c>
      <c r="M1216" t="str" cm="1">
        <f t="array" ref="M1216">IFERROR(_xlfn.XLOOKUP(C1216&amp;A1216, RYOE!A:A&amp;RYOE!F:F, RYOE!D:D), "N/A")</f>
        <v>N/A</v>
      </c>
      <c r="N1216" t="str" cm="1">
        <f t="array" ref="N1216">IFERROR(_xlfn.XLOOKUP(C1216&amp;A1216, RYOE!A:A&amp;RYOE!F:F, RYOE!E:E), "N/A")</f>
        <v>N/A</v>
      </c>
    </row>
    <row r="1217" spans="1:14" ht="15" customHeight="1" x14ac:dyDescent="0.45">
      <c r="A1217" s="8">
        <v>2019</v>
      </c>
      <c r="B1217" s="6" t="s">
        <v>687</v>
      </c>
      <c r="C1217" s="2" t="str">
        <f t="shared" si="36"/>
        <v>Ricky Ortiz</v>
      </c>
      <c r="D1217" s="2" t="str">
        <f t="shared" si="37"/>
        <v>NO</v>
      </c>
      <c r="E1217" s="2">
        <v>0</v>
      </c>
      <c r="F1217" s="2">
        <v>0</v>
      </c>
      <c r="G1217" s="2">
        <v>0</v>
      </c>
      <c r="H1217" s="2">
        <v>0</v>
      </c>
      <c r="I1217">
        <v>0</v>
      </c>
      <c r="J1217">
        <v>2</v>
      </c>
      <c r="K1217" t="str" cm="1">
        <f t="array" ref="K1217">IFERROR(_xlfn.XLOOKUP(D1217&amp;A1217, RBWR!A:A&amp;RBWR!C:C, RBWR!B:B), "N/A")</f>
        <v>N/A</v>
      </c>
      <c r="L1217" t="str" cm="1">
        <f t="array" ref="L1217">IFERROR(_xlfn.XLOOKUP(C1217&amp;A1217, RYOE!A:A&amp;RYOE!F:F, RYOE!C:C), "N/A")</f>
        <v>N/A</v>
      </c>
      <c r="M1217" t="str" cm="1">
        <f t="array" ref="M1217">IFERROR(_xlfn.XLOOKUP(C1217&amp;A1217, RYOE!A:A&amp;RYOE!F:F, RYOE!D:D), "N/A")</f>
        <v>N/A</v>
      </c>
      <c r="N1217" t="str" cm="1">
        <f t="array" ref="N1217">IFERROR(_xlfn.XLOOKUP(C1217&amp;A1217, RYOE!A:A&amp;RYOE!F:F, RYOE!E:E), "N/A")</f>
        <v>N/A</v>
      </c>
    </row>
    <row r="1218" spans="1:14" ht="15" customHeight="1" x14ac:dyDescent="0.45">
      <c r="A1218" s="7">
        <v>2019</v>
      </c>
      <c r="B1218" s="5" t="s">
        <v>527</v>
      </c>
      <c r="C1218" s="1" t="str">
        <f t="shared" ref="C1218:C1281" si="38">TRIM(LEFT(B1218, LEN(B1218) - LEN(TRIM(RIGHT(SUBSTITUTE(TRIM(B1218)," ",REPT(" ",100)),100)))))</f>
        <v>Ryan Nall</v>
      </c>
      <c r="D1218" s="1" t="str">
        <f t="shared" ref="D1218:D1281" si="39">MID(B1218, FIND("(", B1218) + 1, FIND(")", B1218) - FIND("(", B1218) - 1)</f>
        <v>CHI</v>
      </c>
      <c r="E1218" s="1">
        <v>2</v>
      </c>
      <c r="F1218" s="1">
        <v>8</v>
      </c>
      <c r="G1218" s="1">
        <v>4</v>
      </c>
      <c r="H1218" s="1">
        <v>0</v>
      </c>
      <c r="I1218">
        <v>0</v>
      </c>
      <c r="J1218">
        <v>8</v>
      </c>
      <c r="K1218" t="str" cm="1">
        <f t="array" ref="K1218">IFERROR(_xlfn.XLOOKUP(D1218&amp;A1218, RBWR!A:A&amp;RBWR!C:C, RBWR!B:B), "N/A")</f>
        <v>N/A</v>
      </c>
      <c r="L1218" t="str" cm="1">
        <f t="array" ref="L1218">IFERROR(_xlfn.XLOOKUP(C1218&amp;A1218, RYOE!A:A&amp;RYOE!F:F, RYOE!C:C), "N/A")</f>
        <v>N/A</v>
      </c>
      <c r="M1218" t="str" cm="1">
        <f t="array" ref="M1218">IFERROR(_xlfn.XLOOKUP(C1218&amp;A1218, RYOE!A:A&amp;RYOE!F:F, RYOE!D:D), "N/A")</f>
        <v>N/A</v>
      </c>
      <c r="N1218" t="str" cm="1">
        <f t="array" ref="N1218">IFERROR(_xlfn.XLOOKUP(C1218&amp;A1218, RYOE!A:A&amp;RYOE!F:F, RYOE!E:E), "N/A")</f>
        <v>N/A</v>
      </c>
    </row>
    <row r="1219" spans="1:14" ht="15" customHeight="1" x14ac:dyDescent="0.45">
      <c r="A1219" s="8">
        <v>2019</v>
      </c>
      <c r="B1219" s="6" t="s">
        <v>688</v>
      </c>
      <c r="C1219" s="2" t="str">
        <f t="shared" si="38"/>
        <v>Tony Brooks-James</v>
      </c>
      <c r="D1219" s="2" t="str">
        <f t="shared" si="39"/>
        <v>PIT</v>
      </c>
      <c r="E1219" s="2">
        <v>8</v>
      </c>
      <c r="F1219" s="2">
        <v>7</v>
      </c>
      <c r="G1219" s="2">
        <v>0.9</v>
      </c>
      <c r="H1219" s="2">
        <v>0</v>
      </c>
      <c r="I1219">
        <v>0</v>
      </c>
      <c r="J1219">
        <v>3</v>
      </c>
      <c r="K1219" t="str" cm="1">
        <f t="array" ref="K1219">IFERROR(_xlfn.XLOOKUP(D1219&amp;A1219, RBWR!A:A&amp;RBWR!C:C, RBWR!B:B), "N/A")</f>
        <v>N/A</v>
      </c>
      <c r="L1219" t="str" cm="1">
        <f t="array" ref="L1219">IFERROR(_xlfn.XLOOKUP(C1219&amp;A1219, RYOE!A:A&amp;RYOE!F:F, RYOE!C:C), "N/A")</f>
        <v>N/A</v>
      </c>
      <c r="M1219" t="str" cm="1">
        <f t="array" ref="M1219">IFERROR(_xlfn.XLOOKUP(C1219&amp;A1219, RYOE!A:A&amp;RYOE!F:F, RYOE!D:D), "N/A")</f>
        <v>N/A</v>
      </c>
      <c r="N1219" t="str" cm="1">
        <f t="array" ref="N1219">IFERROR(_xlfn.XLOOKUP(C1219&amp;A1219, RYOE!A:A&amp;RYOE!F:F, RYOE!E:E), "N/A")</f>
        <v>N/A</v>
      </c>
    </row>
    <row r="1220" spans="1:14" ht="15" customHeight="1" x14ac:dyDescent="0.45">
      <c r="A1220" s="7">
        <v>2019</v>
      </c>
      <c r="B1220" s="5" t="s">
        <v>689</v>
      </c>
      <c r="C1220" s="1" t="str">
        <f t="shared" si="38"/>
        <v>De'Lance Turner</v>
      </c>
      <c r="D1220" s="1" t="str">
        <f t="shared" si="39"/>
        <v>MIA</v>
      </c>
      <c r="E1220" s="1">
        <v>4</v>
      </c>
      <c r="F1220" s="1">
        <v>6</v>
      </c>
      <c r="G1220" s="1">
        <v>1.5</v>
      </c>
      <c r="H1220" s="1">
        <v>0</v>
      </c>
      <c r="I1220">
        <v>0</v>
      </c>
      <c r="J1220">
        <v>9</v>
      </c>
      <c r="K1220" t="str" cm="1">
        <f t="array" ref="K1220">IFERROR(_xlfn.XLOOKUP(D1220&amp;A1220, RBWR!A:A&amp;RBWR!C:C, RBWR!B:B), "N/A")</f>
        <v>N/A</v>
      </c>
      <c r="L1220" t="str" cm="1">
        <f t="array" ref="L1220">IFERROR(_xlfn.XLOOKUP(C1220&amp;A1220, RYOE!A:A&amp;RYOE!F:F, RYOE!C:C), "N/A")</f>
        <v>N/A</v>
      </c>
      <c r="M1220" t="str" cm="1">
        <f t="array" ref="M1220">IFERROR(_xlfn.XLOOKUP(C1220&amp;A1220, RYOE!A:A&amp;RYOE!F:F, RYOE!D:D), "N/A")</f>
        <v>N/A</v>
      </c>
      <c r="N1220" t="str" cm="1">
        <f t="array" ref="N1220">IFERROR(_xlfn.XLOOKUP(C1220&amp;A1220, RYOE!A:A&amp;RYOE!F:F, RYOE!E:E), "N/A")</f>
        <v>N/A</v>
      </c>
    </row>
    <row r="1221" spans="1:14" ht="15" customHeight="1" x14ac:dyDescent="0.45">
      <c r="A1221" s="8">
        <v>2019</v>
      </c>
      <c r="B1221" s="6" t="s">
        <v>513</v>
      </c>
      <c r="C1221" s="2" t="str">
        <f t="shared" si="38"/>
        <v>Jakob Johnson</v>
      </c>
      <c r="D1221" s="2" t="str">
        <f t="shared" si="39"/>
        <v>NE</v>
      </c>
      <c r="E1221" s="2">
        <v>0</v>
      </c>
      <c r="F1221" s="2">
        <v>0</v>
      </c>
      <c r="G1221" s="2">
        <v>0</v>
      </c>
      <c r="H1221" s="2">
        <v>0</v>
      </c>
      <c r="I1221">
        <v>0</v>
      </c>
      <c r="J1221">
        <v>4</v>
      </c>
      <c r="K1221" t="str" cm="1">
        <f t="array" ref="K1221">IFERROR(_xlfn.XLOOKUP(D1221&amp;A1221, RBWR!A:A&amp;RBWR!C:C, RBWR!B:B), "N/A")</f>
        <v>N/A</v>
      </c>
      <c r="L1221" t="str" cm="1">
        <f t="array" ref="L1221">IFERROR(_xlfn.XLOOKUP(C1221&amp;A1221, RYOE!A:A&amp;RYOE!F:F, RYOE!C:C), "N/A")</f>
        <v>N/A</v>
      </c>
      <c r="M1221" t="str" cm="1">
        <f t="array" ref="M1221">IFERROR(_xlfn.XLOOKUP(C1221&amp;A1221, RYOE!A:A&amp;RYOE!F:F, RYOE!D:D), "N/A")</f>
        <v>N/A</v>
      </c>
      <c r="N1221" t="str" cm="1">
        <f t="array" ref="N1221">IFERROR(_xlfn.XLOOKUP(C1221&amp;A1221, RYOE!A:A&amp;RYOE!F:F, RYOE!E:E), "N/A")</f>
        <v>N/A</v>
      </c>
    </row>
    <row r="1222" spans="1:14" ht="15" customHeight="1" x14ac:dyDescent="0.45">
      <c r="A1222" s="7">
        <v>2019</v>
      </c>
      <c r="B1222" s="5" t="s">
        <v>690</v>
      </c>
      <c r="C1222" s="1" t="str">
        <f t="shared" si="38"/>
        <v>Alfred Morris</v>
      </c>
      <c r="D1222" s="1" t="str">
        <f t="shared" si="39"/>
        <v>ARI</v>
      </c>
      <c r="E1222" s="1">
        <v>1</v>
      </c>
      <c r="F1222" s="1">
        <v>4</v>
      </c>
      <c r="G1222" s="1">
        <v>4</v>
      </c>
      <c r="H1222" s="1">
        <v>0</v>
      </c>
      <c r="I1222">
        <v>0</v>
      </c>
      <c r="J1222">
        <v>1</v>
      </c>
      <c r="K1222" t="str" cm="1">
        <f t="array" ref="K1222">IFERROR(_xlfn.XLOOKUP(D1222&amp;A1222, RBWR!A:A&amp;RBWR!C:C, RBWR!B:B), "N/A")</f>
        <v>N/A</v>
      </c>
      <c r="L1222" t="str" cm="1">
        <f t="array" ref="L1222">IFERROR(_xlfn.XLOOKUP(C1222&amp;A1222, RYOE!A:A&amp;RYOE!F:F, RYOE!C:C), "N/A")</f>
        <v>N/A</v>
      </c>
      <c r="M1222" t="str" cm="1">
        <f t="array" ref="M1222">IFERROR(_xlfn.XLOOKUP(C1222&amp;A1222, RYOE!A:A&amp;RYOE!F:F, RYOE!D:D), "N/A")</f>
        <v>N/A</v>
      </c>
      <c r="N1222" t="str" cm="1">
        <f t="array" ref="N1222">IFERROR(_xlfn.XLOOKUP(C1222&amp;A1222, RYOE!A:A&amp;RYOE!F:F, RYOE!E:E), "N/A")</f>
        <v>N/A</v>
      </c>
    </row>
    <row r="1223" spans="1:14" ht="15" customHeight="1" x14ac:dyDescent="0.45">
      <c r="A1223" s="8">
        <v>2019</v>
      </c>
      <c r="B1223" s="6" t="s">
        <v>691</v>
      </c>
      <c r="C1223" s="2" t="str">
        <f t="shared" si="38"/>
        <v>Senorise Perry</v>
      </c>
      <c r="D1223" s="2" t="str">
        <f t="shared" si="39"/>
        <v>BUF</v>
      </c>
      <c r="E1223" s="2">
        <v>3</v>
      </c>
      <c r="F1223" s="2">
        <v>3</v>
      </c>
      <c r="G1223" s="2">
        <v>1</v>
      </c>
      <c r="H1223" s="2">
        <v>0</v>
      </c>
      <c r="I1223">
        <v>0</v>
      </c>
      <c r="J1223">
        <v>11</v>
      </c>
      <c r="K1223" t="str" cm="1">
        <f t="array" ref="K1223">IFERROR(_xlfn.XLOOKUP(D1223&amp;A1223, RBWR!A:A&amp;RBWR!C:C, RBWR!B:B), "N/A")</f>
        <v>N/A</v>
      </c>
      <c r="L1223" t="str" cm="1">
        <f t="array" ref="L1223">IFERROR(_xlfn.XLOOKUP(C1223&amp;A1223, RYOE!A:A&amp;RYOE!F:F, RYOE!C:C), "N/A")</f>
        <v>N/A</v>
      </c>
      <c r="M1223" t="str" cm="1">
        <f t="array" ref="M1223">IFERROR(_xlfn.XLOOKUP(C1223&amp;A1223, RYOE!A:A&amp;RYOE!F:F, RYOE!D:D), "N/A")</f>
        <v>N/A</v>
      </c>
      <c r="N1223" t="str" cm="1">
        <f t="array" ref="N1223">IFERROR(_xlfn.XLOOKUP(C1223&amp;A1223, RYOE!A:A&amp;RYOE!F:F, RYOE!E:E), "N/A")</f>
        <v>N/A</v>
      </c>
    </row>
    <row r="1224" spans="1:14" ht="15" customHeight="1" x14ac:dyDescent="0.45">
      <c r="A1224" s="7">
        <v>2019</v>
      </c>
      <c r="B1224" s="5" t="s">
        <v>692</v>
      </c>
      <c r="C1224" s="1" t="str">
        <f t="shared" si="38"/>
        <v>Roosevelt Nix</v>
      </c>
      <c r="D1224" s="1" t="str">
        <f t="shared" si="39"/>
        <v>PIT</v>
      </c>
      <c r="E1224" s="1">
        <v>0</v>
      </c>
      <c r="F1224" s="1">
        <v>0</v>
      </c>
      <c r="G1224" s="1">
        <v>0</v>
      </c>
      <c r="H1224" s="1">
        <v>0</v>
      </c>
      <c r="I1224">
        <v>0</v>
      </c>
      <c r="J1224">
        <v>3</v>
      </c>
      <c r="K1224" t="str" cm="1">
        <f t="array" ref="K1224">IFERROR(_xlfn.XLOOKUP(D1224&amp;A1224, RBWR!A:A&amp;RBWR!C:C, RBWR!B:B), "N/A")</f>
        <v>N/A</v>
      </c>
      <c r="L1224" t="str" cm="1">
        <f t="array" ref="L1224">IFERROR(_xlfn.XLOOKUP(C1224&amp;A1224, RYOE!A:A&amp;RYOE!F:F, RYOE!C:C), "N/A")</f>
        <v>N/A</v>
      </c>
      <c r="M1224" t="str" cm="1">
        <f t="array" ref="M1224">IFERROR(_xlfn.XLOOKUP(C1224&amp;A1224, RYOE!A:A&amp;RYOE!F:F, RYOE!D:D), "N/A")</f>
        <v>N/A</v>
      </c>
      <c r="N1224" t="str" cm="1">
        <f t="array" ref="N1224">IFERROR(_xlfn.XLOOKUP(C1224&amp;A1224, RYOE!A:A&amp;RYOE!F:F, RYOE!E:E), "N/A")</f>
        <v>N/A</v>
      </c>
    </row>
    <row r="1225" spans="1:14" ht="15" customHeight="1" x14ac:dyDescent="0.45">
      <c r="A1225" s="8">
        <v>2019</v>
      </c>
      <c r="B1225" s="6" t="s">
        <v>693</v>
      </c>
      <c r="C1225" s="2" t="str">
        <f t="shared" si="38"/>
        <v>James Develin</v>
      </c>
      <c r="D1225" s="2" t="str">
        <f t="shared" si="39"/>
        <v>NE</v>
      </c>
      <c r="E1225" s="2">
        <v>2</v>
      </c>
      <c r="F1225" s="2">
        <v>3</v>
      </c>
      <c r="G1225" s="2">
        <v>1.5</v>
      </c>
      <c r="H1225" s="2">
        <v>0</v>
      </c>
      <c r="I1225">
        <v>0</v>
      </c>
      <c r="J1225">
        <v>2</v>
      </c>
      <c r="K1225" t="str" cm="1">
        <f t="array" ref="K1225">IFERROR(_xlfn.XLOOKUP(D1225&amp;A1225, RBWR!A:A&amp;RBWR!C:C, RBWR!B:B), "N/A")</f>
        <v>N/A</v>
      </c>
      <c r="L1225" t="str" cm="1">
        <f t="array" ref="L1225">IFERROR(_xlfn.XLOOKUP(C1225&amp;A1225, RYOE!A:A&amp;RYOE!F:F, RYOE!C:C), "N/A")</f>
        <v>N/A</v>
      </c>
      <c r="M1225" t="str" cm="1">
        <f t="array" ref="M1225">IFERROR(_xlfn.XLOOKUP(C1225&amp;A1225, RYOE!A:A&amp;RYOE!F:F, RYOE!D:D), "N/A")</f>
        <v>N/A</v>
      </c>
      <c r="N1225" t="str" cm="1">
        <f t="array" ref="N1225">IFERROR(_xlfn.XLOOKUP(C1225&amp;A1225, RYOE!A:A&amp;RYOE!F:F, RYOE!E:E), "N/A")</f>
        <v>N/A</v>
      </c>
    </row>
    <row r="1226" spans="1:14" ht="15" customHeight="1" x14ac:dyDescent="0.45">
      <c r="A1226" s="7">
        <v>2019</v>
      </c>
      <c r="B1226" s="5" t="s">
        <v>694</v>
      </c>
      <c r="C1226" s="1" t="str">
        <f t="shared" si="38"/>
        <v>Jamaal Charles</v>
      </c>
      <c r="D1226" s="1" t="str">
        <f t="shared" si="39"/>
        <v>JAC</v>
      </c>
      <c r="E1226" s="1">
        <v>0</v>
      </c>
      <c r="F1226" s="1">
        <v>0</v>
      </c>
      <c r="G1226" s="1">
        <v>0</v>
      </c>
      <c r="H1226" s="1">
        <v>0</v>
      </c>
      <c r="I1226">
        <v>0</v>
      </c>
      <c r="J1226">
        <v>1</v>
      </c>
      <c r="K1226" t="str" cm="1">
        <f t="array" ref="K1226">IFERROR(_xlfn.XLOOKUP(D1226&amp;A1226, RBWR!A:A&amp;RBWR!C:C, RBWR!B:B), "N/A")</f>
        <v>N/A</v>
      </c>
      <c r="L1226" t="str" cm="1">
        <f t="array" ref="L1226">IFERROR(_xlfn.XLOOKUP(C1226&amp;A1226, RYOE!A:A&amp;RYOE!F:F, RYOE!C:C), "N/A")</f>
        <v>N/A</v>
      </c>
      <c r="M1226" t="str" cm="1">
        <f t="array" ref="M1226">IFERROR(_xlfn.XLOOKUP(C1226&amp;A1226, RYOE!A:A&amp;RYOE!F:F, RYOE!D:D), "N/A")</f>
        <v>N/A</v>
      </c>
      <c r="N1226" t="str" cm="1">
        <f t="array" ref="N1226">IFERROR(_xlfn.XLOOKUP(C1226&amp;A1226, RYOE!A:A&amp;RYOE!F:F, RYOE!E:E), "N/A")</f>
        <v>N/A</v>
      </c>
    </row>
    <row r="1227" spans="1:14" ht="15" customHeight="1" x14ac:dyDescent="0.45">
      <c r="A1227" s="8">
        <v>2019</v>
      </c>
      <c r="B1227" s="6" t="s">
        <v>695</v>
      </c>
      <c r="C1227" s="2" t="str">
        <f t="shared" si="38"/>
        <v>Jonathan Stewart</v>
      </c>
      <c r="D1227" s="2" t="str">
        <f t="shared" si="39"/>
        <v>NYG</v>
      </c>
      <c r="E1227" s="2">
        <v>0</v>
      </c>
      <c r="F1227" s="2">
        <v>0</v>
      </c>
      <c r="G1227" s="2">
        <v>0</v>
      </c>
      <c r="H1227" s="2">
        <v>0</v>
      </c>
      <c r="I1227">
        <v>0</v>
      </c>
      <c r="J1227">
        <v>1</v>
      </c>
      <c r="K1227" t="str" cm="1">
        <f t="array" ref="K1227">IFERROR(_xlfn.XLOOKUP(D1227&amp;A1227, RBWR!A:A&amp;RBWR!C:C, RBWR!B:B), "N/A")</f>
        <v>N/A</v>
      </c>
      <c r="L1227" t="str" cm="1">
        <f t="array" ref="L1227">IFERROR(_xlfn.XLOOKUP(C1227&amp;A1227, RYOE!A:A&amp;RYOE!F:F, RYOE!C:C), "N/A")</f>
        <v>N/A</v>
      </c>
      <c r="M1227" t="str" cm="1">
        <f t="array" ref="M1227">IFERROR(_xlfn.XLOOKUP(C1227&amp;A1227, RYOE!A:A&amp;RYOE!F:F, RYOE!D:D), "N/A")</f>
        <v>N/A</v>
      </c>
      <c r="N1227" t="str" cm="1">
        <f t="array" ref="N1227">IFERROR(_xlfn.XLOOKUP(C1227&amp;A1227, RYOE!A:A&amp;RYOE!F:F, RYOE!E:E), "N/A")</f>
        <v>N/A</v>
      </c>
    </row>
    <row r="1228" spans="1:14" ht="15" customHeight="1" x14ac:dyDescent="0.45">
      <c r="A1228" s="7">
        <v>2019</v>
      </c>
      <c r="B1228" s="5" t="s">
        <v>696</v>
      </c>
      <c r="C1228" s="1" t="str">
        <f t="shared" si="38"/>
        <v>LeGarrette Blount</v>
      </c>
      <c r="D1228" s="1" t="str">
        <f t="shared" si="39"/>
        <v>DET</v>
      </c>
      <c r="E1228" s="1">
        <v>0</v>
      </c>
      <c r="F1228" s="1">
        <v>0</v>
      </c>
      <c r="G1228" s="1">
        <v>0</v>
      </c>
      <c r="H1228" s="1">
        <v>0</v>
      </c>
      <c r="I1228">
        <v>0</v>
      </c>
      <c r="J1228">
        <v>1</v>
      </c>
      <c r="K1228" t="str" cm="1">
        <f t="array" ref="K1228">IFERROR(_xlfn.XLOOKUP(D1228&amp;A1228, RBWR!A:A&amp;RBWR!C:C, RBWR!B:B), "N/A")</f>
        <v>N/A</v>
      </c>
      <c r="L1228" t="str" cm="1">
        <f t="array" ref="L1228">IFERROR(_xlfn.XLOOKUP(C1228&amp;A1228, RYOE!A:A&amp;RYOE!F:F, RYOE!C:C), "N/A")</f>
        <v>N/A</v>
      </c>
      <c r="M1228" t="str" cm="1">
        <f t="array" ref="M1228">IFERROR(_xlfn.XLOOKUP(C1228&amp;A1228, RYOE!A:A&amp;RYOE!F:F, RYOE!D:D), "N/A")</f>
        <v>N/A</v>
      </c>
      <c r="N1228" t="str" cm="1">
        <f t="array" ref="N1228">IFERROR(_xlfn.XLOOKUP(C1228&amp;A1228, RYOE!A:A&amp;RYOE!F:F, RYOE!E:E), "N/A")</f>
        <v>N/A</v>
      </c>
    </row>
    <row r="1229" spans="1:14" ht="15" customHeight="1" x14ac:dyDescent="0.45">
      <c r="A1229" s="8">
        <v>2019</v>
      </c>
      <c r="B1229" s="6" t="s">
        <v>697</v>
      </c>
      <c r="C1229" s="2" t="str">
        <f t="shared" si="38"/>
        <v>Chris Ivory</v>
      </c>
      <c r="D1229" s="2" t="str">
        <f t="shared" si="39"/>
        <v>BUF</v>
      </c>
      <c r="E1229" s="2">
        <v>0</v>
      </c>
      <c r="F1229" s="2">
        <v>0</v>
      </c>
      <c r="G1229" s="2">
        <v>0</v>
      </c>
      <c r="H1229" s="2">
        <v>0</v>
      </c>
      <c r="I1229">
        <v>0</v>
      </c>
      <c r="J1229">
        <v>1</v>
      </c>
      <c r="K1229" t="str" cm="1">
        <f t="array" ref="K1229">IFERROR(_xlfn.XLOOKUP(D1229&amp;A1229, RBWR!A:A&amp;RBWR!C:C, RBWR!B:B), "N/A")</f>
        <v>N/A</v>
      </c>
      <c r="L1229" t="str" cm="1">
        <f t="array" ref="L1229">IFERROR(_xlfn.XLOOKUP(C1229&amp;A1229, RYOE!A:A&amp;RYOE!F:F, RYOE!C:C), "N/A")</f>
        <v>N/A</v>
      </c>
      <c r="M1229" t="str" cm="1">
        <f t="array" ref="M1229">IFERROR(_xlfn.XLOOKUP(C1229&amp;A1229, RYOE!A:A&amp;RYOE!F:F, RYOE!D:D), "N/A")</f>
        <v>N/A</v>
      </c>
      <c r="N1229" t="str" cm="1">
        <f t="array" ref="N1229">IFERROR(_xlfn.XLOOKUP(C1229&amp;A1229, RYOE!A:A&amp;RYOE!F:F, RYOE!E:E), "N/A")</f>
        <v>N/A</v>
      </c>
    </row>
    <row r="1230" spans="1:14" ht="15" customHeight="1" x14ac:dyDescent="0.45">
      <c r="A1230" s="7">
        <v>2019</v>
      </c>
      <c r="B1230" s="5" t="s">
        <v>698</v>
      </c>
      <c r="C1230" s="1" t="str">
        <f t="shared" si="38"/>
        <v>Stevan Ridley</v>
      </c>
      <c r="D1230" s="1" t="str">
        <f t="shared" si="39"/>
        <v>PIT</v>
      </c>
      <c r="E1230" s="1">
        <v>0</v>
      </c>
      <c r="F1230" s="1">
        <v>0</v>
      </c>
      <c r="G1230" s="1">
        <v>0</v>
      </c>
      <c r="H1230" s="1">
        <v>0</v>
      </c>
      <c r="I1230">
        <v>0</v>
      </c>
      <c r="J1230">
        <v>1</v>
      </c>
      <c r="K1230" t="str" cm="1">
        <f t="array" ref="K1230">IFERROR(_xlfn.XLOOKUP(D1230&amp;A1230, RBWR!A:A&amp;RBWR!C:C, RBWR!B:B), "N/A")</f>
        <v>N/A</v>
      </c>
      <c r="L1230" t="str" cm="1">
        <f t="array" ref="L1230">IFERROR(_xlfn.XLOOKUP(C1230&amp;A1230, RYOE!A:A&amp;RYOE!F:F, RYOE!C:C), "N/A")</f>
        <v>N/A</v>
      </c>
      <c r="M1230" t="str" cm="1">
        <f t="array" ref="M1230">IFERROR(_xlfn.XLOOKUP(C1230&amp;A1230, RYOE!A:A&amp;RYOE!F:F, RYOE!D:D), "N/A")</f>
        <v>N/A</v>
      </c>
      <c r="N1230" t="str" cm="1">
        <f t="array" ref="N1230">IFERROR(_xlfn.XLOOKUP(C1230&amp;A1230, RYOE!A:A&amp;RYOE!F:F, RYOE!E:E), "N/A")</f>
        <v>N/A</v>
      </c>
    </row>
    <row r="1231" spans="1:14" ht="15" customHeight="1" x14ac:dyDescent="0.45">
      <c r="A1231" s="8">
        <v>2019</v>
      </c>
      <c r="B1231" s="6" t="s">
        <v>699</v>
      </c>
      <c r="C1231" s="2" t="str">
        <f t="shared" si="38"/>
        <v>DuJuan Harris</v>
      </c>
      <c r="D1231" s="2" t="str">
        <f t="shared" si="39"/>
        <v>CIN</v>
      </c>
      <c r="E1231" s="2">
        <v>0</v>
      </c>
      <c r="F1231" s="2">
        <v>0</v>
      </c>
      <c r="G1231" s="2">
        <v>0</v>
      </c>
      <c r="H1231" s="2">
        <v>0</v>
      </c>
      <c r="I1231">
        <v>0</v>
      </c>
      <c r="J1231">
        <v>1</v>
      </c>
      <c r="K1231" t="str" cm="1">
        <f t="array" ref="K1231">IFERROR(_xlfn.XLOOKUP(D1231&amp;A1231, RBWR!A:A&amp;RBWR!C:C, RBWR!B:B), "N/A")</f>
        <v>N/A</v>
      </c>
      <c r="L1231" t="str" cm="1">
        <f t="array" ref="L1231">IFERROR(_xlfn.XLOOKUP(C1231&amp;A1231, RYOE!A:A&amp;RYOE!F:F, RYOE!C:C), "N/A")</f>
        <v>N/A</v>
      </c>
      <c r="M1231" t="str" cm="1">
        <f t="array" ref="M1231">IFERROR(_xlfn.XLOOKUP(C1231&amp;A1231, RYOE!A:A&amp;RYOE!F:F, RYOE!D:D), "N/A")</f>
        <v>N/A</v>
      </c>
      <c r="N1231" t="str" cm="1">
        <f t="array" ref="N1231">IFERROR(_xlfn.XLOOKUP(C1231&amp;A1231, RYOE!A:A&amp;RYOE!F:F, RYOE!E:E), "N/A")</f>
        <v>N/A</v>
      </c>
    </row>
    <row r="1232" spans="1:14" ht="15" customHeight="1" x14ac:dyDescent="0.45">
      <c r="A1232" s="7">
        <v>2019</v>
      </c>
      <c r="B1232" s="5" t="s">
        <v>700</v>
      </c>
      <c r="C1232" s="1" t="str">
        <f t="shared" si="38"/>
        <v>Lamar Miller</v>
      </c>
      <c r="D1232" s="1" t="str">
        <f t="shared" si="39"/>
        <v>HOU</v>
      </c>
      <c r="E1232" s="1">
        <v>0</v>
      </c>
      <c r="F1232" s="1">
        <v>0</v>
      </c>
      <c r="G1232" s="1">
        <v>0</v>
      </c>
      <c r="H1232" s="1">
        <v>0</v>
      </c>
      <c r="I1232">
        <v>0</v>
      </c>
      <c r="J1232">
        <v>1</v>
      </c>
      <c r="K1232" t="str" cm="1">
        <f t="array" ref="K1232">IFERROR(_xlfn.XLOOKUP(D1232&amp;A1232, RBWR!A:A&amp;RBWR!C:C, RBWR!B:B), "N/A")</f>
        <v>N/A</v>
      </c>
      <c r="L1232" t="str" cm="1">
        <f t="array" ref="L1232">IFERROR(_xlfn.XLOOKUP(C1232&amp;A1232, RYOE!A:A&amp;RYOE!F:F, RYOE!C:C), "N/A")</f>
        <v>N/A</v>
      </c>
      <c r="M1232" t="str" cm="1">
        <f t="array" ref="M1232">IFERROR(_xlfn.XLOOKUP(C1232&amp;A1232, RYOE!A:A&amp;RYOE!F:F, RYOE!D:D), "N/A")</f>
        <v>N/A</v>
      </c>
      <c r="N1232" t="str" cm="1">
        <f t="array" ref="N1232">IFERROR(_xlfn.XLOOKUP(C1232&amp;A1232, RYOE!A:A&amp;RYOE!F:F, RYOE!E:E), "N/A")</f>
        <v>N/A</v>
      </c>
    </row>
    <row r="1233" spans="1:14" ht="15" customHeight="1" x14ac:dyDescent="0.45">
      <c r="A1233" s="8">
        <v>2019</v>
      </c>
      <c r="B1233" s="6" t="s">
        <v>701</v>
      </c>
      <c r="C1233" s="2" t="str">
        <f t="shared" si="38"/>
        <v>Robert Turbin</v>
      </c>
      <c r="D1233" s="2" t="str">
        <f t="shared" si="39"/>
        <v>SEA</v>
      </c>
      <c r="E1233" s="2">
        <v>0</v>
      </c>
      <c r="F1233" s="2">
        <v>0</v>
      </c>
      <c r="G1233" s="2">
        <v>0</v>
      </c>
      <c r="H1233" s="2">
        <v>0</v>
      </c>
      <c r="I1233">
        <v>0</v>
      </c>
      <c r="J1233">
        <v>2</v>
      </c>
      <c r="K1233" t="str" cm="1">
        <f t="array" ref="K1233">IFERROR(_xlfn.XLOOKUP(D1233&amp;A1233, RBWR!A:A&amp;RBWR!C:C, RBWR!B:B), "N/A")</f>
        <v>N/A</v>
      </c>
      <c r="L1233" t="str" cm="1">
        <f t="array" ref="L1233">IFERROR(_xlfn.XLOOKUP(C1233&amp;A1233, RYOE!A:A&amp;RYOE!F:F, RYOE!C:C), "N/A")</f>
        <v>N/A</v>
      </c>
      <c r="M1233" t="str" cm="1">
        <f t="array" ref="M1233">IFERROR(_xlfn.XLOOKUP(C1233&amp;A1233, RYOE!A:A&amp;RYOE!F:F, RYOE!D:D), "N/A")</f>
        <v>N/A</v>
      </c>
      <c r="N1233" t="str" cm="1">
        <f t="array" ref="N1233">IFERROR(_xlfn.XLOOKUP(C1233&amp;A1233, RYOE!A:A&amp;RYOE!F:F, RYOE!E:E), "N/A")</f>
        <v>N/A</v>
      </c>
    </row>
    <row r="1234" spans="1:14" ht="15" customHeight="1" x14ac:dyDescent="0.45">
      <c r="A1234" s="7">
        <v>2019</v>
      </c>
      <c r="B1234" s="5" t="s">
        <v>702</v>
      </c>
      <c r="C1234" s="1" t="str">
        <f t="shared" si="38"/>
        <v>Travaris Cadet</v>
      </c>
      <c r="D1234" s="1" t="str">
        <f t="shared" si="39"/>
        <v>CAR</v>
      </c>
      <c r="E1234" s="1">
        <v>0</v>
      </c>
      <c r="F1234" s="1">
        <v>0</v>
      </c>
      <c r="G1234" s="1">
        <v>0</v>
      </c>
      <c r="H1234" s="1">
        <v>0</v>
      </c>
      <c r="I1234">
        <v>0</v>
      </c>
      <c r="J1234">
        <v>1</v>
      </c>
      <c r="K1234" t="str" cm="1">
        <f t="array" ref="K1234">IFERROR(_xlfn.XLOOKUP(D1234&amp;A1234, RBWR!A:A&amp;RBWR!C:C, RBWR!B:B), "N/A")</f>
        <v>N/A</v>
      </c>
      <c r="L1234" t="str" cm="1">
        <f t="array" ref="L1234">IFERROR(_xlfn.XLOOKUP(C1234&amp;A1234, RYOE!A:A&amp;RYOE!F:F, RYOE!C:C), "N/A")</f>
        <v>N/A</v>
      </c>
      <c r="M1234" t="str" cm="1">
        <f t="array" ref="M1234">IFERROR(_xlfn.XLOOKUP(C1234&amp;A1234, RYOE!A:A&amp;RYOE!F:F, RYOE!D:D), "N/A")</f>
        <v>N/A</v>
      </c>
      <c r="N1234" t="str" cm="1">
        <f t="array" ref="N1234">IFERROR(_xlfn.XLOOKUP(C1234&amp;A1234, RYOE!A:A&amp;RYOE!F:F, RYOE!E:E), "N/A")</f>
        <v>N/A</v>
      </c>
    </row>
    <row r="1235" spans="1:14" ht="15" customHeight="1" x14ac:dyDescent="0.45">
      <c r="A1235" s="8">
        <v>2019</v>
      </c>
      <c r="B1235" s="6" t="s">
        <v>703</v>
      </c>
      <c r="C1235" s="2" t="str">
        <f t="shared" si="38"/>
        <v>Jamize Olawale</v>
      </c>
      <c r="D1235" s="2" t="str">
        <f t="shared" si="39"/>
        <v>DAL</v>
      </c>
      <c r="E1235" s="2">
        <v>0</v>
      </c>
      <c r="F1235" s="2">
        <v>0</v>
      </c>
      <c r="G1235" s="2">
        <v>0</v>
      </c>
      <c r="H1235" s="2">
        <v>0</v>
      </c>
      <c r="I1235">
        <v>0</v>
      </c>
      <c r="J1235">
        <v>16</v>
      </c>
      <c r="K1235" t="str" cm="1">
        <f t="array" ref="K1235">IFERROR(_xlfn.XLOOKUP(D1235&amp;A1235, RBWR!A:A&amp;RBWR!C:C, RBWR!B:B), "N/A")</f>
        <v>N/A</v>
      </c>
      <c r="L1235" t="str" cm="1">
        <f t="array" ref="L1235">IFERROR(_xlfn.XLOOKUP(C1235&amp;A1235, RYOE!A:A&amp;RYOE!F:F, RYOE!C:C), "N/A")</f>
        <v>N/A</v>
      </c>
      <c r="M1235" t="str" cm="1">
        <f t="array" ref="M1235">IFERROR(_xlfn.XLOOKUP(C1235&amp;A1235, RYOE!A:A&amp;RYOE!F:F, RYOE!D:D), "N/A")</f>
        <v>N/A</v>
      </c>
      <c r="N1235" t="str" cm="1">
        <f t="array" ref="N1235">IFERROR(_xlfn.XLOOKUP(C1235&amp;A1235, RYOE!A:A&amp;RYOE!F:F, RYOE!E:E), "N/A")</f>
        <v>N/A</v>
      </c>
    </row>
    <row r="1236" spans="1:14" ht="15" customHeight="1" x14ac:dyDescent="0.45">
      <c r="A1236" s="7">
        <v>2019</v>
      </c>
      <c r="B1236" s="5" t="s">
        <v>704</v>
      </c>
      <c r="C1236" s="1" t="str">
        <f t="shared" si="38"/>
        <v>Mike Gillislee</v>
      </c>
      <c r="D1236" s="1" t="str">
        <f t="shared" si="39"/>
        <v>NO</v>
      </c>
      <c r="E1236" s="1">
        <v>0</v>
      </c>
      <c r="F1236" s="1">
        <v>0</v>
      </c>
      <c r="G1236" s="1">
        <v>0</v>
      </c>
      <c r="H1236" s="1">
        <v>0</v>
      </c>
      <c r="I1236">
        <v>0</v>
      </c>
      <c r="J1236">
        <v>1</v>
      </c>
      <c r="K1236" t="str" cm="1">
        <f t="array" ref="K1236">IFERROR(_xlfn.XLOOKUP(D1236&amp;A1236, RBWR!A:A&amp;RBWR!C:C, RBWR!B:B), "N/A")</f>
        <v>N/A</v>
      </c>
      <c r="L1236" t="str" cm="1">
        <f t="array" ref="L1236">IFERROR(_xlfn.XLOOKUP(C1236&amp;A1236, RYOE!A:A&amp;RYOE!F:F, RYOE!C:C), "N/A")</f>
        <v>N/A</v>
      </c>
      <c r="M1236" t="str" cm="1">
        <f t="array" ref="M1236">IFERROR(_xlfn.XLOOKUP(C1236&amp;A1236, RYOE!A:A&amp;RYOE!F:F, RYOE!D:D), "N/A")</f>
        <v>N/A</v>
      </c>
      <c r="N1236" t="str" cm="1">
        <f t="array" ref="N1236">IFERROR(_xlfn.XLOOKUP(C1236&amp;A1236, RYOE!A:A&amp;RYOE!F:F, RYOE!E:E), "N/A")</f>
        <v>N/A</v>
      </c>
    </row>
    <row r="1237" spans="1:14" ht="15" customHeight="1" x14ac:dyDescent="0.45">
      <c r="A1237" s="8">
        <v>2019</v>
      </c>
      <c r="B1237" s="6" t="s">
        <v>705</v>
      </c>
      <c r="C1237" s="2" t="str">
        <f t="shared" si="38"/>
        <v>Christine Michael</v>
      </c>
      <c r="D1237" s="2" t="str">
        <f t="shared" si="39"/>
        <v>IND</v>
      </c>
      <c r="E1237" s="2">
        <v>0</v>
      </c>
      <c r="F1237" s="2">
        <v>0</v>
      </c>
      <c r="G1237" s="2">
        <v>0</v>
      </c>
      <c r="H1237" s="2">
        <v>0</v>
      </c>
      <c r="I1237">
        <v>0</v>
      </c>
      <c r="J1237">
        <v>1</v>
      </c>
      <c r="K1237" t="str" cm="1">
        <f t="array" ref="K1237">IFERROR(_xlfn.XLOOKUP(D1237&amp;A1237, RBWR!A:A&amp;RBWR!C:C, RBWR!B:B), "N/A")</f>
        <v>N/A</v>
      </c>
      <c r="L1237" t="str" cm="1">
        <f t="array" ref="L1237">IFERROR(_xlfn.XLOOKUP(C1237&amp;A1237, RYOE!A:A&amp;RYOE!F:F, RYOE!C:C), "N/A")</f>
        <v>N/A</v>
      </c>
      <c r="M1237" t="str" cm="1">
        <f t="array" ref="M1237">IFERROR(_xlfn.XLOOKUP(C1237&amp;A1237, RYOE!A:A&amp;RYOE!F:F, RYOE!D:D), "N/A")</f>
        <v>N/A</v>
      </c>
      <c r="N1237" t="str" cm="1">
        <f t="array" ref="N1237">IFERROR(_xlfn.XLOOKUP(C1237&amp;A1237, RYOE!A:A&amp;RYOE!F:F, RYOE!E:E), "N/A")</f>
        <v>N/A</v>
      </c>
    </row>
    <row r="1238" spans="1:14" ht="15" customHeight="1" x14ac:dyDescent="0.45">
      <c r="A1238" s="7">
        <v>2019</v>
      </c>
      <c r="B1238" s="5" t="s">
        <v>706</v>
      </c>
      <c r="C1238" s="1" t="str">
        <f t="shared" si="38"/>
        <v>Derrick Coleman</v>
      </c>
      <c r="D1238" s="1" t="str">
        <f t="shared" si="39"/>
        <v>ARI</v>
      </c>
      <c r="E1238" s="1">
        <v>0</v>
      </c>
      <c r="F1238" s="1">
        <v>0</v>
      </c>
      <c r="G1238" s="1">
        <v>0</v>
      </c>
      <c r="H1238" s="1">
        <v>0</v>
      </c>
      <c r="I1238">
        <v>0</v>
      </c>
      <c r="J1238">
        <v>1</v>
      </c>
      <c r="K1238" t="str" cm="1">
        <f t="array" ref="K1238">IFERROR(_xlfn.XLOOKUP(D1238&amp;A1238, RBWR!A:A&amp;RBWR!C:C, RBWR!B:B), "N/A")</f>
        <v>N/A</v>
      </c>
      <c r="L1238" t="str" cm="1">
        <f t="array" ref="L1238">IFERROR(_xlfn.XLOOKUP(C1238&amp;A1238, RYOE!A:A&amp;RYOE!F:F, RYOE!C:C), "N/A")</f>
        <v>N/A</v>
      </c>
      <c r="M1238" t="str" cm="1">
        <f t="array" ref="M1238">IFERROR(_xlfn.XLOOKUP(C1238&amp;A1238, RYOE!A:A&amp;RYOE!F:F, RYOE!D:D), "N/A")</f>
        <v>N/A</v>
      </c>
      <c r="N1238" t="str" cm="1">
        <f t="array" ref="N1238">IFERROR(_xlfn.XLOOKUP(C1238&amp;A1238, RYOE!A:A&amp;RYOE!F:F, RYOE!E:E), "N/A")</f>
        <v>N/A</v>
      </c>
    </row>
    <row r="1239" spans="1:14" ht="15" customHeight="1" x14ac:dyDescent="0.45">
      <c r="A1239" s="8">
        <v>2019</v>
      </c>
      <c r="B1239" s="6" t="s">
        <v>707</v>
      </c>
      <c r="C1239" s="2" t="str">
        <f t="shared" si="38"/>
        <v>Jeremy Hill</v>
      </c>
      <c r="D1239" s="2" t="str">
        <f t="shared" si="39"/>
        <v>NE</v>
      </c>
      <c r="E1239" s="2">
        <v>0</v>
      </c>
      <c r="F1239" s="2">
        <v>0</v>
      </c>
      <c r="G1239" s="2">
        <v>0</v>
      </c>
      <c r="H1239" s="2">
        <v>0</v>
      </c>
      <c r="I1239">
        <v>0</v>
      </c>
      <c r="J1239">
        <v>1</v>
      </c>
      <c r="K1239" t="str" cm="1">
        <f t="array" ref="K1239">IFERROR(_xlfn.XLOOKUP(D1239&amp;A1239, RBWR!A:A&amp;RBWR!C:C, RBWR!B:B), "N/A")</f>
        <v>N/A</v>
      </c>
      <c r="L1239" t="str" cm="1">
        <f t="array" ref="L1239">IFERROR(_xlfn.XLOOKUP(C1239&amp;A1239, RYOE!A:A&amp;RYOE!F:F, RYOE!C:C), "N/A")</f>
        <v>N/A</v>
      </c>
      <c r="M1239" t="str" cm="1">
        <f t="array" ref="M1239">IFERROR(_xlfn.XLOOKUP(C1239&amp;A1239, RYOE!A:A&amp;RYOE!F:F, RYOE!D:D), "N/A")</f>
        <v>N/A</v>
      </c>
      <c r="N1239" t="str" cm="1">
        <f t="array" ref="N1239">IFERROR(_xlfn.XLOOKUP(C1239&amp;A1239, RYOE!A:A&amp;RYOE!F:F, RYOE!E:E), "N/A")</f>
        <v>N/A</v>
      </c>
    </row>
    <row r="1240" spans="1:14" ht="15" customHeight="1" x14ac:dyDescent="0.45">
      <c r="A1240" s="7">
        <v>2019</v>
      </c>
      <c r="B1240" s="5" t="s">
        <v>708</v>
      </c>
      <c r="C1240" s="1" t="str">
        <f t="shared" si="38"/>
        <v>David Fluellen</v>
      </c>
      <c r="D1240" s="1" t="str">
        <f t="shared" si="39"/>
        <v>TEN</v>
      </c>
      <c r="E1240" s="1">
        <v>0</v>
      </c>
      <c r="F1240" s="1">
        <v>0</v>
      </c>
      <c r="G1240" s="1">
        <v>0</v>
      </c>
      <c r="H1240" s="1">
        <v>0</v>
      </c>
      <c r="I1240">
        <v>0</v>
      </c>
      <c r="J1240">
        <v>2</v>
      </c>
      <c r="K1240" t="str" cm="1">
        <f t="array" ref="K1240">IFERROR(_xlfn.XLOOKUP(D1240&amp;A1240, RBWR!A:A&amp;RBWR!C:C, RBWR!B:B), "N/A")</f>
        <v>N/A</v>
      </c>
      <c r="L1240" t="str" cm="1">
        <f t="array" ref="L1240">IFERROR(_xlfn.XLOOKUP(C1240&amp;A1240, RYOE!A:A&amp;RYOE!F:F, RYOE!C:C), "N/A")</f>
        <v>N/A</v>
      </c>
      <c r="M1240" t="str" cm="1">
        <f t="array" ref="M1240">IFERROR(_xlfn.XLOOKUP(C1240&amp;A1240, RYOE!A:A&amp;RYOE!F:F, RYOE!D:D), "N/A")</f>
        <v>N/A</v>
      </c>
      <c r="N1240" t="str" cm="1">
        <f t="array" ref="N1240">IFERROR(_xlfn.XLOOKUP(C1240&amp;A1240, RYOE!A:A&amp;RYOE!F:F, RYOE!E:E), "N/A")</f>
        <v>N/A</v>
      </c>
    </row>
    <row r="1241" spans="1:14" ht="15" customHeight="1" x14ac:dyDescent="0.45">
      <c r="A1241" s="8">
        <v>2019</v>
      </c>
      <c r="B1241" s="6" t="s">
        <v>709</v>
      </c>
      <c r="C1241" s="2" t="str">
        <f t="shared" si="38"/>
        <v>Cameron Artis-Payne</v>
      </c>
      <c r="D1241" s="2" t="str">
        <f t="shared" si="39"/>
        <v>CAR</v>
      </c>
      <c r="E1241" s="2">
        <v>0</v>
      </c>
      <c r="F1241" s="2">
        <v>0</v>
      </c>
      <c r="G1241" s="2">
        <v>0</v>
      </c>
      <c r="H1241" s="2">
        <v>0</v>
      </c>
      <c r="I1241">
        <v>0</v>
      </c>
      <c r="J1241">
        <v>1</v>
      </c>
      <c r="K1241" t="str" cm="1">
        <f t="array" ref="K1241">IFERROR(_xlfn.XLOOKUP(D1241&amp;A1241, RBWR!A:A&amp;RBWR!C:C, RBWR!B:B), "N/A")</f>
        <v>N/A</v>
      </c>
      <c r="L1241" t="str" cm="1">
        <f t="array" ref="L1241">IFERROR(_xlfn.XLOOKUP(C1241&amp;A1241, RYOE!A:A&amp;RYOE!F:F, RYOE!C:C), "N/A")</f>
        <v>N/A</v>
      </c>
      <c r="M1241" t="str" cm="1">
        <f t="array" ref="M1241">IFERROR(_xlfn.XLOOKUP(C1241&amp;A1241, RYOE!A:A&amp;RYOE!F:F, RYOE!D:D), "N/A")</f>
        <v>N/A</v>
      </c>
      <c r="N1241" t="str" cm="1">
        <f t="array" ref="N1241">IFERROR(_xlfn.XLOOKUP(C1241&amp;A1241, RYOE!A:A&amp;RYOE!F:F, RYOE!E:E), "N/A")</f>
        <v>N/A</v>
      </c>
    </row>
    <row r="1242" spans="1:14" ht="15" customHeight="1" x14ac:dyDescent="0.45">
      <c r="A1242" s="7">
        <v>2019</v>
      </c>
      <c r="B1242" s="5" t="s">
        <v>710</v>
      </c>
      <c r="C1242" s="1" t="str">
        <f t="shared" si="38"/>
        <v>Jeremy Langford</v>
      </c>
      <c r="D1242" s="1" t="str">
        <f t="shared" si="39"/>
        <v>ATL</v>
      </c>
      <c r="E1242" s="1">
        <v>0</v>
      </c>
      <c r="F1242" s="1">
        <v>0</v>
      </c>
      <c r="G1242" s="1">
        <v>0</v>
      </c>
      <c r="H1242" s="1">
        <v>0</v>
      </c>
      <c r="I1242">
        <v>0</v>
      </c>
      <c r="J1242">
        <v>1</v>
      </c>
      <c r="K1242" t="str" cm="1">
        <f t="array" ref="K1242">IFERROR(_xlfn.XLOOKUP(D1242&amp;A1242, RBWR!A:A&amp;RBWR!C:C, RBWR!B:B), "N/A")</f>
        <v>N/A</v>
      </c>
      <c r="L1242" t="str" cm="1">
        <f t="array" ref="L1242">IFERROR(_xlfn.XLOOKUP(C1242&amp;A1242, RYOE!A:A&amp;RYOE!F:F, RYOE!C:C), "N/A")</f>
        <v>N/A</v>
      </c>
      <c r="M1242" t="str" cm="1">
        <f t="array" ref="M1242">IFERROR(_xlfn.XLOOKUP(C1242&amp;A1242, RYOE!A:A&amp;RYOE!F:F, RYOE!D:D), "N/A")</f>
        <v>N/A</v>
      </c>
      <c r="N1242" t="str" cm="1">
        <f t="array" ref="N1242">IFERROR(_xlfn.XLOOKUP(C1242&amp;A1242, RYOE!A:A&amp;RYOE!F:F, RYOE!E:E), "N/A")</f>
        <v>N/A</v>
      </c>
    </row>
    <row r="1243" spans="1:14" ht="15" customHeight="1" x14ac:dyDescent="0.45">
      <c r="A1243" s="8">
        <v>2019</v>
      </c>
      <c r="B1243" s="6" t="s">
        <v>711</v>
      </c>
      <c r="C1243" s="2" t="str">
        <f t="shared" si="38"/>
        <v>Michael Burton</v>
      </c>
      <c r="D1243" s="2" t="str">
        <f t="shared" si="39"/>
        <v>WAS</v>
      </c>
      <c r="E1243" s="2">
        <v>0</v>
      </c>
      <c r="F1243" s="2">
        <v>0</v>
      </c>
      <c r="G1243" s="2">
        <v>0</v>
      </c>
      <c r="H1243" s="2">
        <v>0</v>
      </c>
      <c r="I1243">
        <v>0</v>
      </c>
      <c r="J1243">
        <v>11</v>
      </c>
      <c r="K1243" t="str" cm="1">
        <f t="array" ref="K1243">IFERROR(_xlfn.XLOOKUP(D1243&amp;A1243, RBWR!A:A&amp;RBWR!C:C, RBWR!B:B), "N/A")</f>
        <v>N/A</v>
      </c>
      <c r="L1243" t="str" cm="1">
        <f t="array" ref="L1243">IFERROR(_xlfn.XLOOKUP(C1243&amp;A1243, RYOE!A:A&amp;RYOE!F:F, RYOE!C:C), "N/A")</f>
        <v>N/A</v>
      </c>
      <c r="M1243" t="str" cm="1">
        <f t="array" ref="M1243">IFERROR(_xlfn.XLOOKUP(C1243&amp;A1243, RYOE!A:A&amp;RYOE!F:F, RYOE!D:D), "N/A")</f>
        <v>N/A</v>
      </c>
      <c r="N1243" t="str" cm="1">
        <f t="array" ref="N1243">IFERROR(_xlfn.XLOOKUP(C1243&amp;A1243, RYOE!A:A&amp;RYOE!F:F, RYOE!E:E), "N/A")</f>
        <v>N/A</v>
      </c>
    </row>
    <row r="1244" spans="1:14" ht="15" customHeight="1" x14ac:dyDescent="0.45">
      <c r="A1244" s="7">
        <v>2019</v>
      </c>
      <c r="B1244" s="5" t="s">
        <v>712</v>
      </c>
      <c r="C1244" s="1" t="str">
        <f t="shared" si="38"/>
        <v>Rod Smith</v>
      </c>
      <c r="D1244" s="1" t="str">
        <f t="shared" si="39"/>
        <v>OAK</v>
      </c>
      <c r="E1244" s="1">
        <v>0</v>
      </c>
      <c r="F1244" s="1">
        <v>0</v>
      </c>
      <c r="G1244" s="1">
        <v>0</v>
      </c>
      <c r="H1244" s="1">
        <v>0</v>
      </c>
      <c r="I1244">
        <v>0</v>
      </c>
      <c r="J1244">
        <v>7</v>
      </c>
      <c r="K1244" t="str" cm="1">
        <f t="array" ref="K1244">IFERROR(_xlfn.XLOOKUP(D1244&amp;A1244, RBWR!A:A&amp;RBWR!C:C, RBWR!B:B), "N/A")</f>
        <v>N/A</v>
      </c>
      <c r="L1244" t="str" cm="1">
        <f t="array" ref="L1244">IFERROR(_xlfn.XLOOKUP(C1244&amp;A1244, RYOE!A:A&amp;RYOE!F:F, RYOE!C:C), "N/A")</f>
        <v>N/A</v>
      </c>
      <c r="M1244" t="str" cm="1">
        <f t="array" ref="M1244">IFERROR(_xlfn.XLOOKUP(C1244&amp;A1244, RYOE!A:A&amp;RYOE!F:F, RYOE!D:D), "N/A")</f>
        <v>N/A</v>
      </c>
      <c r="N1244" t="str" cm="1">
        <f t="array" ref="N1244">IFERROR(_xlfn.XLOOKUP(C1244&amp;A1244, RYOE!A:A&amp;RYOE!F:F, RYOE!E:E), "N/A")</f>
        <v>N/A</v>
      </c>
    </row>
    <row r="1245" spans="1:14" ht="15" customHeight="1" x14ac:dyDescent="0.45">
      <c r="A1245" s="8">
        <v>2019</v>
      </c>
      <c r="B1245" s="6" t="s">
        <v>713</v>
      </c>
      <c r="C1245" s="2" t="str">
        <f t="shared" si="38"/>
        <v>Alex Collins</v>
      </c>
      <c r="D1245" s="2" t="str">
        <f t="shared" si="39"/>
        <v>BAL</v>
      </c>
      <c r="E1245" s="2">
        <v>0</v>
      </c>
      <c r="F1245" s="2">
        <v>0</v>
      </c>
      <c r="G1245" s="2">
        <v>0</v>
      </c>
      <c r="H1245" s="2">
        <v>0</v>
      </c>
      <c r="I1245">
        <v>0</v>
      </c>
      <c r="J1245">
        <v>1</v>
      </c>
      <c r="K1245" t="str" cm="1">
        <f t="array" ref="K1245">IFERROR(_xlfn.XLOOKUP(D1245&amp;A1245, RBWR!A:A&amp;RBWR!C:C, RBWR!B:B), "N/A")</f>
        <v>N/A</v>
      </c>
      <c r="L1245" t="str" cm="1">
        <f t="array" ref="L1245">IFERROR(_xlfn.XLOOKUP(C1245&amp;A1245, RYOE!A:A&amp;RYOE!F:F, RYOE!C:C), "N/A")</f>
        <v>N/A</v>
      </c>
      <c r="M1245" t="str" cm="1">
        <f t="array" ref="M1245">IFERROR(_xlfn.XLOOKUP(C1245&amp;A1245, RYOE!A:A&amp;RYOE!F:F, RYOE!D:D), "N/A")</f>
        <v>N/A</v>
      </c>
      <c r="N1245" t="str" cm="1">
        <f t="array" ref="N1245">IFERROR(_xlfn.XLOOKUP(C1245&amp;A1245, RYOE!A:A&amp;RYOE!F:F, RYOE!E:E), "N/A")</f>
        <v>N/A</v>
      </c>
    </row>
    <row r="1246" spans="1:14" ht="15" customHeight="1" x14ac:dyDescent="0.45">
      <c r="A1246" s="7">
        <v>2019</v>
      </c>
      <c r="B1246" s="5" t="s">
        <v>714</v>
      </c>
      <c r="C1246" s="1" t="str">
        <f t="shared" si="38"/>
        <v>Kenneth Dixon</v>
      </c>
      <c r="D1246" s="1" t="str">
        <f t="shared" si="39"/>
        <v>BAL</v>
      </c>
      <c r="E1246" s="1">
        <v>0</v>
      </c>
      <c r="F1246" s="1">
        <v>0</v>
      </c>
      <c r="G1246" s="1">
        <v>0</v>
      </c>
      <c r="H1246" s="1">
        <v>0</v>
      </c>
      <c r="I1246">
        <v>0</v>
      </c>
      <c r="J1246">
        <v>1</v>
      </c>
      <c r="K1246" t="str" cm="1">
        <f t="array" ref="K1246">IFERROR(_xlfn.XLOOKUP(D1246&amp;A1246, RBWR!A:A&amp;RBWR!C:C, RBWR!B:B), "N/A")</f>
        <v>N/A</v>
      </c>
      <c r="L1246" t="str" cm="1">
        <f t="array" ref="L1246">IFERROR(_xlfn.XLOOKUP(C1246&amp;A1246, RYOE!A:A&amp;RYOE!F:F, RYOE!C:C), "N/A")</f>
        <v>N/A</v>
      </c>
      <c r="M1246" t="str" cm="1">
        <f t="array" ref="M1246">IFERROR(_xlfn.XLOOKUP(C1246&amp;A1246, RYOE!A:A&amp;RYOE!F:F, RYOE!D:D), "N/A")</f>
        <v>N/A</v>
      </c>
      <c r="N1246" t="str" cm="1">
        <f t="array" ref="N1246">IFERROR(_xlfn.XLOOKUP(C1246&amp;A1246, RYOE!A:A&amp;RYOE!F:F, RYOE!E:E), "N/A")</f>
        <v>N/A</v>
      </c>
    </row>
    <row r="1247" spans="1:14" ht="15" customHeight="1" x14ac:dyDescent="0.45">
      <c r="A1247" s="8">
        <v>2019</v>
      </c>
      <c r="B1247" s="6" t="s">
        <v>609</v>
      </c>
      <c r="C1247" s="2" t="str">
        <f t="shared" si="38"/>
        <v>D.J. Foster</v>
      </c>
      <c r="D1247" s="2" t="str">
        <f t="shared" si="39"/>
        <v>ARI</v>
      </c>
      <c r="E1247" s="2">
        <v>0</v>
      </c>
      <c r="F1247" s="2">
        <v>0</v>
      </c>
      <c r="G1247" s="2">
        <v>0</v>
      </c>
      <c r="H1247" s="2">
        <v>0</v>
      </c>
      <c r="I1247">
        <v>0</v>
      </c>
      <c r="J1247">
        <v>6</v>
      </c>
      <c r="K1247" t="str" cm="1">
        <f t="array" ref="K1247">IFERROR(_xlfn.XLOOKUP(D1247&amp;A1247, RBWR!A:A&amp;RBWR!C:C, RBWR!B:B), "N/A")</f>
        <v>N/A</v>
      </c>
      <c r="L1247" t="str" cm="1">
        <f t="array" ref="L1247">IFERROR(_xlfn.XLOOKUP(C1247&amp;A1247, RYOE!A:A&amp;RYOE!F:F, RYOE!C:C), "N/A")</f>
        <v>N/A</v>
      </c>
      <c r="M1247" t="str" cm="1">
        <f t="array" ref="M1247">IFERROR(_xlfn.XLOOKUP(C1247&amp;A1247, RYOE!A:A&amp;RYOE!F:F, RYOE!D:D), "N/A")</f>
        <v>N/A</v>
      </c>
      <c r="N1247" t="str" cm="1">
        <f t="array" ref="N1247">IFERROR(_xlfn.XLOOKUP(C1247&amp;A1247, RYOE!A:A&amp;RYOE!F:F, RYOE!E:E), "N/A")</f>
        <v>N/A</v>
      </c>
    </row>
    <row r="1248" spans="1:14" ht="15" customHeight="1" x14ac:dyDescent="0.45">
      <c r="A1248" s="7">
        <v>2019</v>
      </c>
      <c r="B1248" s="5" t="s">
        <v>531</v>
      </c>
      <c r="C1248" s="1" t="str">
        <f t="shared" si="38"/>
        <v>J.P. Holtz</v>
      </c>
      <c r="D1248" s="1" t="str">
        <f t="shared" si="39"/>
        <v>CHI</v>
      </c>
      <c r="E1248" s="1">
        <v>0</v>
      </c>
      <c r="F1248" s="1">
        <v>0</v>
      </c>
      <c r="G1248" s="1">
        <v>0</v>
      </c>
      <c r="H1248" s="1">
        <v>0</v>
      </c>
      <c r="I1248">
        <v>0</v>
      </c>
      <c r="J1248">
        <v>15</v>
      </c>
      <c r="K1248" t="str" cm="1">
        <f t="array" ref="K1248">IFERROR(_xlfn.XLOOKUP(D1248&amp;A1248, RBWR!A:A&amp;RBWR!C:C, RBWR!B:B), "N/A")</f>
        <v>N/A</v>
      </c>
      <c r="L1248" t="str" cm="1">
        <f t="array" ref="L1248">IFERROR(_xlfn.XLOOKUP(C1248&amp;A1248, RYOE!A:A&amp;RYOE!F:F, RYOE!C:C), "N/A")</f>
        <v>N/A</v>
      </c>
      <c r="M1248" t="str" cm="1">
        <f t="array" ref="M1248">IFERROR(_xlfn.XLOOKUP(C1248&amp;A1248, RYOE!A:A&amp;RYOE!F:F, RYOE!D:D), "N/A")</f>
        <v>N/A</v>
      </c>
      <c r="N1248" t="str" cm="1">
        <f t="array" ref="N1248">IFERROR(_xlfn.XLOOKUP(C1248&amp;A1248, RYOE!A:A&amp;RYOE!F:F, RYOE!E:E), "N/A")</f>
        <v>N/A</v>
      </c>
    </row>
    <row r="1249" spans="1:14" ht="15" customHeight="1" x14ac:dyDescent="0.45">
      <c r="A1249" s="8">
        <v>2019</v>
      </c>
      <c r="B1249" s="6" t="s">
        <v>715</v>
      </c>
      <c r="C1249" s="2" t="str">
        <f t="shared" si="38"/>
        <v>Brandin Bryant</v>
      </c>
      <c r="D1249" s="2" t="str">
        <f t="shared" si="39"/>
        <v>CLE</v>
      </c>
      <c r="E1249" s="2">
        <v>0</v>
      </c>
      <c r="F1249" s="2">
        <v>0</v>
      </c>
      <c r="G1249" s="2">
        <v>0</v>
      </c>
      <c r="H1249" s="2">
        <v>0</v>
      </c>
      <c r="I1249">
        <v>0</v>
      </c>
      <c r="J1249">
        <v>4</v>
      </c>
      <c r="K1249" t="str" cm="1">
        <f t="array" ref="K1249">IFERROR(_xlfn.XLOOKUP(D1249&amp;A1249, RBWR!A:A&amp;RBWR!C:C, RBWR!B:B), "N/A")</f>
        <v>N/A</v>
      </c>
      <c r="L1249" t="str" cm="1">
        <f t="array" ref="L1249">IFERROR(_xlfn.XLOOKUP(C1249&amp;A1249, RYOE!A:A&amp;RYOE!F:F, RYOE!C:C), "N/A")</f>
        <v>N/A</v>
      </c>
      <c r="M1249" t="str" cm="1">
        <f t="array" ref="M1249">IFERROR(_xlfn.XLOOKUP(C1249&amp;A1249, RYOE!A:A&amp;RYOE!F:F, RYOE!D:D), "N/A")</f>
        <v>N/A</v>
      </c>
      <c r="N1249" t="str" cm="1">
        <f t="array" ref="N1249">IFERROR(_xlfn.XLOOKUP(C1249&amp;A1249, RYOE!A:A&amp;RYOE!F:F, RYOE!E:E), "N/A")</f>
        <v>N/A</v>
      </c>
    </row>
    <row r="1250" spans="1:14" ht="15" customHeight="1" x14ac:dyDescent="0.45">
      <c r="A1250" s="7">
        <v>2019</v>
      </c>
      <c r="B1250" s="5" t="s">
        <v>716</v>
      </c>
      <c r="C1250" s="1" t="str">
        <f t="shared" si="38"/>
        <v>Tre Madden</v>
      </c>
      <c r="D1250" s="1" t="str">
        <f t="shared" si="39"/>
        <v>SEA</v>
      </c>
      <c r="E1250" s="1">
        <v>0</v>
      </c>
      <c r="F1250" s="1">
        <v>0</v>
      </c>
      <c r="G1250" s="1">
        <v>0</v>
      </c>
      <c r="H1250" s="1">
        <v>0</v>
      </c>
      <c r="I1250">
        <v>0</v>
      </c>
      <c r="J1250">
        <v>1</v>
      </c>
      <c r="K1250" t="str" cm="1">
        <f t="array" ref="K1250">IFERROR(_xlfn.XLOOKUP(D1250&amp;A1250, RBWR!A:A&amp;RBWR!C:C, RBWR!B:B), "N/A")</f>
        <v>N/A</v>
      </c>
      <c r="L1250" t="str" cm="1">
        <f t="array" ref="L1250">IFERROR(_xlfn.XLOOKUP(C1250&amp;A1250, RYOE!A:A&amp;RYOE!F:F, RYOE!C:C), "N/A")</f>
        <v>N/A</v>
      </c>
      <c r="M1250" t="str" cm="1">
        <f t="array" ref="M1250">IFERROR(_xlfn.XLOOKUP(C1250&amp;A1250, RYOE!A:A&amp;RYOE!F:F, RYOE!D:D), "N/A")</f>
        <v>N/A</v>
      </c>
      <c r="N1250" t="str" cm="1">
        <f t="array" ref="N1250">IFERROR(_xlfn.XLOOKUP(C1250&amp;A1250, RYOE!A:A&amp;RYOE!F:F, RYOE!E:E), "N/A")</f>
        <v>N/A</v>
      </c>
    </row>
    <row r="1251" spans="1:14" ht="15" customHeight="1" x14ac:dyDescent="0.45">
      <c r="A1251" s="8">
        <v>2019</v>
      </c>
      <c r="B1251" s="6" t="s">
        <v>717</v>
      </c>
      <c r="C1251" s="2" t="str">
        <f t="shared" si="38"/>
        <v>Jeremy McNichols</v>
      </c>
      <c r="D1251" s="2" t="str">
        <f t="shared" si="39"/>
        <v>JAC</v>
      </c>
      <c r="E1251" s="2">
        <v>0</v>
      </c>
      <c r="F1251" s="2">
        <v>0</v>
      </c>
      <c r="G1251" s="2">
        <v>0</v>
      </c>
      <c r="H1251" s="2">
        <v>0</v>
      </c>
      <c r="I1251">
        <v>0</v>
      </c>
      <c r="J1251">
        <v>1</v>
      </c>
      <c r="K1251" t="str" cm="1">
        <f t="array" ref="K1251">IFERROR(_xlfn.XLOOKUP(D1251&amp;A1251, RBWR!A:A&amp;RBWR!C:C, RBWR!B:B), "N/A")</f>
        <v>N/A</v>
      </c>
      <c r="L1251" t="str" cm="1">
        <f t="array" ref="L1251">IFERROR(_xlfn.XLOOKUP(C1251&amp;A1251, RYOE!A:A&amp;RYOE!F:F, RYOE!C:C), "N/A")</f>
        <v>N/A</v>
      </c>
      <c r="M1251" t="str" cm="1">
        <f t="array" ref="M1251">IFERROR(_xlfn.XLOOKUP(C1251&amp;A1251, RYOE!A:A&amp;RYOE!F:F, RYOE!D:D), "N/A")</f>
        <v>N/A</v>
      </c>
      <c r="N1251" t="str" cm="1">
        <f t="array" ref="N1251">IFERROR(_xlfn.XLOOKUP(C1251&amp;A1251, RYOE!A:A&amp;RYOE!F:F, RYOE!E:E), "N/A")</f>
        <v>N/A</v>
      </c>
    </row>
    <row r="1252" spans="1:14" ht="15" customHeight="1" x14ac:dyDescent="0.45">
      <c r="A1252" s="7">
        <v>2019</v>
      </c>
      <c r="B1252" s="5" t="s">
        <v>718</v>
      </c>
      <c r="C1252" s="1" t="str">
        <f t="shared" si="38"/>
        <v>Joe Williams</v>
      </c>
      <c r="D1252" s="1" t="str">
        <f t="shared" si="39"/>
        <v>NO</v>
      </c>
      <c r="E1252" s="1">
        <v>0</v>
      </c>
      <c r="F1252" s="1">
        <v>0</v>
      </c>
      <c r="G1252" s="1">
        <v>0</v>
      </c>
      <c r="H1252" s="1">
        <v>0</v>
      </c>
      <c r="I1252">
        <v>0</v>
      </c>
      <c r="J1252">
        <v>1</v>
      </c>
      <c r="K1252" t="str" cm="1">
        <f t="array" ref="K1252">IFERROR(_xlfn.XLOOKUP(D1252&amp;A1252, RBWR!A:A&amp;RBWR!C:C, RBWR!B:B), "N/A")</f>
        <v>N/A</v>
      </c>
      <c r="L1252" t="str" cm="1">
        <f t="array" ref="L1252">IFERROR(_xlfn.XLOOKUP(C1252&amp;A1252, RYOE!A:A&amp;RYOE!F:F, RYOE!C:C), "N/A")</f>
        <v>N/A</v>
      </c>
      <c r="M1252" t="str" cm="1">
        <f t="array" ref="M1252">IFERROR(_xlfn.XLOOKUP(C1252&amp;A1252, RYOE!A:A&amp;RYOE!F:F, RYOE!D:D), "N/A")</f>
        <v>N/A</v>
      </c>
      <c r="N1252" t="str" cm="1">
        <f t="array" ref="N1252">IFERROR(_xlfn.XLOOKUP(C1252&amp;A1252, RYOE!A:A&amp;RYOE!F:F, RYOE!E:E), "N/A")</f>
        <v>N/A</v>
      </c>
    </row>
    <row r="1253" spans="1:14" ht="15" customHeight="1" x14ac:dyDescent="0.45">
      <c r="A1253" s="8">
        <v>2019</v>
      </c>
      <c r="B1253" s="6" t="s">
        <v>619</v>
      </c>
      <c r="C1253" s="2" t="str">
        <f t="shared" si="38"/>
        <v>Cethan Carter</v>
      </c>
      <c r="D1253" s="2" t="str">
        <f t="shared" si="39"/>
        <v>CIN</v>
      </c>
      <c r="E1253" s="2">
        <v>0</v>
      </c>
      <c r="F1253" s="2">
        <v>0</v>
      </c>
      <c r="G1253" s="2">
        <v>0</v>
      </c>
      <c r="H1253" s="2">
        <v>0</v>
      </c>
      <c r="I1253">
        <v>0</v>
      </c>
      <c r="J1253">
        <v>15</v>
      </c>
      <c r="K1253" t="str" cm="1">
        <f t="array" ref="K1253">IFERROR(_xlfn.XLOOKUP(D1253&amp;A1253, RBWR!A:A&amp;RBWR!C:C, RBWR!B:B), "N/A")</f>
        <v>N/A</v>
      </c>
      <c r="L1253" t="str" cm="1">
        <f t="array" ref="L1253">IFERROR(_xlfn.XLOOKUP(C1253&amp;A1253, RYOE!A:A&amp;RYOE!F:F, RYOE!C:C), "N/A")</f>
        <v>N/A</v>
      </c>
      <c r="M1253" t="str" cm="1">
        <f t="array" ref="M1253">IFERROR(_xlfn.XLOOKUP(C1253&amp;A1253, RYOE!A:A&amp;RYOE!F:F, RYOE!D:D), "N/A")</f>
        <v>N/A</v>
      </c>
      <c r="N1253" t="str" cm="1">
        <f t="array" ref="N1253">IFERROR(_xlfn.XLOOKUP(C1253&amp;A1253, RYOE!A:A&amp;RYOE!F:F, RYOE!E:E), "N/A")</f>
        <v>N/A</v>
      </c>
    </row>
    <row r="1254" spans="1:14" ht="15" customHeight="1" x14ac:dyDescent="0.45">
      <c r="A1254" s="7">
        <v>2019</v>
      </c>
      <c r="B1254" s="5" t="s">
        <v>719</v>
      </c>
      <c r="C1254" s="1" t="str">
        <f t="shared" si="38"/>
        <v>Justin Davis</v>
      </c>
      <c r="D1254" s="1" t="str">
        <f t="shared" si="39"/>
        <v>LAR</v>
      </c>
      <c r="E1254" s="1">
        <v>0</v>
      </c>
      <c r="F1254" s="1">
        <v>0</v>
      </c>
      <c r="G1254" s="1">
        <v>0</v>
      </c>
      <c r="H1254" s="1">
        <v>0</v>
      </c>
      <c r="I1254">
        <v>0</v>
      </c>
      <c r="J1254">
        <v>1</v>
      </c>
      <c r="K1254" t="str" cm="1">
        <f t="array" ref="K1254">IFERROR(_xlfn.XLOOKUP(D1254&amp;A1254, RBWR!A:A&amp;RBWR!C:C, RBWR!B:B), "N/A")</f>
        <v>N/A</v>
      </c>
      <c r="L1254" t="str" cm="1">
        <f t="array" ref="L1254">IFERROR(_xlfn.XLOOKUP(C1254&amp;A1254, RYOE!A:A&amp;RYOE!F:F, RYOE!C:C), "N/A")</f>
        <v>N/A</v>
      </c>
      <c r="M1254" t="str" cm="1">
        <f t="array" ref="M1254">IFERROR(_xlfn.XLOOKUP(C1254&amp;A1254, RYOE!A:A&amp;RYOE!F:F, RYOE!D:D), "N/A")</f>
        <v>N/A</v>
      </c>
      <c r="N1254" t="str" cm="1">
        <f t="array" ref="N1254">IFERROR(_xlfn.XLOOKUP(C1254&amp;A1254, RYOE!A:A&amp;RYOE!F:F, RYOE!E:E), "N/A")</f>
        <v>N/A</v>
      </c>
    </row>
    <row r="1255" spans="1:14" ht="15" customHeight="1" x14ac:dyDescent="0.45">
      <c r="A1255" s="8">
        <v>2019</v>
      </c>
      <c r="B1255" s="6" t="s">
        <v>720</v>
      </c>
      <c r="C1255" s="2" t="str">
        <f t="shared" si="38"/>
        <v>Lavon Coleman</v>
      </c>
      <c r="D1255" s="2" t="str">
        <f t="shared" si="39"/>
        <v>GB</v>
      </c>
      <c r="E1255" s="2">
        <v>0</v>
      </c>
      <c r="F1255" s="2">
        <v>0</v>
      </c>
      <c r="G1255" s="2">
        <v>0</v>
      </c>
      <c r="H1255" s="2">
        <v>0</v>
      </c>
      <c r="I1255">
        <v>0</v>
      </c>
      <c r="J1255">
        <v>1</v>
      </c>
      <c r="K1255" t="str" cm="1">
        <f t="array" ref="K1255">IFERROR(_xlfn.XLOOKUP(D1255&amp;A1255, RBWR!A:A&amp;RBWR!C:C, RBWR!B:B), "N/A")</f>
        <v>N/A</v>
      </c>
      <c r="L1255" t="str" cm="1">
        <f t="array" ref="L1255">IFERROR(_xlfn.XLOOKUP(C1255&amp;A1255, RYOE!A:A&amp;RYOE!F:F, RYOE!C:C), "N/A")</f>
        <v>N/A</v>
      </c>
      <c r="M1255" t="str" cm="1">
        <f t="array" ref="M1255">IFERROR(_xlfn.XLOOKUP(C1255&amp;A1255, RYOE!A:A&amp;RYOE!F:F, RYOE!D:D), "N/A")</f>
        <v>N/A</v>
      </c>
      <c r="N1255" t="str" cm="1">
        <f t="array" ref="N1255">IFERROR(_xlfn.XLOOKUP(C1255&amp;A1255, RYOE!A:A&amp;RYOE!F:F, RYOE!E:E), "N/A")</f>
        <v>N/A</v>
      </c>
    </row>
    <row r="1256" spans="1:14" ht="15" customHeight="1" x14ac:dyDescent="0.45">
      <c r="A1256" s="7">
        <v>2019</v>
      </c>
      <c r="B1256" s="5" t="s">
        <v>355</v>
      </c>
      <c r="C1256" s="1" t="str">
        <f t="shared" si="38"/>
        <v>Jason Cabinda</v>
      </c>
      <c r="D1256" s="1" t="str">
        <f t="shared" si="39"/>
        <v>DET</v>
      </c>
      <c r="E1256" s="1">
        <v>0</v>
      </c>
      <c r="F1256" s="1">
        <v>0</v>
      </c>
      <c r="G1256" s="1">
        <v>0</v>
      </c>
      <c r="H1256" s="1">
        <v>0</v>
      </c>
      <c r="I1256">
        <v>0</v>
      </c>
      <c r="J1256">
        <v>5</v>
      </c>
      <c r="K1256" t="str" cm="1">
        <f t="array" ref="K1256">IFERROR(_xlfn.XLOOKUP(D1256&amp;A1256, RBWR!A:A&amp;RBWR!C:C, RBWR!B:B), "N/A")</f>
        <v>N/A</v>
      </c>
      <c r="L1256" t="str" cm="1">
        <f t="array" ref="L1256">IFERROR(_xlfn.XLOOKUP(C1256&amp;A1256, RYOE!A:A&amp;RYOE!F:F, RYOE!C:C), "N/A")</f>
        <v>N/A</v>
      </c>
      <c r="M1256" t="str" cm="1">
        <f t="array" ref="M1256">IFERROR(_xlfn.XLOOKUP(C1256&amp;A1256, RYOE!A:A&amp;RYOE!F:F, RYOE!D:D), "N/A")</f>
        <v>N/A</v>
      </c>
      <c r="N1256" t="str" cm="1">
        <f t="array" ref="N1256">IFERROR(_xlfn.XLOOKUP(C1256&amp;A1256, RYOE!A:A&amp;RYOE!F:F, RYOE!E:E), "N/A")</f>
        <v>N/A</v>
      </c>
    </row>
    <row r="1257" spans="1:14" ht="15" customHeight="1" x14ac:dyDescent="0.45">
      <c r="A1257" s="8">
        <v>2019</v>
      </c>
      <c r="B1257" s="6" t="s">
        <v>721</v>
      </c>
      <c r="C1257" s="2" t="str">
        <f t="shared" si="38"/>
        <v>Trenton Cannon</v>
      </c>
      <c r="D1257" s="2" t="str">
        <f t="shared" si="39"/>
        <v>NYJ</v>
      </c>
      <c r="E1257" s="2">
        <v>0</v>
      </c>
      <c r="F1257" s="2">
        <v>0</v>
      </c>
      <c r="G1257" s="2">
        <v>0</v>
      </c>
      <c r="H1257" s="2">
        <v>0</v>
      </c>
      <c r="I1257">
        <v>0</v>
      </c>
      <c r="J1257">
        <v>4</v>
      </c>
      <c r="K1257" t="str" cm="1">
        <f t="array" ref="K1257">IFERROR(_xlfn.XLOOKUP(D1257&amp;A1257, RBWR!A:A&amp;RBWR!C:C, RBWR!B:B), "N/A")</f>
        <v>N/A</v>
      </c>
      <c r="L1257" t="str" cm="1">
        <f t="array" ref="L1257">IFERROR(_xlfn.XLOOKUP(C1257&amp;A1257, RYOE!A:A&amp;RYOE!F:F, RYOE!C:C), "N/A")</f>
        <v>N/A</v>
      </c>
      <c r="M1257" t="str" cm="1">
        <f t="array" ref="M1257">IFERROR(_xlfn.XLOOKUP(C1257&amp;A1257, RYOE!A:A&amp;RYOE!F:F, RYOE!D:D), "N/A")</f>
        <v>N/A</v>
      </c>
      <c r="N1257" t="str" cm="1">
        <f t="array" ref="N1257">IFERROR(_xlfn.XLOOKUP(C1257&amp;A1257, RYOE!A:A&amp;RYOE!F:F, RYOE!E:E), "N/A")</f>
        <v>N/A</v>
      </c>
    </row>
    <row r="1258" spans="1:14" ht="15" customHeight="1" x14ac:dyDescent="0.45">
      <c r="A1258" s="7">
        <v>2019</v>
      </c>
      <c r="B1258" s="5" t="s">
        <v>722</v>
      </c>
      <c r="C1258" s="1" t="str">
        <f t="shared" si="38"/>
        <v>Detrez Newsome</v>
      </c>
      <c r="D1258" s="1" t="str">
        <f t="shared" si="39"/>
        <v>LAC</v>
      </c>
      <c r="E1258" s="1">
        <v>0</v>
      </c>
      <c r="F1258" s="1">
        <v>0</v>
      </c>
      <c r="G1258" s="1">
        <v>0</v>
      </c>
      <c r="H1258" s="1">
        <v>0</v>
      </c>
      <c r="I1258">
        <v>0</v>
      </c>
      <c r="J1258">
        <v>1</v>
      </c>
      <c r="K1258" t="str" cm="1">
        <f t="array" ref="K1258">IFERROR(_xlfn.XLOOKUP(D1258&amp;A1258, RBWR!A:A&amp;RBWR!C:C, RBWR!B:B), "N/A")</f>
        <v>N/A</v>
      </c>
      <c r="L1258" t="str" cm="1">
        <f t="array" ref="L1258">IFERROR(_xlfn.XLOOKUP(C1258&amp;A1258, RYOE!A:A&amp;RYOE!F:F, RYOE!C:C), "N/A")</f>
        <v>N/A</v>
      </c>
      <c r="M1258" t="str" cm="1">
        <f t="array" ref="M1258">IFERROR(_xlfn.XLOOKUP(C1258&amp;A1258, RYOE!A:A&amp;RYOE!F:F, RYOE!D:D), "N/A")</f>
        <v>N/A</v>
      </c>
      <c r="N1258" t="str" cm="1">
        <f t="array" ref="N1258">IFERROR(_xlfn.XLOOKUP(C1258&amp;A1258, RYOE!A:A&amp;RYOE!F:F, RYOE!E:E), "N/A")</f>
        <v>N/A</v>
      </c>
    </row>
    <row r="1259" spans="1:14" ht="15" customHeight="1" x14ac:dyDescent="0.45">
      <c r="A1259" s="8">
        <v>2019</v>
      </c>
      <c r="B1259" s="6" t="s">
        <v>723</v>
      </c>
      <c r="C1259" s="2" t="str">
        <f t="shared" si="38"/>
        <v>Jordan Chunn</v>
      </c>
      <c r="D1259" s="2" t="str">
        <f t="shared" si="39"/>
        <v>DAL</v>
      </c>
      <c r="E1259" s="2">
        <v>0</v>
      </c>
      <c r="F1259" s="2">
        <v>0</v>
      </c>
      <c r="G1259" s="2">
        <v>0</v>
      </c>
      <c r="H1259" s="2">
        <v>0</v>
      </c>
      <c r="I1259">
        <v>0</v>
      </c>
      <c r="J1259">
        <v>1</v>
      </c>
      <c r="K1259" t="str" cm="1">
        <f t="array" ref="K1259">IFERROR(_xlfn.XLOOKUP(D1259&amp;A1259, RBWR!A:A&amp;RBWR!C:C, RBWR!B:B), "N/A")</f>
        <v>N/A</v>
      </c>
      <c r="L1259" t="str" cm="1">
        <f t="array" ref="L1259">IFERROR(_xlfn.XLOOKUP(C1259&amp;A1259, RYOE!A:A&amp;RYOE!F:F, RYOE!C:C), "N/A")</f>
        <v>N/A</v>
      </c>
      <c r="M1259" t="str" cm="1">
        <f t="array" ref="M1259">IFERROR(_xlfn.XLOOKUP(C1259&amp;A1259, RYOE!A:A&amp;RYOE!F:F, RYOE!D:D), "N/A")</f>
        <v>N/A</v>
      </c>
      <c r="N1259" t="str" cm="1">
        <f t="array" ref="N1259">IFERROR(_xlfn.XLOOKUP(C1259&amp;A1259, RYOE!A:A&amp;RYOE!F:F, RYOE!E:E), "N/A")</f>
        <v>N/A</v>
      </c>
    </row>
    <row r="1260" spans="1:14" ht="15" customHeight="1" x14ac:dyDescent="0.45">
      <c r="A1260" s="7">
        <v>2019</v>
      </c>
      <c r="B1260" s="5" t="s">
        <v>724</v>
      </c>
      <c r="C1260" s="1" t="str">
        <f t="shared" si="38"/>
        <v>Donnie Ernsberger</v>
      </c>
      <c r="D1260" s="1" t="str">
        <f t="shared" si="39"/>
        <v>TB</v>
      </c>
      <c r="E1260" s="1">
        <v>0</v>
      </c>
      <c r="F1260" s="1">
        <v>0</v>
      </c>
      <c r="G1260" s="1">
        <v>0</v>
      </c>
      <c r="H1260" s="1">
        <v>0</v>
      </c>
      <c r="I1260">
        <v>0</v>
      </c>
      <c r="J1260">
        <v>1</v>
      </c>
      <c r="K1260" t="str" cm="1">
        <f t="array" ref="K1260">IFERROR(_xlfn.XLOOKUP(D1260&amp;A1260, RBWR!A:A&amp;RBWR!C:C, RBWR!B:B), "N/A")</f>
        <v>N/A</v>
      </c>
      <c r="L1260" t="str" cm="1">
        <f t="array" ref="L1260">IFERROR(_xlfn.XLOOKUP(C1260&amp;A1260, RYOE!A:A&amp;RYOE!F:F, RYOE!C:C), "N/A")</f>
        <v>N/A</v>
      </c>
      <c r="M1260" t="str" cm="1">
        <f t="array" ref="M1260">IFERROR(_xlfn.XLOOKUP(C1260&amp;A1260, RYOE!A:A&amp;RYOE!F:F, RYOE!D:D), "N/A")</f>
        <v>N/A</v>
      </c>
      <c r="N1260" t="str" cm="1">
        <f t="array" ref="N1260">IFERROR(_xlfn.XLOOKUP(C1260&amp;A1260, RYOE!A:A&amp;RYOE!F:F, RYOE!E:E), "N/A")</f>
        <v>N/A</v>
      </c>
    </row>
    <row r="1261" spans="1:14" ht="15" customHeight="1" x14ac:dyDescent="0.45">
      <c r="A1261" s="8">
        <v>2019</v>
      </c>
      <c r="B1261" s="6" t="s">
        <v>725</v>
      </c>
      <c r="C1261" s="2" t="str">
        <f t="shared" si="38"/>
        <v>Bryce Love</v>
      </c>
      <c r="D1261" s="2" t="str">
        <f t="shared" si="39"/>
        <v>WAS</v>
      </c>
      <c r="E1261" s="2">
        <v>0</v>
      </c>
      <c r="F1261" s="2">
        <v>0</v>
      </c>
      <c r="G1261" s="2">
        <v>0</v>
      </c>
      <c r="H1261" s="2">
        <v>0</v>
      </c>
      <c r="I1261">
        <v>0</v>
      </c>
      <c r="J1261">
        <v>1</v>
      </c>
      <c r="K1261" t="str" cm="1">
        <f t="array" ref="K1261">IFERROR(_xlfn.XLOOKUP(D1261&amp;A1261, RBWR!A:A&amp;RBWR!C:C, RBWR!B:B), "N/A")</f>
        <v>N/A</v>
      </c>
      <c r="L1261" t="str" cm="1">
        <f t="array" ref="L1261">IFERROR(_xlfn.XLOOKUP(C1261&amp;A1261, RYOE!A:A&amp;RYOE!F:F, RYOE!C:C), "N/A")</f>
        <v>N/A</v>
      </c>
      <c r="M1261" t="str" cm="1">
        <f t="array" ref="M1261">IFERROR(_xlfn.XLOOKUP(C1261&amp;A1261, RYOE!A:A&amp;RYOE!F:F, RYOE!D:D), "N/A")</f>
        <v>N/A</v>
      </c>
      <c r="N1261" t="str" cm="1">
        <f t="array" ref="N1261">IFERROR(_xlfn.XLOOKUP(C1261&amp;A1261, RYOE!A:A&amp;RYOE!F:F, RYOE!E:E), "N/A")</f>
        <v>N/A</v>
      </c>
    </row>
    <row r="1262" spans="1:14" ht="15" customHeight="1" x14ac:dyDescent="0.45">
      <c r="A1262" s="7">
        <v>2019</v>
      </c>
      <c r="B1262" s="5" t="s">
        <v>265</v>
      </c>
      <c r="C1262" s="1" t="str">
        <f t="shared" si="38"/>
        <v>Trayveon Williams</v>
      </c>
      <c r="D1262" s="1" t="str">
        <f t="shared" si="39"/>
        <v>CIN</v>
      </c>
      <c r="E1262" s="1">
        <v>0</v>
      </c>
      <c r="F1262" s="1">
        <v>0</v>
      </c>
      <c r="G1262" s="1">
        <v>0</v>
      </c>
      <c r="H1262" s="1">
        <v>0</v>
      </c>
      <c r="I1262">
        <v>0</v>
      </c>
      <c r="J1262">
        <v>11</v>
      </c>
      <c r="K1262" t="str" cm="1">
        <f t="array" ref="K1262">IFERROR(_xlfn.XLOOKUP(D1262&amp;A1262, RBWR!A:A&amp;RBWR!C:C, RBWR!B:B), "N/A")</f>
        <v>N/A</v>
      </c>
      <c r="L1262" t="str" cm="1">
        <f t="array" ref="L1262">IFERROR(_xlfn.XLOOKUP(C1262&amp;A1262, RYOE!A:A&amp;RYOE!F:F, RYOE!C:C), "N/A")</f>
        <v>N/A</v>
      </c>
      <c r="M1262" t="str" cm="1">
        <f t="array" ref="M1262">IFERROR(_xlfn.XLOOKUP(C1262&amp;A1262, RYOE!A:A&amp;RYOE!F:F, RYOE!D:D), "N/A")</f>
        <v>N/A</v>
      </c>
      <c r="N1262" t="str" cm="1">
        <f t="array" ref="N1262">IFERROR(_xlfn.XLOOKUP(C1262&amp;A1262, RYOE!A:A&amp;RYOE!F:F, RYOE!E:E), "N/A")</f>
        <v>N/A</v>
      </c>
    </row>
    <row r="1263" spans="1:14" ht="15" customHeight="1" x14ac:dyDescent="0.45">
      <c r="A1263" s="8">
        <v>2019</v>
      </c>
      <c r="B1263" s="6" t="s">
        <v>610</v>
      </c>
      <c r="C1263" s="2" t="str">
        <f t="shared" si="38"/>
        <v>Chandler Cox</v>
      </c>
      <c r="D1263" s="2" t="str">
        <f t="shared" si="39"/>
        <v>MIA</v>
      </c>
      <c r="E1263" s="2">
        <v>0</v>
      </c>
      <c r="F1263" s="2">
        <v>0</v>
      </c>
      <c r="G1263" s="2">
        <v>0</v>
      </c>
      <c r="H1263" s="2">
        <v>0</v>
      </c>
      <c r="I1263">
        <v>0</v>
      </c>
      <c r="J1263">
        <v>13</v>
      </c>
      <c r="K1263" t="str" cm="1">
        <f t="array" ref="K1263">IFERROR(_xlfn.XLOOKUP(D1263&amp;A1263, RBWR!A:A&amp;RBWR!C:C, RBWR!B:B), "N/A")</f>
        <v>N/A</v>
      </c>
      <c r="L1263" t="str" cm="1">
        <f t="array" ref="L1263">IFERROR(_xlfn.XLOOKUP(C1263&amp;A1263, RYOE!A:A&amp;RYOE!F:F, RYOE!C:C), "N/A")</f>
        <v>N/A</v>
      </c>
      <c r="M1263" t="str" cm="1">
        <f t="array" ref="M1263">IFERROR(_xlfn.XLOOKUP(C1263&amp;A1263, RYOE!A:A&amp;RYOE!F:F, RYOE!D:D), "N/A")</f>
        <v>N/A</v>
      </c>
      <c r="N1263" t="str" cm="1">
        <f t="array" ref="N1263">IFERROR(_xlfn.XLOOKUP(C1263&amp;A1263, RYOE!A:A&amp;RYOE!F:F, RYOE!E:E), "N/A")</f>
        <v>N/A</v>
      </c>
    </row>
    <row r="1264" spans="1:14" ht="15" customHeight="1" x14ac:dyDescent="0.45">
      <c r="A1264" s="7">
        <v>2019</v>
      </c>
      <c r="B1264" s="5" t="s">
        <v>615</v>
      </c>
      <c r="C1264" s="1" t="str">
        <f t="shared" si="38"/>
        <v>Cullen Gillaspia</v>
      </c>
      <c r="D1264" s="1" t="str">
        <f t="shared" si="39"/>
        <v>HOU</v>
      </c>
      <c r="E1264" s="1">
        <v>0</v>
      </c>
      <c r="F1264" s="1">
        <v>0</v>
      </c>
      <c r="G1264" s="1">
        <v>0</v>
      </c>
      <c r="H1264" s="1">
        <v>0</v>
      </c>
      <c r="I1264">
        <v>0</v>
      </c>
      <c r="J1264">
        <v>16</v>
      </c>
      <c r="K1264" t="str" cm="1">
        <f t="array" ref="K1264">IFERROR(_xlfn.XLOOKUP(D1264&amp;A1264, RBWR!A:A&amp;RBWR!C:C, RBWR!B:B), "N/A")</f>
        <v>N/A</v>
      </c>
      <c r="L1264" t="str" cm="1">
        <f t="array" ref="L1264">IFERROR(_xlfn.XLOOKUP(C1264&amp;A1264, RYOE!A:A&amp;RYOE!F:F, RYOE!C:C), "N/A")</f>
        <v>N/A</v>
      </c>
      <c r="M1264" t="str" cm="1">
        <f t="array" ref="M1264">IFERROR(_xlfn.XLOOKUP(C1264&amp;A1264, RYOE!A:A&amp;RYOE!F:F, RYOE!D:D), "N/A")</f>
        <v>N/A</v>
      </c>
      <c r="N1264" t="str" cm="1">
        <f t="array" ref="N1264">IFERROR(_xlfn.XLOOKUP(C1264&amp;A1264, RYOE!A:A&amp;RYOE!F:F, RYOE!E:E), "N/A")</f>
        <v>N/A</v>
      </c>
    </row>
    <row r="1265" spans="1:14" ht="15" customHeight="1" x14ac:dyDescent="0.45">
      <c r="A1265" s="8">
        <v>2019</v>
      </c>
      <c r="B1265" s="6" t="s">
        <v>444</v>
      </c>
      <c r="C1265" s="2" t="str">
        <f t="shared" si="38"/>
        <v>Andrew Beck</v>
      </c>
      <c r="D1265" s="2" t="str">
        <f t="shared" si="39"/>
        <v>DEN</v>
      </c>
      <c r="E1265" s="2">
        <v>1</v>
      </c>
      <c r="F1265" s="2">
        <v>3</v>
      </c>
      <c r="G1265" s="2">
        <v>3</v>
      </c>
      <c r="H1265" s="2">
        <v>0</v>
      </c>
      <c r="I1265">
        <v>0</v>
      </c>
      <c r="J1265">
        <v>16</v>
      </c>
      <c r="K1265" t="str" cm="1">
        <f t="array" ref="K1265">IFERROR(_xlfn.XLOOKUP(D1265&amp;A1265, RBWR!A:A&amp;RBWR!C:C, RBWR!B:B), "N/A")</f>
        <v>N/A</v>
      </c>
      <c r="L1265" t="str" cm="1">
        <f t="array" ref="L1265">IFERROR(_xlfn.XLOOKUP(C1265&amp;A1265, RYOE!A:A&amp;RYOE!F:F, RYOE!C:C), "N/A")</f>
        <v>N/A</v>
      </c>
      <c r="M1265" t="str" cm="1">
        <f t="array" ref="M1265">IFERROR(_xlfn.XLOOKUP(C1265&amp;A1265, RYOE!A:A&amp;RYOE!F:F, RYOE!D:D), "N/A")</f>
        <v>N/A</v>
      </c>
      <c r="N1265" t="str" cm="1">
        <f t="array" ref="N1265">IFERROR(_xlfn.XLOOKUP(C1265&amp;A1265, RYOE!A:A&amp;RYOE!F:F, RYOE!E:E), "N/A")</f>
        <v>N/A</v>
      </c>
    </row>
    <row r="1266" spans="1:14" ht="15" customHeight="1" x14ac:dyDescent="0.45">
      <c r="A1266" s="7">
        <v>2019</v>
      </c>
      <c r="B1266" s="5" t="s">
        <v>726</v>
      </c>
      <c r="C1266" s="1" t="str">
        <f t="shared" si="38"/>
        <v>Austin Walter</v>
      </c>
      <c r="D1266" s="1" t="str">
        <f t="shared" si="39"/>
        <v>NYG</v>
      </c>
      <c r="E1266" s="1">
        <v>0</v>
      </c>
      <c r="F1266" s="1">
        <v>0</v>
      </c>
      <c r="G1266" s="1">
        <v>0</v>
      </c>
      <c r="H1266" s="1">
        <v>0</v>
      </c>
      <c r="I1266">
        <v>0</v>
      </c>
      <c r="J1266">
        <v>1</v>
      </c>
      <c r="K1266" t="str" cm="1">
        <f t="array" ref="K1266">IFERROR(_xlfn.XLOOKUP(D1266&amp;A1266, RBWR!A:A&amp;RBWR!C:C, RBWR!B:B), "N/A")</f>
        <v>N/A</v>
      </c>
      <c r="L1266" t="str" cm="1">
        <f t="array" ref="L1266">IFERROR(_xlfn.XLOOKUP(C1266&amp;A1266, RYOE!A:A&amp;RYOE!F:F, RYOE!C:C), "N/A")</f>
        <v>N/A</v>
      </c>
      <c r="M1266" t="str" cm="1">
        <f t="array" ref="M1266">IFERROR(_xlfn.XLOOKUP(C1266&amp;A1266, RYOE!A:A&amp;RYOE!F:F, RYOE!D:D), "N/A")</f>
        <v>N/A</v>
      </c>
      <c r="N1266" t="str" cm="1">
        <f t="array" ref="N1266">IFERROR(_xlfn.XLOOKUP(C1266&amp;A1266, RYOE!A:A&amp;RYOE!F:F, RYOE!E:E), "N/A")</f>
        <v>N/A</v>
      </c>
    </row>
    <row r="1267" spans="1:14" ht="15" customHeight="1" x14ac:dyDescent="0.45">
      <c r="A1267" s="8">
        <v>2019</v>
      </c>
      <c r="B1267" s="6" t="s">
        <v>727</v>
      </c>
      <c r="C1267" s="2" t="str">
        <f t="shared" si="38"/>
        <v>Craig Reynolds</v>
      </c>
      <c r="D1267" s="2" t="str">
        <f t="shared" si="39"/>
        <v>WAS</v>
      </c>
      <c r="E1267" s="2">
        <v>0</v>
      </c>
      <c r="F1267" s="2">
        <v>0</v>
      </c>
      <c r="G1267" s="2">
        <v>0</v>
      </c>
      <c r="H1267" s="2">
        <v>0</v>
      </c>
      <c r="I1267">
        <v>0</v>
      </c>
      <c r="J1267">
        <v>3</v>
      </c>
      <c r="K1267" t="str" cm="1">
        <f t="array" ref="K1267">IFERROR(_xlfn.XLOOKUP(D1267&amp;A1267, RBWR!A:A&amp;RBWR!C:C, RBWR!B:B), "N/A")</f>
        <v>N/A</v>
      </c>
      <c r="L1267" t="str" cm="1">
        <f t="array" ref="L1267">IFERROR(_xlfn.XLOOKUP(C1267&amp;A1267, RYOE!A:A&amp;RYOE!F:F, RYOE!C:C), "N/A")</f>
        <v>N/A</v>
      </c>
      <c r="M1267" t="str" cm="1">
        <f t="array" ref="M1267">IFERROR(_xlfn.XLOOKUP(C1267&amp;A1267, RYOE!A:A&amp;RYOE!F:F, RYOE!D:D), "N/A")</f>
        <v>N/A</v>
      </c>
      <c r="N1267" t="str" cm="1">
        <f t="array" ref="N1267">IFERROR(_xlfn.XLOOKUP(C1267&amp;A1267, RYOE!A:A&amp;RYOE!F:F, RYOE!E:E), "N/A")</f>
        <v>N/A</v>
      </c>
    </row>
    <row r="1268" spans="1:14" ht="15" customHeight="1" x14ac:dyDescent="0.45">
      <c r="A1268" s="7">
        <v>2019</v>
      </c>
      <c r="B1268" s="5" t="s">
        <v>590</v>
      </c>
      <c r="C1268" s="1" t="str">
        <f t="shared" si="38"/>
        <v>Corey Clement</v>
      </c>
      <c r="D1268" s="1" t="str">
        <f t="shared" si="39"/>
        <v>PHI</v>
      </c>
      <c r="E1268" s="1">
        <v>0</v>
      </c>
      <c r="F1268" s="1">
        <v>0</v>
      </c>
      <c r="G1268" s="1">
        <v>0</v>
      </c>
      <c r="H1268" s="1">
        <v>0</v>
      </c>
      <c r="I1268">
        <v>2</v>
      </c>
      <c r="J1268">
        <v>4</v>
      </c>
      <c r="K1268" t="str" cm="1">
        <f t="array" ref="K1268">IFERROR(_xlfn.XLOOKUP(D1268&amp;A1268, RBWR!A:A&amp;RBWR!C:C, RBWR!B:B), "N/A")</f>
        <v>N/A</v>
      </c>
      <c r="L1268" t="str" cm="1">
        <f t="array" ref="L1268">IFERROR(_xlfn.XLOOKUP(C1268&amp;A1268, RYOE!A:A&amp;RYOE!F:F, RYOE!C:C), "N/A")</f>
        <v>N/A</v>
      </c>
      <c r="M1268" t="str" cm="1">
        <f t="array" ref="M1268">IFERROR(_xlfn.XLOOKUP(C1268&amp;A1268, RYOE!A:A&amp;RYOE!F:F, RYOE!D:D), "N/A")</f>
        <v>N/A</v>
      </c>
      <c r="N1268" t="str" cm="1">
        <f t="array" ref="N1268">IFERROR(_xlfn.XLOOKUP(C1268&amp;A1268, RYOE!A:A&amp;RYOE!F:F, RYOE!E:E), "N/A")</f>
        <v>N/A</v>
      </c>
    </row>
    <row r="1269" spans="1:14" ht="15" customHeight="1" x14ac:dyDescent="0.45">
      <c r="A1269" s="8">
        <v>2018</v>
      </c>
      <c r="B1269" s="6" t="s">
        <v>629</v>
      </c>
      <c r="C1269" s="2" t="str">
        <f t="shared" si="38"/>
        <v>Todd Gurley II</v>
      </c>
      <c r="D1269" s="2" t="str">
        <f t="shared" si="39"/>
        <v>LAR</v>
      </c>
      <c r="E1269" s="2">
        <v>256</v>
      </c>
      <c r="F1269" s="2">
        <v>1251</v>
      </c>
      <c r="G1269" s="2">
        <v>4.9000000000000004</v>
      </c>
      <c r="H1269" s="2">
        <v>17</v>
      </c>
      <c r="I1269">
        <v>1</v>
      </c>
      <c r="J1269">
        <v>14</v>
      </c>
      <c r="K1269" t="str" cm="1">
        <f t="array" ref="K1269">IFERROR(_xlfn.XLOOKUP(D1269&amp;A1269, RBWR!A:A&amp;RBWR!C:C, RBWR!B:B), "N/A")</f>
        <v>N/A</v>
      </c>
      <c r="L1269" cm="1">
        <f t="array" ref="L1269">IFERROR(_xlfn.XLOOKUP(C1269&amp;A1269, RYOE!A:A&amp;RYOE!F:F, RYOE!C:C), "N/A")</f>
        <v>-23</v>
      </c>
      <c r="M1269" cm="1">
        <f t="array" ref="M1269">IFERROR(_xlfn.XLOOKUP(C1269&amp;A1269, RYOE!A:A&amp;RYOE!F:F, RYOE!D:D), "N/A")</f>
        <v>-0.09</v>
      </c>
      <c r="N1269" cm="1">
        <f t="array" ref="N1269">IFERROR(_xlfn.XLOOKUP(C1269&amp;A1269, RYOE!A:A&amp;RYOE!F:F, RYOE!E:E), "N/A")</f>
        <v>38</v>
      </c>
    </row>
    <row r="1270" spans="1:14" ht="15" customHeight="1" x14ac:dyDescent="0.45">
      <c r="A1270" s="7">
        <v>2018</v>
      </c>
      <c r="B1270" s="5" t="s">
        <v>283</v>
      </c>
      <c r="C1270" s="1" t="str">
        <f t="shared" si="38"/>
        <v>Saquon Barkley</v>
      </c>
      <c r="D1270" s="1" t="str">
        <f t="shared" si="39"/>
        <v>NYG</v>
      </c>
      <c r="E1270" s="1">
        <v>261</v>
      </c>
      <c r="F1270" s="1">
        <v>1307</v>
      </c>
      <c r="G1270" s="1">
        <v>5</v>
      </c>
      <c r="H1270" s="1">
        <v>11</v>
      </c>
      <c r="I1270">
        <v>0</v>
      </c>
      <c r="J1270">
        <v>16</v>
      </c>
      <c r="K1270" t="str" cm="1">
        <f t="array" ref="K1270">IFERROR(_xlfn.XLOOKUP(D1270&amp;A1270, RBWR!A:A&amp;RBWR!C:C, RBWR!B:B), "N/A")</f>
        <v>N/A</v>
      </c>
      <c r="L1270" cm="1">
        <f t="array" ref="L1270">IFERROR(_xlfn.XLOOKUP(C1270&amp;A1270, RYOE!A:A&amp;RYOE!F:F, RYOE!C:C), "N/A")</f>
        <v>395</v>
      </c>
      <c r="M1270" cm="1">
        <f t="array" ref="M1270">IFERROR(_xlfn.XLOOKUP(C1270&amp;A1270, RYOE!A:A&amp;RYOE!F:F, RYOE!D:D), "N/A")</f>
        <v>1.54</v>
      </c>
      <c r="N1270" cm="1">
        <f t="array" ref="N1270">IFERROR(_xlfn.XLOOKUP(C1270&amp;A1270, RYOE!A:A&amp;RYOE!F:F, RYOE!E:E), "N/A")</f>
        <v>39.700000000000003</v>
      </c>
    </row>
    <row r="1271" spans="1:14" ht="15" customHeight="1" x14ac:dyDescent="0.45">
      <c r="A1271" s="8">
        <v>2018</v>
      </c>
      <c r="B1271" s="6" t="s">
        <v>460</v>
      </c>
      <c r="C1271" s="2" t="str">
        <f t="shared" si="38"/>
        <v>Christian McCaffrey</v>
      </c>
      <c r="D1271" s="2" t="str">
        <f t="shared" si="39"/>
        <v>CAR</v>
      </c>
      <c r="E1271" s="2">
        <v>219</v>
      </c>
      <c r="F1271" s="2">
        <v>1098</v>
      </c>
      <c r="G1271" s="2">
        <v>5</v>
      </c>
      <c r="H1271" s="2">
        <v>7</v>
      </c>
      <c r="I1271">
        <v>1</v>
      </c>
      <c r="J1271">
        <v>16</v>
      </c>
      <c r="K1271" t="str" cm="1">
        <f t="array" ref="K1271">IFERROR(_xlfn.XLOOKUP(D1271&amp;A1271, RBWR!A:A&amp;RBWR!C:C, RBWR!B:B), "N/A")</f>
        <v>N/A</v>
      </c>
      <c r="L1271" cm="1">
        <f t="array" ref="L1271">IFERROR(_xlfn.XLOOKUP(C1271&amp;A1271, RYOE!A:A&amp;RYOE!F:F, RYOE!C:C), "N/A")</f>
        <v>89</v>
      </c>
      <c r="M1271" cm="1">
        <f t="array" ref="M1271">IFERROR(_xlfn.XLOOKUP(C1271&amp;A1271, RYOE!A:A&amp;RYOE!F:F, RYOE!D:D), "N/A")</f>
        <v>0.41</v>
      </c>
      <c r="N1271" cm="1">
        <f t="array" ref="N1271">IFERROR(_xlfn.XLOOKUP(C1271&amp;A1271, RYOE!A:A&amp;RYOE!F:F, RYOE!E:E), "N/A")</f>
        <v>37.9</v>
      </c>
    </row>
    <row r="1272" spans="1:14" ht="15" customHeight="1" x14ac:dyDescent="0.45">
      <c r="A1272" s="7">
        <v>2018</v>
      </c>
      <c r="B1272" s="5" t="s">
        <v>78</v>
      </c>
      <c r="C1272" s="1" t="str">
        <f t="shared" si="38"/>
        <v>Alvin Kamara</v>
      </c>
      <c r="D1272" s="1" t="str">
        <f t="shared" si="39"/>
        <v>NO</v>
      </c>
      <c r="E1272" s="1">
        <v>194</v>
      </c>
      <c r="F1272" s="1">
        <v>883</v>
      </c>
      <c r="G1272" s="1">
        <v>4.5999999999999996</v>
      </c>
      <c r="H1272" s="1">
        <v>14</v>
      </c>
      <c r="I1272">
        <v>0</v>
      </c>
      <c r="J1272">
        <v>15</v>
      </c>
      <c r="K1272" t="str" cm="1">
        <f t="array" ref="K1272">IFERROR(_xlfn.XLOOKUP(D1272&amp;A1272, RBWR!A:A&amp;RBWR!C:C, RBWR!B:B), "N/A")</f>
        <v>N/A</v>
      </c>
      <c r="L1272" cm="1">
        <f t="array" ref="L1272">IFERROR(_xlfn.XLOOKUP(C1272&amp;A1272, RYOE!A:A&amp;RYOE!F:F, RYOE!C:C), "N/A")</f>
        <v>-82</v>
      </c>
      <c r="M1272" cm="1">
        <f t="array" ref="M1272">IFERROR(_xlfn.XLOOKUP(C1272&amp;A1272, RYOE!A:A&amp;RYOE!F:F, RYOE!D:D), "N/A")</f>
        <v>-0.43</v>
      </c>
      <c r="N1272" cm="1">
        <f t="array" ref="N1272">IFERROR(_xlfn.XLOOKUP(C1272&amp;A1272, RYOE!A:A&amp;RYOE!F:F, RYOE!E:E), "N/A")</f>
        <v>35.6</v>
      </c>
    </row>
    <row r="1273" spans="1:14" ht="15" customHeight="1" x14ac:dyDescent="0.45">
      <c r="A1273" s="8">
        <v>2018</v>
      </c>
      <c r="B1273" s="6" t="s">
        <v>224</v>
      </c>
      <c r="C1273" s="2" t="str">
        <f t="shared" si="38"/>
        <v>Ezekiel Elliott</v>
      </c>
      <c r="D1273" s="2" t="str">
        <f t="shared" si="39"/>
        <v>DAL</v>
      </c>
      <c r="E1273" s="2">
        <v>304</v>
      </c>
      <c r="F1273" s="2">
        <v>1434</v>
      </c>
      <c r="G1273" s="2">
        <v>4.7</v>
      </c>
      <c r="H1273" s="2">
        <v>6</v>
      </c>
      <c r="I1273">
        <v>1</v>
      </c>
      <c r="J1273">
        <v>15</v>
      </c>
      <c r="K1273" t="str" cm="1">
        <f t="array" ref="K1273">IFERROR(_xlfn.XLOOKUP(D1273&amp;A1273, RBWR!A:A&amp;RBWR!C:C, RBWR!B:B), "N/A")</f>
        <v>N/A</v>
      </c>
      <c r="L1273" cm="1">
        <f t="array" ref="L1273">IFERROR(_xlfn.XLOOKUP(C1273&amp;A1273, RYOE!A:A&amp;RYOE!F:F, RYOE!C:C), "N/A")</f>
        <v>135</v>
      </c>
      <c r="M1273" cm="1">
        <f t="array" ref="M1273">IFERROR(_xlfn.XLOOKUP(C1273&amp;A1273, RYOE!A:A&amp;RYOE!F:F, RYOE!D:D), "N/A")</f>
        <v>0.45</v>
      </c>
      <c r="N1273" cm="1">
        <f t="array" ref="N1273">IFERROR(_xlfn.XLOOKUP(C1273&amp;A1273, RYOE!A:A&amp;RYOE!F:F, RYOE!E:E), "N/A")</f>
        <v>41.1</v>
      </c>
    </row>
    <row r="1274" spans="1:14" ht="15" customHeight="1" x14ac:dyDescent="0.45">
      <c r="A1274" s="7">
        <v>2018</v>
      </c>
      <c r="B1274" s="5" t="s">
        <v>634</v>
      </c>
      <c r="C1274" s="1" t="str">
        <f t="shared" si="38"/>
        <v>Melvin Gordon III</v>
      </c>
      <c r="D1274" s="1" t="str">
        <f t="shared" si="39"/>
        <v>LAC</v>
      </c>
      <c r="E1274" s="1">
        <v>175</v>
      </c>
      <c r="F1274" s="1">
        <v>885</v>
      </c>
      <c r="G1274" s="1">
        <v>5.0999999999999996</v>
      </c>
      <c r="H1274" s="1">
        <v>10</v>
      </c>
      <c r="I1274">
        <v>0</v>
      </c>
      <c r="J1274">
        <v>12</v>
      </c>
      <c r="K1274" t="str" cm="1">
        <f t="array" ref="K1274">IFERROR(_xlfn.XLOOKUP(D1274&amp;A1274, RBWR!A:A&amp;RBWR!C:C, RBWR!B:B), "N/A")</f>
        <v>N/A</v>
      </c>
      <c r="L1274" cm="1">
        <f t="array" ref="L1274">IFERROR(_xlfn.XLOOKUP(C1274&amp;A1274, RYOE!A:A&amp;RYOE!F:F, RYOE!C:C), "N/A")</f>
        <v>-1</v>
      </c>
      <c r="M1274" cm="1">
        <f t="array" ref="M1274">IFERROR(_xlfn.XLOOKUP(C1274&amp;A1274, RYOE!A:A&amp;RYOE!F:F, RYOE!D:D), "N/A")</f>
        <v>-0.01</v>
      </c>
      <c r="N1274" cm="1">
        <f t="array" ref="N1274">IFERROR(_xlfn.XLOOKUP(C1274&amp;A1274, RYOE!A:A&amp;RYOE!F:F, RYOE!E:E), "N/A")</f>
        <v>36</v>
      </c>
    </row>
    <row r="1275" spans="1:14" ht="15" customHeight="1" x14ac:dyDescent="0.45">
      <c r="A1275" s="8">
        <v>2018</v>
      </c>
      <c r="B1275" s="6" t="s">
        <v>558</v>
      </c>
      <c r="C1275" s="2" t="str">
        <f t="shared" si="38"/>
        <v>James Conner</v>
      </c>
      <c r="D1275" s="2" t="str">
        <f t="shared" si="39"/>
        <v>PIT</v>
      </c>
      <c r="E1275" s="2">
        <v>215</v>
      </c>
      <c r="F1275" s="2">
        <v>970</v>
      </c>
      <c r="G1275" s="2">
        <v>4.5</v>
      </c>
      <c r="H1275" s="2">
        <v>12</v>
      </c>
      <c r="I1275">
        <v>2</v>
      </c>
      <c r="J1275">
        <v>13</v>
      </c>
      <c r="K1275" t="str" cm="1">
        <f t="array" ref="K1275">IFERROR(_xlfn.XLOOKUP(D1275&amp;A1275, RBWR!A:A&amp;RBWR!C:C, RBWR!B:B), "N/A")</f>
        <v>N/A</v>
      </c>
      <c r="L1275" cm="1">
        <f t="array" ref="L1275">IFERROR(_xlfn.XLOOKUP(C1275&amp;A1275, RYOE!A:A&amp;RYOE!F:F, RYOE!C:C), "N/A")</f>
        <v>118</v>
      </c>
      <c r="M1275" cm="1">
        <f t="array" ref="M1275">IFERROR(_xlfn.XLOOKUP(C1275&amp;A1275, RYOE!A:A&amp;RYOE!F:F, RYOE!D:D), "N/A")</f>
        <v>0.56000000000000005</v>
      </c>
      <c r="N1275" cm="1">
        <f t="array" ref="N1275">IFERROR(_xlfn.XLOOKUP(C1275&amp;A1275, RYOE!A:A&amp;RYOE!F:F, RYOE!E:E), "N/A")</f>
        <v>40.200000000000003</v>
      </c>
    </row>
    <row r="1276" spans="1:14" ht="15" customHeight="1" x14ac:dyDescent="0.45">
      <c r="A1276" s="7">
        <v>2018</v>
      </c>
      <c r="B1276" s="5" t="s">
        <v>65</v>
      </c>
      <c r="C1276" s="1" t="str">
        <f t="shared" si="38"/>
        <v>Kareem Hunt</v>
      </c>
      <c r="D1276" s="1" t="str">
        <f t="shared" si="39"/>
        <v>KC</v>
      </c>
      <c r="E1276" s="1">
        <v>181</v>
      </c>
      <c r="F1276" s="1">
        <v>824</v>
      </c>
      <c r="G1276" s="1">
        <v>4.5999999999999996</v>
      </c>
      <c r="H1276" s="1">
        <v>7</v>
      </c>
      <c r="I1276">
        <v>0</v>
      </c>
      <c r="J1276">
        <v>11</v>
      </c>
      <c r="K1276" t="str" cm="1">
        <f t="array" ref="K1276">IFERROR(_xlfn.XLOOKUP(D1276&amp;A1276, RBWR!A:A&amp;RBWR!C:C, RBWR!B:B), "N/A")</f>
        <v>N/A</v>
      </c>
      <c r="L1276" cm="1">
        <f t="array" ref="L1276">IFERROR(_xlfn.XLOOKUP(C1276&amp;A1276, RYOE!A:A&amp;RYOE!F:F, RYOE!C:C), "N/A")</f>
        <v>94</v>
      </c>
      <c r="M1276" cm="1">
        <f t="array" ref="M1276">IFERROR(_xlfn.XLOOKUP(C1276&amp;A1276, RYOE!A:A&amp;RYOE!F:F, RYOE!D:D), "N/A")</f>
        <v>0.53</v>
      </c>
      <c r="N1276" cm="1">
        <f t="array" ref="N1276">IFERROR(_xlfn.XLOOKUP(C1276&amp;A1276, RYOE!A:A&amp;RYOE!F:F, RYOE!E:E), "N/A")</f>
        <v>38.4</v>
      </c>
    </row>
    <row r="1277" spans="1:14" ht="15" customHeight="1" x14ac:dyDescent="0.45">
      <c r="A1277" s="8">
        <v>2018</v>
      </c>
      <c r="B1277" s="6" t="s">
        <v>282</v>
      </c>
      <c r="C1277" s="2" t="str">
        <f t="shared" si="38"/>
        <v>Joe Mixon</v>
      </c>
      <c r="D1277" s="2" t="str">
        <f t="shared" si="39"/>
        <v>CIN</v>
      </c>
      <c r="E1277" s="2">
        <v>237</v>
      </c>
      <c r="F1277" s="2">
        <v>1168</v>
      </c>
      <c r="G1277" s="2">
        <v>4.9000000000000004</v>
      </c>
      <c r="H1277" s="2">
        <v>8</v>
      </c>
      <c r="I1277">
        <v>0</v>
      </c>
      <c r="J1277">
        <v>14</v>
      </c>
      <c r="K1277" t="str" cm="1">
        <f t="array" ref="K1277">IFERROR(_xlfn.XLOOKUP(D1277&amp;A1277, RBWR!A:A&amp;RBWR!C:C, RBWR!B:B), "N/A")</f>
        <v>N/A</v>
      </c>
      <c r="L1277" cm="1">
        <f t="array" ref="L1277">IFERROR(_xlfn.XLOOKUP(C1277&amp;A1277, RYOE!A:A&amp;RYOE!F:F, RYOE!C:C), "N/A")</f>
        <v>174</v>
      </c>
      <c r="M1277" cm="1">
        <f t="array" ref="M1277">IFERROR(_xlfn.XLOOKUP(C1277&amp;A1277, RYOE!A:A&amp;RYOE!F:F, RYOE!D:D), "N/A")</f>
        <v>0.75</v>
      </c>
      <c r="N1277" cm="1">
        <f t="array" ref="N1277">IFERROR(_xlfn.XLOOKUP(C1277&amp;A1277, RYOE!A:A&amp;RYOE!F:F, RYOE!E:E), "N/A")</f>
        <v>39.9</v>
      </c>
    </row>
    <row r="1278" spans="1:14" ht="15" customHeight="1" x14ac:dyDescent="0.45">
      <c r="A1278" s="7">
        <v>2018</v>
      </c>
      <c r="B1278" s="5" t="s">
        <v>638</v>
      </c>
      <c r="C1278" s="1" t="str">
        <f t="shared" si="38"/>
        <v>David Johnson</v>
      </c>
      <c r="D1278" s="1" t="str">
        <f t="shared" si="39"/>
        <v>ARI</v>
      </c>
      <c r="E1278" s="1">
        <v>258</v>
      </c>
      <c r="F1278" s="1">
        <v>940</v>
      </c>
      <c r="G1278" s="1">
        <v>3.6</v>
      </c>
      <c r="H1278" s="1">
        <v>7</v>
      </c>
      <c r="I1278">
        <v>2</v>
      </c>
      <c r="J1278">
        <v>16</v>
      </c>
      <c r="K1278" t="str" cm="1">
        <f t="array" ref="K1278">IFERROR(_xlfn.XLOOKUP(D1278&amp;A1278, RBWR!A:A&amp;RBWR!C:C, RBWR!B:B), "N/A")</f>
        <v>N/A</v>
      </c>
      <c r="L1278" cm="1">
        <f t="array" ref="L1278">IFERROR(_xlfn.XLOOKUP(C1278&amp;A1278, RYOE!A:A&amp;RYOE!F:F, RYOE!C:C), "N/A")</f>
        <v>-56</v>
      </c>
      <c r="M1278" cm="1">
        <f t="array" ref="M1278">IFERROR(_xlfn.XLOOKUP(C1278&amp;A1278, RYOE!A:A&amp;RYOE!F:F, RYOE!D:D), "N/A")</f>
        <v>-0.22</v>
      </c>
      <c r="N1278" cm="1">
        <f t="array" ref="N1278">IFERROR(_xlfn.XLOOKUP(C1278&amp;A1278, RYOE!A:A&amp;RYOE!F:F, RYOE!E:E), "N/A")</f>
        <v>37.700000000000003</v>
      </c>
    </row>
    <row r="1279" spans="1:14" ht="15" customHeight="1" x14ac:dyDescent="0.45">
      <c r="A1279" s="8">
        <v>2018</v>
      </c>
      <c r="B1279" s="6" t="s">
        <v>494</v>
      </c>
      <c r="C1279" s="2" t="str">
        <f t="shared" si="38"/>
        <v>James White</v>
      </c>
      <c r="D1279" s="2" t="str">
        <f t="shared" si="39"/>
        <v>NE</v>
      </c>
      <c r="E1279" s="2">
        <v>94</v>
      </c>
      <c r="F1279" s="2">
        <v>425</v>
      </c>
      <c r="G1279" s="2">
        <v>4.5</v>
      </c>
      <c r="H1279" s="2">
        <v>5</v>
      </c>
      <c r="I1279">
        <v>0</v>
      </c>
      <c r="J1279">
        <v>16</v>
      </c>
      <c r="K1279" t="str" cm="1">
        <f t="array" ref="K1279">IFERROR(_xlfn.XLOOKUP(D1279&amp;A1279, RBWR!A:A&amp;RBWR!C:C, RBWR!B:B), "N/A")</f>
        <v>N/A</v>
      </c>
      <c r="L1279" cm="1">
        <f t="array" ref="L1279">IFERROR(_xlfn.XLOOKUP(C1279&amp;A1279, RYOE!A:A&amp;RYOE!F:F, RYOE!C:C), "N/A")</f>
        <v>-7</v>
      </c>
      <c r="M1279" cm="1">
        <f t="array" ref="M1279">IFERROR(_xlfn.XLOOKUP(C1279&amp;A1279, RYOE!A:A&amp;RYOE!F:F, RYOE!D:D), "N/A")</f>
        <v>-0.08</v>
      </c>
      <c r="N1279" cm="1">
        <f t="array" ref="N1279">IFERROR(_xlfn.XLOOKUP(C1279&amp;A1279, RYOE!A:A&amp;RYOE!F:F, RYOE!E:E), "N/A")</f>
        <v>33.700000000000003</v>
      </c>
    </row>
    <row r="1280" spans="1:14" ht="15" customHeight="1" x14ac:dyDescent="0.45">
      <c r="A1280" s="7">
        <v>2018</v>
      </c>
      <c r="B1280" s="5" t="s">
        <v>572</v>
      </c>
      <c r="C1280" s="1" t="str">
        <f t="shared" si="38"/>
        <v>Phillip Lindsay</v>
      </c>
      <c r="D1280" s="1" t="str">
        <f t="shared" si="39"/>
        <v>DEN</v>
      </c>
      <c r="E1280" s="1">
        <v>192</v>
      </c>
      <c r="F1280" s="1">
        <v>1037</v>
      </c>
      <c r="G1280" s="1">
        <v>5.4</v>
      </c>
      <c r="H1280" s="1">
        <v>9</v>
      </c>
      <c r="I1280">
        <v>0</v>
      </c>
      <c r="J1280">
        <v>15</v>
      </c>
      <c r="K1280" t="str" cm="1">
        <f t="array" ref="K1280">IFERROR(_xlfn.XLOOKUP(D1280&amp;A1280, RBWR!A:A&amp;RBWR!C:C, RBWR!B:B), "N/A")</f>
        <v>N/A</v>
      </c>
      <c r="L1280" cm="1">
        <f t="array" ref="L1280">IFERROR(_xlfn.XLOOKUP(C1280&amp;A1280, RYOE!A:A&amp;RYOE!F:F, RYOE!C:C), "N/A")</f>
        <v>181</v>
      </c>
      <c r="M1280" cm="1">
        <f t="array" ref="M1280">IFERROR(_xlfn.XLOOKUP(C1280&amp;A1280, RYOE!A:A&amp;RYOE!F:F, RYOE!D:D), "N/A")</f>
        <v>0.98</v>
      </c>
      <c r="N1280" cm="1">
        <f t="array" ref="N1280">IFERROR(_xlfn.XLOOKUP(C1280&amp;A1280, RYOE!A:A&amp;RYOE!F:F, RYOE!E:E), "N/A")</f>
        <v>41.9</v>
      </c>
    </row>
    <row r="1281" spans="1:14" ht="15" customHeight="1" x14ac:dyDescent="0.45">
      <c r="A1281" s="8">
        <v>2018</v>
      </c>
      <c r="B1281" s="6" t="s">
        <v>281</v>
      </c>
      <c r="C1281" s="2" t="str">
        <f t="shared" si="38"/>
        <v>Derrick Henry</v>
      </c>
      <c r="D1281" s="2" t="str">
        <f t="shared" si="39"/>
        <v>TEN</v>
      </c>
      <c r="E1281" s="2">
        <v>215</v>
      </c>
      <c r="F1281" s="2">
        <v>1059</v>
      </c>
      <c r="G1281" s="2">
        <v>4.9000000000000004</v>
      </c>
      <c r="H1281" s="2">
        <v>12</v>
      </c>
      <c r="I1281">
        <v>1</v>
      </c>
      <c r="J1281">
        <v>16</v>
      </c>
      <c r="K1281" t="str" cm="1">
        <f t="array" ref="K1281">IFERROR(_xlfn.XLOOKUP(D1281&amp;A1281, RBWR!A:A&amp;RBWR!C:C, RBWR!B:B), "N/A")</f>
        <v>N/A</v>
      </c>
      <c r="L1281" cm="1">
        <f t="array" ref="L1281">IFERROR(_xlfn.XLOOKUP(C1281&amp;A1281, RYOE!A:A&amp;RYOE!F:F, RYOE!C:C), "N/A")</f>
        <v>236</v>
      </c>
      <c r="M1281" cm="1">
        <f t="array" ref="M1281">IFERROR(_xlfn.XLOOKUP(C1281&amp;A1281, RYOE!A:A&amp;RYOE!F:F, RYOE!D:D), "N/A")</f>
        <v>1.1100000000000001</v>
      </c>
      <c r="N1281" cm="1">
        <f t="array" ref="N1281">IFERROR(_xlfn.XLOOKUP(C1281&amp;A1281, RYOE!A:A&amp;RYOE!F:F, RYOE!E:E), "N/A")</f>
        <v>47.4</v>
      </c>
    </row>
    <row r="1282" spans="1:14" ht="15" customHeight="1" x14ac:dyDescent="0.45">
      <c r="A1282" s="7">
        <v>2018</v>
      </c>
      <c r="B1282" s="5" t="s">
        <v>477</v>
      </c>
      <c r="C1282" s="1" t="str">
        <f t="shared" ref="C1282:C1345" si="40">TRIM(LEFT(B1282, LEN(B1282) - LEN(TRIM(RIGHT(SUBSTITUTE(TRIM(B1282)," ",REPT(" ",100)),100)))))</f>
        <v>Chris Carson</v>
      </c>
      <c r="D1282" s="1" t="str">
        <f t="shared" ref="D1282:D1345" si="41">MID(B1282, FIND("(", B1282) + 1, FIND(")", B1282) - FIND("(", B1282) - 1)</f>
        <v>SEA</v>
      </c>
      <c r="E1282" s="1">
        <v>247</v>
      </c>
      <c r="F1282" s="1">
        <v>1151</v>
      </c>
      <c r="G1282" s="1">
        <v>4.7</v>
      </c>
      <c r="H1282" s="1">
        <v>9</v>
      </c>
      <c r="I1282">
        <v>2</v>
      </c>
      <c r="J1282">
        <v>14</v>
      </c>
      <c r="K1282" t="str" cm="1">
        <f t="array" ref="K1282">IFERROR(_xlfn.XLOOKUP(D1282&amp;A1282, RBWR!A:A&amp;RBWR!C:C, RBWR!B:B), "N/A")</f>
        <v>N/A</v>
      </c>
      <c r="L1282" cm="1">
        <f t="array" ref="L1282">IFERROR(_xlfn.XLOOKUP(C1282&amp;A1282, RYOE!A:A&amp;RYOE!F:F, RYOE!C:C), "N/A")</f>
        <v>110</v>
      </c>
      <c r="M1282" cm="1">
        <f t="array" ref="M1282">IFERROR(_xlfn.XLOOKUP(C1282&amp;A1282, RYOE!A:A&amp;RYOE!F:F, RYOE!D:D), "N/A")</f>
        <v>0.45</v>
      </c>
      <c r="N1282" cm="1">
        <f t="array" ref="N1282">IFERROR(_xlfn.XLOOKUP(C1282&amp;A1282, RYOE!A:A&amp;RYOE!F:F, RYOE!E:E), "N/A")</f>
        <v>44.5</v>
      </c>
    </row>
    <row r="1283" spans="1:14" ht="15" customHeight="1" x14ac:dyDescent="0.45">
      <c r="A1283" s="8">
        <v>2018</v>
      </c>
      <c r="B1283" s="6" t="s">
        <v>219</v>
      </c>
      <c r="C1283" s="2" t="str">
        <f t="shared" si="40"/>
        <v>Nick Chubb</v>
      </c>
      <c r="D1283" s="2" t="str">
        <f t="shared" si="41"/>
        <v>CLE</v>
      </c>
      <c r="E1283" s="2">
        <v>192</v>
      </c>
      <c r="F1283" s="2">
        <v>996</v>
      </c>
      <c r="G1283" s="2">
        <v>5.2</v>
      </c>
      <c r="H1283" s="2">
        <v>8</v>
      </c>
      <c r="I1283">
        <v>0</v>
      </c>
      <c r="J1283">
        <v>16</v>
      </c>
      <c r="K1283" t="str" cm="1">
        <f t="array" ref="K1283">IFERROR(_xlfn.XLOOKUP(D1283&amp;A1283, RBWR!A:A&amp;RBWR!C:C, RBWR!B:B), "N/A")</f>
        <v>N/A</v>
      </c>
      <c r="L1283" cm="1">
        <f t="array" ref="L1283">IFERROR(_xlfn.XLOOKUP(C1283&amp;A1283, RYOE!A:A&amp;RYOE!F:F, RYOE!C:C), "N/A")</f>
        <v>195</v>
      </c>
      <c r="M1283" cm="1">
        <f t="array" ref="M1283">IFERROR(_xlfn.XLOOKUP(C1283&amp;A1283, RYOE!A:A&amp;RYOE!F:F, RYOE!D:D), "N/A")</f>
        <v>1.04</v>
      </c>
      <c r="N1283" cm="1">
        <f t="array" ref="N1283">IFERROR(_xlfn.XLOOKUP(C1283&amp;A1283, RYOE!A:A&amp;RYOE!F:F, RYOE!E:E), "N/A")</f>
        <v>35.6</v>
      </c>
    </row>
    <row r="1284" spans="1:14" ht="15" customHeight="1" x14ac:dyDescent="0.45">
      <c r="A1284" s="7">
        <v>2018</v>
      </c>
      <c r="B1284" s="5" t="s">
        <v>636</v>
      </c>
      <c r="C1284" s="1" t="str">
        <f t="shared" si="40"/>
        <v>Adrian Peterson</v>
      </c>
      <c r="D1284" s="1" t="str">
        <f t="shared" si="41"/>
        <v>WAS</v>
      </c>
      <c r="E1284" s="1">
        <v>251</v>
      </c>
      <c r="F1284" s="1">
        <v>1042</v>
      </c>
      <c r="G1284" s="1">
        <v>4.2</v>
      </c>
      <c r="H1284" s="1">
        <v>7</v>
      </c>
      <c r="I1284">
        <v>2</v>
      </c>
      <c r="J1284">
        <v>16</v>
      </c>
      <c r="K1284" t="str" cm="1">
        <f t="array" ref="K1284">IFERROR(_xlfn.XLOOKUP(D1284&amp;A1284, RBWR!A:A&amp;RBWR!C:C, RBWR!B:B), "N/A")</f>
        <v>N/A</v>
      </c>
      <c r="L1284" cm="1">
        <f t="array" ref="L1284">IFERROR(_xlfn.XLOOKUP(C1284&amp;A1284, RYOE!A:A&amp;RYOE!F:F, RYOE!C:C), "N/A")</f>
        <v>61</v>
      </c>
      <c r="M1284" cm="1">
        <f t="array" ref="M1284">IFERROR(_xlfn.XLOOKUP(C1284&amp;A1284, RYOE!A:A&amp;RYOE!F:F, RYOE!D:D), "N/A")</f>
        <v>0.25</v>
      </c>
      <c r="N1284" cm="1">
        <f t="array" ref="N1284">IFERROR(_xlfn.XLOOKUP(C1284&amp;A1284, RYOE!A:A&amp;RYOE!F:F, RYOE!E:E), "N/A")</f>
        <v>35.799999999999997</v>
      </c>
    </row>
    <row r="1285" spans="1:14" ht="15" customHeight="1" x14ac:dyDescent="0.45">
      <c r="A1285" s="8">
        <v>2018</v>
      </c>
      <c r="B1285" s="6" t="s">
        <v>533</v>
      </c>
      <c r="C1285" s="2" t="str">
        <f t="shared" si="40"/>
        <v>Tarik Cohen</v>
      </c>
      <c r="D1285" s="2" t="str">
        <f t="shared" si="41"/>
        <v>CHI</v>
      </c>
      <c r="E1285" s="2">
        <v>99</v>
      </c>
      <c r="F1285" s="2">
        <v>444</v>
      </c>
      <c r="G1285" s="2">
        <v>4.5</v>
      </c>
      <c r="H1285" s="2">
        <v>3</v>
      </c>
      <c r="I1285">
        <v>3</v>
      </c>
      <c r="J1285">
        <v>16</v>
      </c>
      <c r="K1285" t="str" cm="1">
        <f t="array" ref="K1285">IFERROR(_xlfn.XLOOKUP(D1285&amp;A1285, RBWR!A:A&amp;RBWR!C:C, RBWR!B:B), "N/A")</f>
        <v>N/A</v>
      </c>
      <c r="L1285" cm="1">
        <f t="array" ref="L1285">IFERROR(_xlfn.XLOOKUP(C1285&amp;A1285, RYOE!A:A&amp;RYOE!F:F, RYOE!C:C), "N/A")</f>
        <v>-41</v>
      </c>
      <c r="M1285" cm="1">
        <f t="array" ref="M1285">IFERROR(_xlfn.XLOOKUP(C1285&amp;A1285, RYOE!A:A&amp;RYOE!F:F, RYOE!D:D), "N/A")</f>
        <v>-0.43</v>
      </c>
      <c r="N1285" cm="1">
        <f t="array" ref="N1285">IFERROR(_xlfn.XLOOKUP(C1285&amp;A1285, RYOE!A:A&amp;RYOE!F:F, RYOE!E:E), "N/A")</f>
        <v>36.799999999999997</v>
      </c>
    </row>
    <row r="1286" spans="1:14" ht="15" customHeight="1" x14ac:dyDescent="0.45">
      <c r="A1286" s="7">
        <v>2018</v>
      </c>
      <c r="B1286" s="5" t="s">
        <v>728</v>
      </c>
      <c r="C1286" s="1" t="str">
        <f t="shared" si="40"/>
        <v>Tevin Coleman</v>
      </c>
      <c r="D1286" s="1" t="str">
        <f t="shared" si="41"/>
        <v>ATL</v>
      </c>
      <c r="E1286" s="1">
        <v>167</v>
      </c>
      <c r="F1286" s="1">
        <v>800</v>
      </c>
      <c r="G1286" s="1">
        <v>4.8</v>
      </c>
      <c r="H1286" s="1">
        <v>4</v>
      </c>
      <c r="I1286">
        <v>0</v>
      </c>
      <c r="J1286">
        <v>16</v>
      </c>
      <c r="K1286" t="str" cm="1">
        <f t="array" ref="K1286">IFERROR(_xlfn.XLOOKUP(D1286&amp;A1286, RBWR!A:A&amp;RBWR!C:C, RBWR!B:B), "N/A")</f>
        <v>N/A</v>
      </c>
      <c r="L1286" cm="1">
        <f t="array" ref="L1286">IFERROR(_xlfn.XLOOKUP(C1286&amp;A1286, RYOE!A:A&amp;RYOE!F:F, RYOE!C:C), "N/A")</f>
        <v>-25</v>
      </c>
      <c r="M1286" cm="1">
        <f t="array" ref="M1286">IFERROR(_xlfn.XLOOKUP(C1286&amp;A1286, RYOE!A:A&amp;RYOE!F:F, RYOE!D:D), "N/A")</f>
        <v>-0.15</v>
      </c>
      <c r="N1286" cm="1">
        <f t="array" ref="N1286">IFERROR(_xlfn.XLOOKUP(C1286&amp;A1286, RYOE!A:A&amp;RYOE!F:F, RYOE!E:E), "N/A")</f>
        <v>32.299999999999997</v>
      </c>
    </row>
    <row r="1287" spans="1:14" ht="15" customHeight="1" x14ac:dyDescent="0.45">
      <c r="A1287" s="8">
        <v>2018</v>
      </c>
      <c r="B1287" s="6" t="s">
        <v>502</v>
      </c>
      <c r="C1287" s="2" t="str">
        <f t="shared" si="40"/>
        <v>Marlon Mack</v>
      </c>
      <c r="D1287" s="2" t="str">
        <f t="shared" si="41"/>
        <v>IND</v>
      </c>
      <c r="E1287" s="2">
        <v>195</v>
      </c>
      <c r="F1287" s="2">
        <v>908</v>
      </c>
      <c r="G1287" s="2">
        <v>4.7</v>
      </c>
      <c r="H1287" s="2">
        <v>9</v>
      </c>
      <c r="I1287">
        <v>2</v>
      </c>
      <c r="J1287">
        <v>12</v>
      </c>
      <c r="K1287" t="str" cm="1">
        <f t="array" ref="K1287">IFERROR(_xlfn.XLOOKUP(D1287&amp;A1287, RBWR!A:A&amp;RBWR!C:C, RBWR!B:B), "N/A")</f>
        <v>N/A</v>
      </c>
      <c r="L1287" cm="1">
        <f t="array" ref="L1287">IFERROR(_xlfn.XLOOKUP(C1287&amp;A1287, RYOE!A:A&amp;RYOE!F:F, RYOE!C:C), "N/A")</f>
        <v>39</v>
      </c>
      <c r="M1287" cm="1">
        <f t="array" ref="M1287">IFERROR(_xlfn.XLOOKUP(C1287&amp;A1287, RYOE!A:A&amp;RYOE!F:F, RYOE!D:D), "N/A")</f>
        <v>0.2</v>
      </c>
      <c r="N1287" cm="1">
        <f t="array" ref="N1287">IFERROR(_xlfn.XLOOKUP(C1287&amp;A1287, RYOE!A:A&amp;RYOE!F:F, RYOE!E:E), "N/A")</f>
        <v>40.799999999999997</v>
      </c>
    </row>
    <row r="1288" spans="1:14" ht="15" customHeight="1" x14ac:dyDescent="0.45">
      <c r="A1288" s="7">
        <v>2018</v>
      </c>
      <c r="B1288" s="5" t="s">
        <v>729</v>
      </c>
      <c r="C1288" s="1" t="str">
        <f t="shared" si="40"/>
        <v>Jordan Howard</v>
      </c>
      <c r="D1288" s="1" t="str">
        <f t="shared" si="41"/>
        <v>CHI</v>
      </c>
      <c r="E1288" s="1">
        <v>250</v>
      </c>
      <c r="F1288" s="1">
        <v>935</v>
      </c>
      <c r="G1288" s="1">
        <v>3.7</v>
      </c>
      <c r="H1288" s="1">
        <v>9</v>
      </c>
      <c r="I1288">
        <v>1</v>
      </c>
      <c r="J1288">
        <v>16</v>
      </c>
      <c r="K1288" t="str" cm="1">
        <f t="array" ref="K1288">IFERROR(_xlfn.XLOOKUP(D1288&amp;A1288, RBWR!A:A&amp;RBWR!C:C, RBWR!B:B), "N/A")</f>
        <v>N/A</v>
      </c>
      <c r="L1288" cm="1">
        <f t="array" ref="L1288">IFERROR(_xlfn.XLOOKUP(C1288&amp;A1288, RYOE!A:A&amp;RYOE!F:F, RYOE!C:C), "N/A")</f>
        <v>-113</v>
      </c>
      <c r="M1288" cm="1">
        <f t="array" ref="M1288">IFERROR(_xlfn.XLOOKUP(C1288&amp;A1288, RYOE!A:A&amp;RYOE!F:F, RYOE!D:D), "N/A")</f>
        <v>-0.45</v>
      </c>
      <c r="N1288" cm="1">
        <f t="array" ref="N1288">IFERROR(_xlfn.XLOOKUP(C1288&amp;A1288, RYOE!A:A&amp;RYOE!F:F, RYOE!E:E), "N/A")</f>
        <v>33.5</v>
      </c>
    </row>
    <row r="1289" spans="1:14" ht="15" customHeight="1" x14ac:dyDescent="0.45">
      <c r="A1289" s="8">
        <v>2018</v>
      </c>
      <c r="B1289" s="6" t="s">
        <v>730</v>
      </c>
      <c r="C1289" s="2" t="str">
        <f t="shared" si="40"/>
        <v>Kenyan Drake</v>
      </c>
      <c r="D1289" s="2" t="str">
        <f t="shared" si="41"/>
        <v>MIA</v>
      </c>
      <c r="E1289" s="2">
        <v>120</v>
      </c>
      <c r="F1289" s="2">
        <v>535</v>
      </c>
      <c r="G1289" s="2">
        <v>4.5</v>
      </c>
      <c r="H1289" s="2">
        <v>4</v>
      </c>
      <c r="I1289">
        <v>1</v>
      </c>
      <c r="J1289">
        <v>16</v>
      </c>
      <c r="K1289" t="str" cm="1">
        <f t="array" ref="K1289">IFERROR(_xlfn.XLOOKUP(D1289&amp;A1289, RBWR!A:A&amp;RBWR!C:C, RBWR!B:B), "N/A")</f>
        <v>N/A</v>
      </c>
      <c r="L1289" cm="1">
        <f t="array" ref="L1289">IFERROR(_xlfn.XLOOKUP(C1289&amp;A1289, RYOE!A:A&amp;RYOE!F:F, RYOE!C:C), "N/A")</f>
        <v>13</v>
      </c>
      <c r="M1289" cm="1">
        <f t="array" ref="M1289">IFERROR(_xlfn.XLOOKUP(C1289&amp;A1289, RYOE!A:A&amp;RYOE!F:F, RYOE!D:D), "N/A")</f>
        <v>0.11</v>
      </c>
      <c r="N1289" cm="1">
        <f t="array" ref="N1289">IFERROR(_xlfn.XLOOKUP(C1289&amp;A1289, RYOE!A:A&amp;RYOE!F:F, RYOE!E:E), "N/A")</f>
        <v>37.6</v>
      </c>
    </row>
    <row r="1290" spans="1:14" ht="15" customHeight="1" x14ac:dyDescent="0.45">
      <c r="A1290" s="7">
        <v>2018</v>
      </c>
      <c r="B1290" s="5" t="s">
        <v>700</v>
      </c>
      <c r="C1290" s="1" t="str">
        <f t="shared" si="40"/>
        <v>Lamar Miller</v>
      </c>
      <c r="D1290" s="1" t="str">
        <f t="shared" si="41"/>
        <v>HOU</v>
      </c>
      <c r="E1290" s="1">
        <v>210</v>
      </c>
      <c r="F1290" s="1">
        <v>973</v>
      </c>
      <c r="G1290" s="1">
        <v>4.5999999999999996</v>
      </c>
      <c r="H1290" s="1">
        <v>5</v>
      </c>
      <c r="I1290">
        <v>1</v>
      </c>
      <c r="J1290">
        <v>14</v>
      </c>
      <c r="K1290" t="str" cm="1">
        <f t="array" ref="K1290">IFERROR(_xlfn.XLOOKUP(D1290&amp;A1290, RBWR!A:A&amp;RBWR!C:C, RBWR!B:B), "N/A")</f>
        <v>N/A</v>
      </c>
      <c r="L1290" cm="1">
        <f t="array" ref="L1290">IFERROR(_xlfn.XLOOKUP(C1290&amp;A1290, RYOE!A:A&amp;RYOE!F:F, RYOE!C:C), "N/A")</f>
        <v>130</v>
      </c>
      <c r="M1290" cm="1">
        <f t="array" ref="M1290">IFERROR(_xlfn.XLOOKUP(C1290&amp;A1290, RYOE!A:A&amp;RYOE!F:F, RYOE!D:D), "N/A")</f>
        <v>0.62</v>
      </c>
      <c r="N1290" cm="1">
        <f t="array" ref="N1290">IFERROR(_xlfn.XLOOKUP(C1290&amp;A1290, RYOE!A:A&amp;RYOE!F:F, RYOE!E:E), "N/A")</f>
        <v>38.6</v>
      </c>
    </row>
    <row r="1291" spans="1:14" ht="15" customHeight="1" x14ac:dyDescent="0.45">
      <c r="A1291" s="8">
        <v>2018</v>
      </c>
      <c r="B1291" s="6" t="s">
        <v>292</v>
      </c>
      <c r="C1291" s="2" t="str">
        <f t="shared" si="40"/>
        <v>Aaron Jones Sr.</v>
      </c>
      <c r="D1291" s="2" t="str">
        <f t="shared" si="41"/>
        <v>GB</v>
      </c>
      <c r="E1291" s="2">
        <v>133</v>
      </c>
      <c r="F1291" s="2">
        <v>728</v>
      </c>
      <c r="G1291" s="2">
        <v>5.5</v>
      </c>
      <c r="H1291" s="2">
        <v>8</v>
      </c>
      <c r="I1291">
        <v>1</v>
      </c>
      <c r="J1291">
        <v>12</v>
      </c>
      <c r="K1291" t="str" cm="1">
        <f t="array" ref="K1291">IFERROR(_xlfn.XLOOKUP(D1291&amp;A1291, RBWR!A:A&amp;RBWR!C:C, RBWR!B:B), "N/A")</f>
        <v>N/A</v>
      </c>
      <c r="L1291" cm="1">
        <f t="array" ref="L1291">IFERROR(_xlfn.XLOOKUP(C1291&amp;A1291, RYOE!A:A&amp;RYOE!F:F, RYOE!C:C), "N/A")</f>
        <v>86</v>
      </c>
      <c r="M1291" cm="1">
        <f t="array" ref="M1291">IFERROR(_xlfn.XLOOKUP(C1291&amp;A1291, RYOE!A:A&amp;RYOE!F:F, RYOE!D:D), "N/A")</f>
        <v>0.66</v>
      </c>
      <c r="N1291" cm="1">
        <f t="array" ref="N1291">IFERROR(_xlfn.XLOOKUP(C1291&amp;A1291, RYOE!A:A&amp;RYOE!F:F, RYOE!E:E), "N/A")</f>
        <v>42.7</v>
      </c>
    </row>
    <row r="1292" spans="1:14" ht="15" customHeight="1" x14ac:dyDescent="0.45">
      <c r="A1292" s="7">
        <v>2018</v>
      </c>
      <c r="B1292" s="5" t="s">
        <v>642</v>
      </c>
      <c r="C1292" s="1" t="str">
        <f t="shared" si="40"/>
        <v>Matt Breida</v>
      </c>
      <c r="D1292" s="1" t="str">
        <f t="shared" si="41"/>
        <v>SF</v>
      </c>
      <c r="E1292" s="1">
        <v>153</v>
      </c>
      <c r="F1292" s="1">
        <v>814</v>
      </c>
      <c r="G1292" s="1">
        <v>5.3</v>
      </c>
      <c r="H1292" s="1">
        <v>3</v>
      </c>
      <c r="I1292">
        <v>1</v>
      </c>
      <c r="J1292">
        <v>14</v>
      </c>
      <c r="K1292" t="str" cm="1">
        <f t="array" ref="K1292">IFERROR(_xlfn.XLOOKUP(D1292&amp;A1292, RBWR!A:A&amp;RBWR!C:C, RBWR!B:B), "N/A")</f>
        <v>N/A</v>
      </c>
      <c r="L1292" cm="1">
        <f t="array" ref="L1292">IFERROR(_xlfn.XLOOKUP(C1292&amp;A1292, RYOE!A:A&amp;RYOE!F:F, RYOE!C:C), "N/A")</f>
        <v>90</v>
      </c>
      <c r="M1292" cm="1">
        <f t="array" ref="M1292">IFERROR(_xlfn.XLOOKUP(C1292&amp;A1292, RYOE!A:A&amp;RYOE!F:F, RYOE!D:D), "N/A")</f>
        <v>0.61</v>
      </c>
      <c r="N1292" cm="1">
        <f t="array" ref="N1292">IFERROR(_xlfn.XLOOKUP(C1292&amp;A1292, RYOE!A:A&amp;RYOE!F:F, RYOE!E:E), "N/A")</f>
        <v>37.200000000000003</v>
      </c>
    </row>
    <row r="1293" spans="1:14" ht="15" customHeight="1" x14ac:dyDescent="0.45">
      <c r="A1293" s="8">
        <v>2018</v>
      </c>
      <c r="B1293" s="6" t="s">
        <v>570</v>
      </c>
      <c r="C1293" s="2" t="str">
        <f t="shared" si="40"/>
        <v>Sony Michel</v>
      </c>
      <c r="D1293" s="2" t="str">
        <f t="shared" si="41"/>
        <v>NE</v>
      </c>
      <c r="E1293" s="2">
        <v>209</v>
      </c>
      <c r="F1293" s="2">
        <v>931</v>
      </c>
      <c r="G1293" s="2">
        <v>4.5</v>
      </c>
      <c r="H1293" s="2">
        <v>6</v>
      </c>
      <c r="I1293">
        <v>1</v>
      </c>
      <c r="J1293">
        <v>13</v>
      </c>
      <c r="K1293" t="str" cm="1">
        <f t="array" ref="K1293">IFERROR(_xlfn.XLOOKUP(D1293&amp;A1293, RBWR!A:A&amp;RBWR!C:C, RBWR!B:B), "N/A")</f>
        <v>N/A</v>
      </c>
      <c r="L1293" cm="1">
        <f t="array" ref="L1293">IFERROR(_xlfn.XLOOKUP(C1293&amp;A1293, RYOE!A:A&amp;RYOE!F:F, RYOE!C:C), "N/A")</f>
        <v>-60</v>
      </c>
      <c r="M1293" cm="1">
        <f t="array" ref="M1293">IFERROR(_xlfn.XLOOKUP(C1293&amp;A1293, RYOE!A:A&amp;RYOE!F:F, RYOE!D:D), "N/A")</f>
        <v>-0.3</v>
      </c>
      <c r="N1293" cm="1">
        <f t="array" ref="N1293">IFERROR(_xlfn.XLOOKUP(C1293&amp;A1293, RYOE!A:A&amp;RYOE!F:F, RYOE!E:E), "N/A")</f>
        <v>35.799999999999997</v>
      </c>
    </row>
    <row r="1294" spans="1:14" ht="15" customHeight="1" x14ac:dyDescent="0.45">
      <c r="A1294" s="7">
        <v>2018</v>
      </c>
      <c r="B1294" s="5" t="s">
        <v>639</v>
      </c>
      <c r="C1294" s="1" t="str">
        <f t="shared" si="40"/>
        <v>Peyton Barber</v>
      </c>
      <c r="D1294" s="1" t="str">
        <f t="shared" si="41"/>
        <v>TB</v>
      </c>
      <c r="E1294" s="1">
        <v>234</v>
      </c>
      <c r="F1294" s="1">
        <v>871</v>
      </c>
      <c r="G1294" s="1">
        <v>3.7</v>
      </c>
      <c r="H1294" s="1">
        <v>5</v>
      </c>
      <c r="I1294">
        <v>1</v>
      </c>
      <c r="J1294">
        <v>16</v>
      </c>
      <c r="K1294" t="str" cm="1">
        <f t="array" ref="K1294">IFERROR(_xlfn.XLOOKUP(D1294&amp;A1294, RBWR!A:A&amp;RBWR!C:C, RBWR!B:B), "N/A")</f>
        <v>N/A</v>
      </c>
      <c r="L1294" cm="1">
        <f t="array" ref="L1294">IFERROR(_xlfn.XLOOKUP(C1294&amp;A1294, RYOE!A:A&amp;RYOE!F:F, RYOE!C:C), "N/A")</f>
        <v>-1</v>
      </c>
      <c r="M1294" cm="1">
        <f t="array" ref="M1294">IFERROR(_xlfn.XLOOKUP(C1294&amp;A1294, RYOE!A:A&amp;RYOE!F:F, RYOE!D:D), "N/A")</f>
        <v>-0.01</v>
      </c>
      <c r="N1294" cm="1">
        <f t="array" ref="N1294">IFERROR(_xlfn.XLOOKUP(C1294&amp;A1294, RYOE!A:A&amp;RYOE!F:F, RYOE!E:E), "N/A")</f>
        <v>41.5</v>
      </c>
    </row>
    <row r="1295" spans="1:14" ht="15" customHeight="1" x14ac:dyDescent="0.45">
      <c r="A1295" s="8">
        <v>2018</v>
      </c>
      <c r="B1295" s="6" t="s">
        <v>290</v>
      </c>
      <c r="C1295" s="2" t="str">
        <f t="shared" si="40"/>
        <v>Austin Ekeler</v>
      </c>
      <c r="D1295" s="2" t="str">
        <f t="shared" si="41"/>
        <v>LAC</v>
      </c>
      <c r="E1295" s="2">
        <v>106</v>
      </c>
      <c r="F1295" s="2">
        <v>554</v>
      </c>
      <c r="G1295" s="2">
        <v>5.2</v>
      </c>
      <c r="H1295" s="2">
        <v>3</v>
      </c>
      <c r="I1295">
        <v>1</v>
      </c>
      <c r="J1295">
        <v>14</v>
      </c>
      <c r="K1295" t="str" cm="1">
        <f t="array" ref="K1295">IFERROR(_xlfn.XLOOKUP(D1295&amp;A1295, RBWR!A:A&amp;RBWR!C:C, RBWR!B:B), "N/A")</f>
        <v>N/A</v>
      </c>
      <c r="L1295" cm="1">
        <f t="array" ref="L1295">IFERROR(_xlfn.XLOOKUP(C1295&amp;A1295, RYOE!A:A&amp;RYOE!F:F, RYOE!C:C), "N/A")</f>
        <v>7</v>
      </c>
      <c r="M1295" cm="1">
        <f t="array" ref="M1295">IFERROR(_xlfn.XLOOKUP(C1295&amp;A1295, RYOE!A:A&amp;RYOE!F:F, RYOE!D:D), "N/A")</f>
        <v>0.06</v>
      </c>
      <c r="N1295" cm="1">
        <f t="array" ref="N1295">IFERROR(_xlfn.XLOOKUP(C1295&amp;A1295, RYOE!A:A&amp;RYOE!F:F, RYOE!E:E), "N/A")</f>
        <v>36.9</v>
      </c>
    </row>
    <row r="1296" spans="1:14" ht="15" customHeight="1" x14ac:dyDescent="0.45">
      <c r="A1296" s="7">
        <v>2018</v>
      </c>
      <c r="B1296" s="5" t="s">
        <v>395</v>
      </c>
      <c r="C1296" s="1" t="str">
        <f t="shared" si="40"/>
        <v>Mark Ingram II</v>
      </c>
      <c r="D1296" s="1" t="str">
        <f t="shared" si="41"/>
        <v>NO</v>
      </c>
      <c r="E1296" s="1">
        <v>138</v>
      </c>
      <c r="F1296" s="1">
        <v>645</v>
      </c>
      <c r="G1296" s="1">
        <v>4.7</v>
      </c>
      <c r="H1296" s="1">
        <v>6</v>
      </c>
      <c r="I1296">
        <v>1</v>
      </c>
      <c r="J1296">
        <v>12</v>
      </c>
      <c r="K1296" t="str" cm="1">
        <f t="array" ref="K1296">IFERROR(_xlfn.XLOOKUP(D1296&amp;A1296, RBWR!A:A&amp;RBWR!C:C, RBWR!B:B), "N/A")</f>
        <v>N/A</v>
      </c>
      <c r="L1296" cm="1">
        <f t="array" ref="L1296">IFERROR(_xlfn.XLOOKUP(C1296&amp;A1296, RYOE!A:A&amp;RYOE!F:F, RYOE!C:C), "N/A")</f>
        <v>68</v>
      </c>
      <c r="M1296" cm="1">
        <f t="array" ref="M1296">IFERROR(_xlfn.XLOOKUP(C1296&amp;A1296, RYOE!A:A&amp;RYOE!F:F, RYOE!D:D), "N/A")</f>
        <v>0.51</v>
      </c>
      <c r="N1296" cm="1">
        <f t="array" ref="N1296">IFERROR(_xlfn.XLOOKUP(C1296&amp;A1296, RYOE!A:A&amp;RYOE!F:F, RYOE!E:E), "N/A")</f>
        <v>36.6</v>
      </c>
    </row>
    <row r="1297" spans="1:14" ht="15" customHeight="1" x14ac:dyDescent="0.45">
      <c r="A1297" s="8">
        <v>2018</v>
      </c>
      <c r="B1297" s="6" t="s">
        <v>731</v>
      </c>
      <c r="C1297" s="2" t="str">
        <f t="shared" si="40"/>
        <v>Isaiah Crowell</v>
      </c>
      <c r="D1297" s="2" t="str">
        <f t="shared" si="41"/>
        <v>NYJ</v>
      </c>
      <c r="E1297" s="2">
        <v>143</v>
      </c>
      <c r="F1297" s="2">
        <v>685</v>
      </c>
      <c r="G1297" s="2">
        <v>4.8</v>
      </c>
      <c r="H1297" s="2">
        <v>6</v>
      </c>
      <c r="I1297">
        <v>0</v>
      </c>
      <c r="J1297">
        <v>13</v>
      </c>
      <c r="K1297" t="str" cm="1">
        <f t="array" ref="K1297">IFERROR(_xlfn.XLOOKUP(D1297&amp;A1297, RBWR!A:A&amp;RBWR!C:C, RBWR!B:B), "N/A")</f>
        <v>N/A</v>
      </c>
      <c r="L1297" cm="1">
        <f t="array" ref="L1297">IFERROR(_xlfn.XLOOKUP(C1297&amp;A1297, RYOE!A:A&amp;RYOE!F:F, RYOE!C:C), "N/A")</f>
        <v>134</v>
      </c>
      <c r="M1297" cm="1">
        <f t="array" ref="M1297">IFERROR(_xlfn.XLOOKUP(C1297&amp;A1297, RYOE!A:A&amp;RYOE!F:F, RYOE!D:D), "N/A")</f>
        <v>0.94</v>
      </c>
      <c r="N1297" cm="1">
        <f t="array" ref="N1297">IFERROR(_xlfn.XLOOKUP(C1297&amp;A1297, RYOE!A:A&amp;RYOE!F:F, RYOE!E:E), "N/A")</f>
        <v>32.200000000000003</v>
      </c>
    </row>
    <row r="1298" spans="1:14" ht="15" customHeight="1" x14ac:dyDescent="0.45">
      <c r="A1298" s="7">
        <v>2018</v>
      </c>
      <c r="B1298" s="5" t="s">
        <v>732</v>
      </c>
      <c r="C1298" s="1" t="str">
        <f t="shared" si="40"/>
        <v>T.J. Yeldon</v>
      </c>
      <c r="D1298" s="1" t="str">
        <f t="shared" si="41"/>
        <v>JAC</v>
      </c>
      <c r="E1298" s="1">
        <v>104</v>
      </c>
      <c r="F1298" s="1">
        <v>414</v>
      </c>
      <c r="G1298" s="1">
        <v>4</v>
      </c>
      <c r="H1298" s="1">
        <v>1</v>
      </c>
      <c r="I1298">
        <v>1</v>
      </c>
      <c r="J1298">
        <v>14</v>
      </c>
      <c r="K1298" t="str" cm="1">
        <f t="array" ref="K1298">IFERROR(_xlfn.XLOOKUP(D1298&amp;A1298, RBWR!A:A&amp;RBWR!C:C, RBWR!B:B), "N/A")</f>
        <v>N/A</v>
      </c>
      <c r="L1298" cm="1">
        <f t="array" ref="L1298">IFERROR(_xlfn.XLOOKUP(C1298&amp;A1298, RYOE!A:A&amp;RYOE!F:F, RYOE!C:C), "N/A")</f>
        <v>4</v>
      </c>
      <c r="M1298" cm="1">
        <f t="array" ref="M1298">IFERROR(_xlfn.XLOOKUP(C1298&amp;A1298, RYOE!A:A&amp;RYOE!F:F, RYOE!D:D), "N/A")</f>
        <v>0.03</v>
      </c>
      <c r="N1298" cm="1">
        <f t="array" ref="N1298">IFERROR(_xlfn.XLOOKUP(C1298&amp;A1298, RYOE!A:A&amp;RYOE!F:F, RYOE!E:E), "N/A")</f>
        <v>41.7</v>
      </c>
    </row>
    <row r="1299" spans="1:14" ht="15" customHeight="1" x14ac:dyDescent="0.45">
      <c r="A1299" s="8">
        <v>2018</v>
      </c>
      <c r="B1299" s="6" t="s">
        <v>371</v>
      </c>
      <c r="C1299" s="2" t="str">
        <f t="shared" si="40"/>
        <v>Dalvin Cook</v>
      </c>
      <c r="D1299" s="2" t="str">
        <f t="shared" si="41"/>
        <v>MIN</v>
      </c>
      <c r="E1299" s="2">
        <v>133</v>
      </c>
      <c r="F1299" s="2">
        <v>615</v>
      </c>
      <c r="G1299" s="2">
        <v>4.5999999999999996</v>
      </c>
      <c r="H1299" s="2">
        <v>2</v>
      </c>
      <c r="I1299">
        <v>2</v>
      </c>
      <c r="J1299">
        <v>11</v>
      </c>
      <c r="K1299" t="str" cm="1">
        <f t="array" ref="K1299">IFERROR(_xlfn.XLOOKUP(D1299&amp;A1299, RBWR!A:A&amp;RBWR!C:C, RBWR!B:B), "N/A")</f>
        <v>N/A</v>
      </c>
      <c r="L1299" cm="1">
        <f t="array" ref="L1299">IFERROR(_xlfn.XLOOKUP(C1299&amp;A1299, RYOE!A:A&amp;RYOE!F:F, RYOE!C:C), "N/A")</f>
        <v>21</v>
      </c>
      <c r="M1299" cm="1">
        <f t="array" ref="M1299">IFERROR(_xlfn.XLOOKUP(C1299&amp;A1299, RYOE!A:A&amp;RYOE!F:F, RYOE!D:D), "N/A")</f>
        <v>0.16</v>
      </c>
      <c r="N1299" cm="1">
        <f t="array" ref="N1299">IFERROR(_xlfn.XLOOKUP(C1299&amp;A1299, RYOE!A:A&amp;RYOE!F:F, RYOE!E:E), "N/A")</f>
        <v>32.1</v>
      </c>
    </row>
    <row r="1300" spans="1:14" ht="15" customHeight="1" x14ac:dyDescent="0.45">
      <c r="A1300" s="7">
        <v>2018</v>
      </c>
      <c r="B1300" s="5" t="s">
        <v>733</v>
      </c>
      <c r="C1300" s="1" t="str">
        <f t="shared" si="40"/>
        <v>Latavius Murray</v>
      </c>
      <c r="D1300" s="1" t="str">
        <f t="shared" si="41"/>
        <v>MIN</v>
      </c>
      <c r="E1300" s="1">
        <v>140</v>
      </c>
      <c r="F1300" s="1">
        <v>578</v>
      </c>
      <c r="G1300" s="1">
        <v>4.0999999999999996</v>
      </c>
      <c r="H1300" s="1">
        <v>6</v>
      </c>
      <c r="I1300">
        <v>0</v>
      </c>
      <c r="J1300">
        <v>16</v>
      </c>
      <c r="K1300" t="str" cm="1">
        <f t="array" ref="K1300">IFERROR(_xlfn.XLOOKUP(D1300&amp;A1300, RBWR!A:A&amp;RBWR!C:C, RBWR!B:B), "N/A")</f>
        <v>N/A</v>
      </c>
      <c r="L1300" cm="1">
        <f t="array" ref="L1300">IFERROR(_xlfn.XLOOKUP(C1300&amp;A1300, RYOE!A:A&amp;RYOE!F:F, RYOE!C:C), "N/A")</f>
        <v>37</v>
      </c>
      <c r="M1300" cm="1">
        <f t="array" ref="M1300">IFERROR(_xlfn.XLOOKUP(C1300&amp;A1300, RYOE!A:A&amp;RYOE!F:F, RYOE!D:D), "N/A")</f>
        <v>0.27</v>
      </c>
      <c r="N1300" cm="1">
        <f t="array" ref="N1300">IFERROR(_xlfn.XLOOKUP(C1300&amp;A1300, RYOE!A:A&amp;RYOE!F:F, RYOE!E:E), "N/A")</f>
        <v>39.1</v>
      </c>
    </row>
    <row r="1301" spans="1:14" ht="15" customHeight="1" x14ac:dyDescent="0.45">
      <c r="A1301" s="8">
        <v>2018</v>
      </c>
      <c r="B1301" s="6" t="s">
        <v>575</v>
      </c>
      <c r="C1301" s="2" t="str">
        <f t="shared" si="40"/>
        <v>Kerryon Johnson</v>
      </c>
      <c r="D1301" s="2" t="str">
        <f t="shared" si="41"/>
        <v>DET</v>
      </c>
      <c r="E1301" s="2">
        <v>118</v>
      </c>
      <c r="F1301" s="2">
        <v>641</v>
      </c>
      <c r="G1301" s="2">
        <v>5.4</v>
      </c>
      <c r="H1301" s="2">
        <v>3</v>
      </c>
      <c r="I1301">
        <v>1</v>
      </c>
      <c r="J1301">
        <v>10</v>
      </c>
      <c r="K1301" t="str" cm="1">
        <f t="array" ref="K1301">IFERROR(_xlfn.XLOOKUP(D1301&amp;A1301, RBWR!A:A&amp;RBWR!C:C, RBWR!B:B), "N/A")</f>
        <v>N/A</v>
      </c>
      <c r="L1301" cm="1">
        <f t="array" ref="L1301">IFERROR(_xlfn.XLOOKUP(C1301&amp;A1301, RYOE!A:A&amp;RYOE!F:F, RYOE!C:C), "N/A")</f>
        <v>152</v>
      </c>
      <c r="M1301" cm="1">
        <f t="array" ref="M1301">IFERROR(_xlfn.XLOOKUP(C1301&amp;A1301, RYOE!A:A&amp;RYOE!F:F, RYOE!D:D), "N/A")</f>
        <v>1.29</v>
      </c>
      <c r="N1301" cm="1">
        <f t="array" ref="N1301">IFERROR(_xlfn.XLOOKUP(C1301&amp;A1301, RYOE!A:A&amp;RYOE!F:F, RYOE!E:E), "N/A")</f>
        <v>44.9</v>
      </c>
    </row>
    <row r="1302" spans="1:14" ht="15" customHeight="1" x14ac:dyDescent="0.45">
      <c r="A1302" s="7">
        <v>2018</v>
      </c>
      <c r="B1302" s="5" t="s">
        <v>734</v>
      </c>
      <c r="C1302" s="1" t="str">
        <f t="shared" si="40"/>
        <v>Mike Davis</v>
      </c>
      <c r="D1302" s="1" t="str">
        <f t="shared" si="41"/>
        <v>SEA</v>
      </c>
      <c r="E1302" s="1">
        <v>112</v>
      </c>
      <c r="F1302" s="1">
        <v>514</v>
      </c>
      <c r="G1302" s="1">
        <v>4.5999999999999996</v>
      </c>
      <c r="H1302" s="1">
        <v>4</v>
      </c>
      <c r="I1302">
        <v>0</v>
      </c>
      <c r="J1302">
        <v>15</v>
      </c>
      <c r="K1302" t="str" cm="1">
        <f t="array" ref="K1302">IFERROR(_xlfn.XLOOKUP(D1302&amp;A1302, RBWR!A:A&amp;RBWR!C:C, RBWR!B:B), "N/A")</f>
        <v>N/A</v>
      </c>
      <c r="L1302" cm="1">
        <f t="array" ref="L1302">IFERROR(_xlfn.XLOOKUP(C1302&amp;A1302, RYOE!A:A&amp;RYOE!F:F, RYOE!C:C), "N/A")</f>
        <v>48</v>
      </c>
      <c r="M1302" cm="1">
        <f t="array" ref="M1302">IFERROR(_xlfn.XLOOKUP(C1302&amp;A1302, RYOE!A:A&amp;RYOE!F:F, RYOE!D:D), "N/A")</f>
        <v>0.43</v>
      </c>
      <c r="N1302" cm="1">
        <f t="array" ref="N1302">IFERROR(_xlfn.XLOOKUP(C1302&amp;A1302, RYOE!A:A&amp;RYOE!F:F, RYOE!E:E), "N/A")</f>
        <v>43.2</v>
      </c>
    </row>
    <row r="1303" spans="1:14" ht="15" customHeight="1" x14ac:dyDescent="0.45">
      <c r="A1303" s="8">
        <v>2018</v>
      </c>
      <c r="B1303" s="6" t="s">
        <v>735</v>
      </c>
      <c r="C1303" s="2" t="str">
        <f t="shared" si="40"/>
        <v>Doug Martin</v>
      </c>
      <c r="D1303" s="2" t="str">
        <f t="shared" si="41"/>
        <v>OAK</v>
      </c>
      <c r="E1303" s="2">
        <v>172</v>
      </c>
      <c r="F1303" s="2">
        <v>723</v>
      </c>
      <c r="G1303" s="2">
        <v>4.2</v>
      </c>
      <c r="H1303" s="2">
        <v>4</v>
      </c>
      <c r="I1303">
        <v>3</v>
      </c>
      <c r="J1303">
        <v>16</v>
      </c>
      <c r="K1303" t="str" cm="1">
        <f t="array" ref="K1303">IFERROR(_xlfn.XLOOKUP(D1303&amp;A1303, RBWR!A:A&amp;RBWR!C:C, RBWR!B:B), "N/A")</f>
        <v>N/A</v>
      </c>
      <c r="L1303" cm="1">
        <f t="array" ref="L1303">IFERROR(_xlfn.XLOOKUP(C1303&amp;A1303, RYOE!A:A&amp;RYOE!F:F, RYOE!C:C), "N/A")</f>
        <v>5</v>
      </c>
      <c r="M1303" cm="1">
        <f t="array" ref="M1303">IFERROR(_xlfn.XLOOKUP(C1303&amp;A1303, RYOE!A:A&amp;RYOE!F:F, RYOE!D:D), "N/A")</f>
        <v>0.03</v>
      </c>
      <c r="N1303" cm="1">
        <f t="array" ref="N1303">IFERROR(_xlfn.XLOOKUP(C1303&amp;A1303, RYOE!A:A&amp;RYOE!F:F, RYOE!E:E), "N/A")</f>
        <v>38.4</v>
      </c>
    </row>
    <row r="1304" spans="1:14" ht="15" customHeight="1" x14ac:dyDescent="0.45">
      <c r="A1304" s="7">
        <v>2018</v>
      </c>
      <c r="B1304" s="5" t="s">
        <v>649</v>
      </c>
      <c r="C1304" s="1" t="str">
        <f t="shared" si="40"/>
        <v>Dion Lewis</v>
      </c>
      <c r="D1304" s="1" t="str">
        <f t="shared" si="41"/>
        <v>TEN</v>
      </c>
      <c r="E1304" s="1">
        <v>155</v>
      </c>
      <c r="F1304" s="1">
        <v>517</v>
      </c>
      <c r="G1304" s="1">
        <v>3.3</v>
      </c>
      <c r="H1304" s="1">
        <v>1</v>
      </c>
      <c r="I1304">
        <v>1</v>
      </c>
      <c r="J1304">
        <v>16</v>
      </c>
      <c r="K1304" t="str" cm="1">
        <f t="array" ref="K1304">IFERROR(_xlfn.XLOOKUP(D1304&amp;A1304, RBWR!A:A&amp;RBWR!C:C, RBWR!B:B), "N/A")</f>
        <v>N/A</v>
      </c>
      <c r="L1304" cm="1">
        <f t="array" ref="L1304">IFERROR(_xlfn.XLOOKUP(C1304&amp;A1304, RYOE!A:A&amp;RYOE!F:F, RYOE!C:C), "N/A")</f>
        <v>-64</v>
      </c>
      <c r="M1304" cm="1">
        <f t="array" ref="M1304">IFERROR(_xlfn.XLOOKUP(C1304&amp;A1304, RYOE!A:A&amp;RYOE!F:F, RYOE!D:D), "N/A")</f>
        <v>-0.41</v>
      </c>
      <c r="N1304" cm="1">
        <f t="array" ref="N1304">IFERROR(_xlfn.XLOOKUP(C1304&amp;A1304, RYOE!A:A&amp;RYOE!F:F, RYOE!E:E), "N/A")</f>
        <v>34.200000000000003</v>
      </c>
    </row>
    <row r="1305" spans="1:14" ht="15" customHeight="1" x14ac:dyDescent="0.45">
      <c r="A1305" s="8">
        <v>2018</v>
      </c>
      <c r="B1305" s="6" t="s">
        <v>630</v>
      </c>
      <c r="C1305" s="2" t="str">
        <f t="shared" si="40"/>
        <v>Leonard Fournette</v>
      </c>
      <c r="D1305" s="2" t="str">
        <f t="shared" si="41"/>
        <v>JAC</v>
      </c>
      <c r="E1305" s="2">
        <v>133</v>
      </c>
      <c r="F1305" s="2">
        <v>439</v>
      </c>
      <c r="G1305" s="2">
        <v>3.3</v>
      </c>
      <c r="H1305" s="2">
        <v>5</v>
      </c>
      <c r="I1305">
        <v>0</v>
      </c>
      <c r="J1305">
        <v>8</v>
      </c>
      <c r="K1305" t="str" cm="1">
        <f t="array" ref="K1305">IFERROR(_xlfn.XLOOKUP(D1305&amp;A1305, RBWR!A:A&amp;RBWR!C:C, RBWR!B:B), "N/A")</f>
        <v>N/A</v>
      </c>
      <c r="L1305" cm="1">
        <f t="array" ref="L1305">IFERROR(_xlfn.XLOOKUP(C1305&amp;A1305, RYOE!A:A&amp;RYOE!F:F, RYOE!C:C), "N/A")</f>
        <v>-25</v>
      </c>
      <c r="M1305" cm="1">
        <f t="array" ref="M1305">IFERROR(_xlfn.XLOOKUP(C1305&amp;A1305, RYOE!A:A&amp;RYOE!F:F, RYOE!D:D), "N/A")</f>
        <v>-0.19</v>
      </c>
      <c r="N1305" cm="1">
        <f t="array" ref="N1305">IFERROR(_xlfn.XLOOKUP(C1305&amp;A1305, RYOE!A:A&amp;RYOE!F:F, RYOE!E:E), "N/A")</f>
        <v>38.6</v>
      </c>
    </row>
    <row r="1306" spans="1:14" ht="15" customHeight="1" x14ac:dyDescent="0.45">
      <c r="A1306" s="7">
        <v>2018</v>
      </c>
      <c r="B1306" s="5" t="s">
        <v>464</v>
      </c>
      <c r="C1306" s="1" t="str">
        <f t="shared" si="40"/>
        <v>Nyheim Miller-Hines</v>
      </c>
      <c r="D1306" s="1" t="str">
        <f t="shared" si="41"/>
        <v>IND</v>
      </c>
      <c r="E1306" s="1">
        <v>85</v>
      </c>
      <c r="F1306" s="1">
        <v>314</v>
      </c>
      <c r="G1306" s="1">
        <v>3.7</v>
      </c>
      <c r="H1306" s="1">
        <v>2</v>
      </c>
      <c r="I1306">
        <v>0</v>
      </c>
      <c r="J1306">
        <v>16</v>
      </c>
      <c r="K1306" t="str" cm="1">
        <f t="array" ref="K1306">IFERROR(_xlfn.XLOOKUP(D1306&amp;A1306, RBWR!A:A&amp;RBWR!C:C, RBWR!B:B), "N/A")</f>
        <v>N/A</v>
      </c>
      <c r="L1306" cm="1">
        <f t="array" ref="L1306">IFERROR(_xlfn.XLOOKUP(C1306&amp;A1306, RYOE!A:A&amp;RYOE!F:F, RYOE!C:C), "N/A")</f>
        <v>-74</v>
      </c>
      <c r="M1306" cm="1">
        <f t="array" ref="M1306">IFERROR(_xlfn.XLOOKUP(C1306&amp;A1306, RYOE!A:A&amp;RYOE!F:F, RYOE!D:D), "N/A")</f>
        <v>-0.88</v>
      </c>
      <c r="N1306" cm="1">
        <f t="array" ref="N1306">IFERROR(_xlfn.XLOOKUP(C1306&amp;A1306, RYOE!A:A&amp;RYOE!F:F, RYOE!E:E), "N/A")</f>
        <v>31</v>
      </c>
    </row>
    <row r="1307" spans="1:14" ht="15" customHeight="1" x14ac:dyDescent="0.45">
      <c r="A1307" s="8">
        <v>2018</v>
      </c>
      <c r="B1307" s="6" t="s">
        <v>713</v>
      </c>
      <c r="C1307" s="2" t="str">
        <f t="shared" si="40"/>
        <v>Alex Collins</v>
      </c>
      <c r="D1307" s="2" t="str">
        <f t="shared" si="41"/>
        <v>BAL</v>
      </c>
      <c r="E1307" s="2">
        <v>114</v>
      </c>
      <c r="F1307" s="2">
        <v>411</v>
      </c>
      <c r="G1307" s="2">
        <v>3.6</v>
      </c>
      <c r="H1307" s="2">
        <v>7</v>
      </c>
      <c r="I1307">
        <v>3</v>
      </c>
      <c r="J1307">
        <v>10</v>
      </c>
      <c r="K1307" t="str" cm="1">
        <f t="array" ref="K1307">IFERROR(_xlfn.XLOOKUP(D1307&amp;A1307, RBWR!A:A&amp;RBWR!C:C, RBWR!B:B), "N/A")</f>
        <v>N/A</v>
      </c>
      <c r="L1307" cm="1">
        <f t="array" ref="L1307">IFERROR(_xlfn.XLOOKUP(C1307&amp;A1307, RYOE!A:A&amp;RYOE!F:F, RYOE!C:C), "N/A")</f>
        <v>-39</v>
      </c>
      <c r="M1307" cm="1">
        <f t="array" ref="M1307">IFERROR(_xlfn.XLOOKUP(C1307&amp;A1307, RYOE!A:A&amp;RYOE!F:F, RYOE!D:D), "N/A")</f>
        <v>-0.36</v>
      </c>
      <c r="N1307" cm="1">
        <f t="array" ref="N1307">IFERROR(_xlfn.XLOOKUP(C1307&amp;A1307, RYOE!A:A&amp;RYOE!F:F, RYOE!E:E), "N/A")</f>
        <v>41.3</v>
      </c>
    </row>
    <row r="1308" spans="1:14" ht="15" customHeight="1" x14ac:dyDescent="0.45">
      <c r="A1308" s="7">
        <v>2018</v>
      </c>
      <c r="B1308" s="5" t="s">
        <v>736</v>
      </c>
      <c r="C1308" s="1" t="str">
        <f t="shared" si="40"/>
        <v>LeSean McCoy</v>
      </c>
      <c r="D1308" s="1" t="str">
        <f t="shared" si="41"/>
        <v>BUF</v>
      </c>
      <c r="E1308" s="1">
        <v>161</v>
      </c>
      <c r="F1308" s="1">
        <v>514</v>
      </c>
      <c r="G1308" s="1">
        <v>3.2</v>
      </c>
      <c r="H1308" s="1">
        <v>3</v>
      </c>
      <c r="I1308">
        <v>0</v>
      </c>
      <c r="J1308">
        <v>14</v>
      </c>
      <c r="K1308" t="str" cm="1">
        <f t="array" ref="K1308">IFERROR(_xlfn.XLOOKUP(D1308&amp;A1308, RBWR!A:A&amp;RBWR!C:C, RBWR!B:B), "N/A")</f>
        <v>N/A</v>
      </c>
      <c r="L1308" cm="1">
        <f t="array" ref="L1308">IFERROR(_xlfn.XLOOKUP(C1308&amp;A1308, RYOE!A:A&amp;RYOE!F:F, RYOE!C:C), "N/A")</f>
        <v>-165</v>
      </c>
      <c r="M1308" cm="1">
        <f t="array" ref="M1308">IFERROR(_xlfn.XLOOKUP(C1308&amp;A1308, RYOE!A:A&amp;RYOE!F:F, RYOE!D:D), "N/A")</f>
        <v>-1.05</v>
      </c>
      <c r="N1308" cm="1">
        <f t="array" ref="N1308">IFERROR(_xlfn.XLOOKUP(C1308&amp;A1308, RYOE!A:A&amp;RYOE!F:F, RYOE!E:E), "N/A")</f>
        <v>30.6</v>
      </c>
    </row>
    <row r="1309" spans="1:14" ht="15" customHeight="1" x14ac:dyDescent="0.45">
      <c r="A1309" s="8">
        <v>2018</v>
      </c>
      <c r="B1309" s="6" t="s">
        <v>737</v>
      </c>
      <c r="C1309" s="2" t="str">
        <f t="shared" si="40"/>
        <v>Frank Gore</v>
      </c>
      <c r="D1309" s="2" t="str">
        <f t="shared" si="41"/>
        <v>MIA</v>
      </c>
      <c r="E1309" s="2">
        <v>156</v>
      </c>
      <c r="F1309" s="2">
        <v>722</v>
      </c>
      <c r="G1309" s="2">
        <v>4.5999999999999996</v>
      </c>
      <c r="H1309" s="2">
        <v>0</v>
      </c>
      <c r="I1309">
        <v>0</v>
      </c>
      <c r="J1309">
        <v>14</v>
      </c>
      <c r="K1309" t="str" cm="1">
        <f t="array" ref="K1309">IFERROR(_xlfn.XLOOKUP(D1309&amp;A1309, RBWR!A:A&amp;RBWR!C:C, RBWR!B:B), "N/A")</f>
        <v>N/A</v>
      </c>
      <c r="L1309" cm="1">
        <f t="array" ref="L1309">IFERROR(_xlfn.XLOOKUP(C1309&amp;A1309, RYOE!A:A&amp;RYOE!F:F, RYOE!C:C), "N/A")</f>
        <v>53</v>
      </c>
      <c r="M1309" cm="1">
        <f t="array" ref="M1309">IFERROR(_xlfn.XLOOKUP(C1309&amp;A1309, RYOE!A:A&amp;RYOE!F:F, RYOE!D:D), "N/A")</f>
        <v>0.34</v>
      </c>
      <c r="N1309" cm="1">
        <f t="array" ref="N1309">IFERROR(_xlfn.XLOOKUP(C1309&amp;A1309, RYOE!A:A&amp;RYOE!F:F, RYOE!E:E), "N/A")</f>
        <v>39</v>
      </c>
    </row>
    <row r="1310" spans="1:14" ht="15" customHeight="1" x14ac:dyDescent="0.45">
      <c r="A1310" s="7">
        <v>2018</v>
      </c>
      <c r="B1310" s="5" t="s">
        <v>738</v>
      </c>
      <c r="C1310" s="1" t="str">
        <f t="shared" si="40"/>
        <v>Wendell Smallwood</v>
      </c>
      <c r="D1310" s="1" t="str">
        <f t="shared" si="41"/>
        <v>PHI</v>
      </c>
      <c r="E1310" s="1">
        <v>87</v>
      </c>
      <c r="F1310" s="1">
        <v>364</v>
      </c>
      <c r="G1310" s="1">
        <v>4.2</v>
      </c>
      <c r="H1310" s="1">
        <v>3</v>
      </c>
      <c r="I1310">
        <v>1</v>
      </c>
      <c r="J1310">
        <v>16</v>
      </c>
      <c r="K1310" t="str" cm="1">
        <f t="array" ref="K1310">IFERROR(_xlfn.XLOOKUP(D1310&amp;A1310, RBWR!A:A&amp;RBWR!C:C, RBWR!B:B), "N/A")</f>
        <v>N/A</v>
      </c>
      <c r="L1310" cm="1">
        <f t="array" ref="L1310">IFERROR(_xlfn.XLOOKUP(C1310&amp;A1310, RYOE!A:A&amp;RYOE!F:F, RYOE!C:C), "N/A")</f>
        <v>-42</v>
      </c>
      <c r="M1310" cm="1">
        <f t="array" ref="M1310">IFERROR(_xlfn.XLOOKUP(C1310&amp;A1310, RYOE!A:A&amp;RYOE!F:F, RYOE!D:D), "N/A")</f>
        <v>-0.48</v>
      </c>
      <c r="N1310" cm="1">
        <f t="array" ref="N1310">IFERROR(_xlfn.XLOOKUP(C1310&amp;A1310, RYOE!A:A&amp;RYOE!F:F, RYOE!E:E), "N/A")</f>
        <v>39.1</v>
      </c>
    </row>
    <row r="1311" spans="1:14" ht="15" customHeight="1" x14ac:dyDescent="0.45">
      <c r="A1311" s="8">
        <v>2018</v>
      </c>
      <c r="B1311" s="6" t="s">
        <v>647</v>
      </c>
      <c r="C1311" s="2" t="str">
        <f t="shared" si="40"/>
        <v>Jalen Richard</v>
      </c>
      <c r="D1311" s="2" t="str">
        <f t="shared" si="41"/>
        <v>OAK</v>
      </c>
      <c r="E1311" s="2">
        <v>55</v>
      </c>
      <c r="F1311" s="2">
        <v>259</v>
      </c>
      <c r="G1311" s="2">
        <v>4.7</v>
      </c>
      <c r="H1311" s="2">
        <v>1</v>
      </c>
      <c r="I1311">
        <v>2</v>
      </c>
      <c r="J1311">
        <v>16</v>
      </c>
      <c r="K1311" t="str" cm="1">
        <f t="array" ref="K1311">IFERROR(_xlfn.XLOOKUP(D1311&amp;A1311, RBWR!A:A&amp;RBWR!C:C, RBWR!B:B), "N/A")</f>
        <v>N/A</v>
      </c>
      <c r="L1311" t="str" cm="1">
        <f t="array" ref="L1311">IFERROR(_xlfn.XLOOKUP(C1311&amp;A1311, RYOE!A:A&amp;RYOE!F:F, RYOE!C:C), "N/A")</f>
        <v>N/A</v>
      </c>
      <c r="M1311" t="str" cm="1">
        <f t="array" ref="M1311">IFERROR(_xlfn.XLOOKUP(C1311&amp;A1311, RYOE!A:A&amp;RYOE!F:F, RYOE!D:D), "N/A")</f>
        <v>N/A</v>
      </c>
      <c r="N1311" t="str" cm="1">
        <f t="array" ref="N1311">IFERROR(_xlfn.XLOOKUP(C1311&amp;A1311, RYOE!A:A&amp;RYOE!F:F, RYOE!E:E), "N/A")</f>
        <v>N/A</v>
      </c>
    </row>
    <row r="1312" spans="1:14" ht="15" customHeight="1" x14ac:dyDescent="0.45">
      <c r="A1312" s="7">
        <v>2018</v>
      </c>
      <c r="B1312" s="5" t="s">
        <v>483</v>
      </c>
      <c r="C1312" s="1" t="str">
        <f t="shared" si="40"/>
        <v>Carlos Hyde</v>
      </c>
      <c r="D1312" s="1" t="str">
        <f t="shared" si="41"/>
        <v>JAC</v>
      </c>
      <c r="E1312" s="1">
        <v>172</v>
      </c>
      <c r="F1312" s="1">
        <v>571</v>
      </c>
      <c r="G1312" s="1">
        <v>3.3</v>
      </c>
      <c r="H1312" s="1">
        <v>5</v>
      </c>
      <c r="I1312">
        <v>1</v>
      </c>
      <c r="J1312">
        <v>14</v>
      </c>
      <c r="K1312" t="str" cm="1">
        <f t="array" ref="K1312">IFERROR(_xlfn.XLOOKUP(D1312&amp;A1312, RBWR!A:A&amp;RBWR!C:C, RBWR!B:B), "N/A")</f>
        <v>N/A</v>
      </c>
      <c r="L1312" cm="1">
        <f t="array" ref="L1312">IFERROR(_xlfn.XLOOKUP(C1312&amp;A1312, RYOE!A:A&amp;RYOE!F:F, RYOE!C:C), "N/A")</f>
        <v>-94</v>
      </c>
      <c r="M1312" cm="1">
        <f t="array" ref="M1312">IFERROR(_xlfn.XLOOKUP(C1312&amp;A1312, RYOE!A:A&amp;RYOE!F:F, RYOE!D:D), "N/A")</f>
        <v>-0.57999999999999996</v>
      </c>
      <c r="N1312" cm="1">
        <f t="array" ref="N1312">IFERROR(_xlfn.XLOOKUP(C1312&amp;A1312, RYOE!A:A&amp;RYOE!F:F, RYOE!E:E), "N/A")</f>
        <v>40.5</v>
      </c>
    </row>
    <row r="1313" spans="1:14" ht="15" customHeight="1" x14ac:dyDescent="0.45">
      <c r="A1313" s="8">
        <v>2018</v>
      </c>
      <c r="B1313" s="6" t="s">
        <v>284</v>
      </c>
      <c r="C1313" s="2" t="str">
        <f t="shared" si="40"/>
        <v>Gus Edwards</v>
      </c>
      <c r="D1313" s="2" t="str">
        <f t="shared" si="41"/>
        <v>BAL</v>
      </c>
      <c r="E1313" s="2">
        <v>137</v>
      </c>
      <c r="F1313" s="2">
        <v>718</v>
      </c>
      <c r="G1313" s="2">
        <v>5.2</v>
      </c>
      <c r="H1313" s="2">
        <v>2</v>
      </c>
      <c r="I1313">
        <v>0</v>
      </c>
      <c r="J1313">
        <v>11</v>
      </c>
      <c r="K1313" t="str" cm="1">
        <f t="array" ref="K1313">IFERROR(_xlfn.XLOOKUP(D1313&amp;A1313, RBWR!A:A&amp;RBWR!C:C, RBWR!B:B), "N/A")</f>
        <v>N/A</v>
      </c>
      <c r="L1313" cm="1">
        <f t="array" ref="L1313">IFERROR(_xlfn.XLOOKUP(C1313&amp;A1313, RYOE!A:A&amp;RYOE!F:F, RYOE!C:C), "N/A")</f>
        <v>46</v>
      </c>
      <c r="M1313" cm="1">
        <f t="array" ref="M1313">IFERROR(_xlfn.XLOOKUP(C1313&amp;A1313, RYOE!A:A&amp;RYOE!F:F, RYOE!D:D), "N/A")</f>
        <v>0.34</v>
      </c>
      <c r="N1313" cm="1">
        <f t="array" ref="N1313">IFERROR(_xlfn.XLOOKUP(C1313&amp;A1313, RYOE!A:A&amp;RYOE!F:F, RYOE!E:E), "N/A")</f>
        <v>41.9</v>
      </c>
    </row>
    <row r="1314" spans="1:14" ht="15" customHeight="1" x14ac:dyDescent="0.45">
      <c r="A1314" s="7">
        <v>2018</v>
      </c>
      <c r="B1314" s="5" t="s">
        <v>563</v>
      </c>
      <c r="C1314" s="1" t="str">
        <f t="shared" si="40"/>
        <v>Jamaal Williams</v>
      </c>
      <c r="D1314" s="1" t="str">
        <f t="shared" si="41"/>
        <v>GB</v>
      </c>
      <c r="E1314" s="1">
        <v>121</v>
      </c>
      <c r="F1314" s="1">
        <v>463</v>
      </c>
      <c r="G1314" s="1">
        <v>3.8</v>
      </c>
      <c r="H1314" s="1">
        <v>3</v>
      </c>
      <c r="I1314">
        <v>0</v>
      </c>
      <c r="J1314">
        <v>16</v>
      </c>
      <c r="K1314" t="str" cm="1">
        <f t="array" ref="K1314">IFERROR(_xlfn.XLOOKUP(D1314&amp;A1314, RBWR!A:A&amp;RBWR!C:C, RBWR!B:B), "N/A")</f>
        <v>N/A</v>
      </c>
      <c r="L1314" cm="1">
        <f t="array" ref="L1314">IFERROR(_xlfn.XLOOKUP(C1314&amp;A1314, RYOE!A:A&amp;RYOE!F:F, RYOE!C:C), "N/A")</f>
        <v>-64</v>
      </c>
      <c r="M1314" cm="1">
        <f t="array" ref="M1314">IFERROR(_xlfn.XLOOKUP(C1314&amp;A1314, RYOE!A:A&amp;RYOE!F:F, RYOE!D:D), "N/A")</f>
        <v>-0.53</v>
      </c>
      <c r="N1314" cm="1">
        <f t="array" ref="N1314">IFERROR(_xlfn.XLOOKUP(C1314&amp;A1314, RYOE!A:A&amp;RYOE!F:F, RYOE!E:E), "N/A")</f>
        <v>36.1</v>
      </c>
    </row>
    <row r="1315" spans="1:14" ht="15" customHeight="1" x14ac:dyDescent="0.45">
      <c r="A1315" s="8">
        <v>2018</v>
      </c>
      <c r="B1315" s="6" t="s">
        <v>586</v>
      </c>
      <c r="C1315" s="2" t="str">
        <f t="shared" si="40"/>
        <v>Royce Freeman</v>
      </c>
      <c r="D1315" s="2" t="str">
        <f t="shared" si="41"/>
        <v>DEN</v>
      </c>
      <c r="E1315" s="2">
        <v>130</v>
      </c>
      <c r="F1315" s="2">
        <v>521</v>
      </c>
      <c r="G1315" s="2">
        <v>4</v>
      </c>
      <c r="H1315" s="2">
        <v>5</v>
      </c>
      <c r="I1315">
        <v>1</v>
      </c>
      <c r="J1315">
        <v>14</v>
      </c>
      <c r="K1315" t="str" cm="1">
        <f t="array" ref="K1315">IFERROR(_xlfn.XLOOKUP(D1315&amp;A1315, RBWR!A:A&amp;RBWR!C:C, RBWR!B:B), "N/A")</f>
        <v>N/A</v>
      </c>
      <c r="L1315" cm="1">
        <f t="array" ref="L1315">IFERROR(_xlfn.XLOOKUP(C1315&amp;A1315, RYOE!A:A&amp;RYOE!F:F, RYOE!C:C), "N/A")</f>
        <v>-3</v>
      </c>
      <c r="M1315" cm="1">
        <f t="array" ref="M1315">IFERROR(_xlfn.XLOOKUP(C1315&amp;A1315, RYOE!A:A&amp;RYOE!F:F, RYOE!D:D), "N/A")</f>
        <v>-0.03</v>
      </c>
      <c r="N1315" cm="1">
        <f t="array" ref="N1315">IFERROR(_xlfn.XLOOKUP(C1315&amp;A1315, RYOE!A:A&amp;RYOE!F:F, RYOE!E:E), "N/A")</f>
        <v>42.2</v>
      </c>
    </row>
    <row r="1316" spans="1:14" ht="15" customHeight="1" x14ac:dyDescent="0.45">
      <c r="A1316" s="7">
        <v>2018</v>
      </c>
      <c r="B1316" s="5" t="s">
        <v>739</v>
      </c>
      <c r="C1316" s="1" t="str">
        <f t="shared" si="40"/>
        <v>Duke Johnson Jr.</v>
      </c>
      <c r="D1316" s="1" t="str">
        <f t="shared" si="41"/>
        <v>CLE</v>
      </c>
      <c r="E1316" s="1">
        <v>40</v>
      </c>
      <c r="F1316" s="1">
        <v>201</v>
      </c>
      <c r="G1316" s="1">
        <v>5</v>
      </c>
      <c r="H1316" s="1">
        <v>0</v>
      </c>
      <c r="I1316">
        <v>0</v>
      </c>
      <c r="J1316">
        <v>16</v>
      </c>
      <c r="K1316" t="str" cm="1">
        <f t="array" ref="K1316">IFERROR(_xlfn.XLOOKUP(D1316&amp;A1316, RBWR!A:A&amp;RBWR!C:C, RBWR!B:B), "N/A")</f>
        <v>N/A</v>
      </c>
      <c r="L1316" t="str" cm="1">
        <f t="array" ref="L1316">IFERROR(_xlfn.XLOOKUP(C1316&amp;A1316, RYOE!A:A&amp;RYOE!F:F, RYOE!C:C), "N/A")</f>
        <v>N/A</v>
      </c>
      <c r="M1316" t="str" cm="1">
        <f t="array" ref="M1316">IFERROR(_xlfn.XLOOKUP(C1316&amp;A1316, RYOE!A:A&amp;RYOE!F:F, RYOE!D:D), "N/A")</f>
        <v>N/A</v>
      </c>
      <c r="N1316" t="str" cm="1">
        <f t="array" ref="N1316">IFERROR(_xlfn.XLOOKUP(C1316&amp;A1316, RYOE!A:A&amp;RYOE!F:F, RYOE!E:E), "N/A")</f>
        <v>N/A</v>
      </c>
    </row>
    <row r="1317" spans="1:14" ht="15" customHeight="1" x14ac:dyDescent="0.45">
      <c r="A1317" s="8">
        <v>2018</v>
      </c>
      <c r="B1317" s="6" t="s">
        <v>740</v>
      </c>
      <c r="C1317" s="2" t="str">
        <f t="shared" si="40"/>
        <v>Alfred Blue</v>
      </c>
      <c r="D1317" s="2" t="str">
        <f t="shared" si="41"/>
        <v>HOU</v>
      </c>
      <c r="E1317" s="2">
        <v>150</v>
      </c>
      <c r="F1317" s="2">
        <v>499</v>
      </c>
      <c r="G1317" s="2">
        <v>3.3</v>
      </c>
      <c r="H1317" s="2">
        <v>2</v>
      </c>
      <c r="I1317">
        <v>0</v>
      </c>
      <c r="J1317">
        <v>16</v>
      </c>
      <c r="K1317" t="str" cm="1">
        <f t="array" ref="K1317">IFERROR(_xlfn.XLOOKUP(D1317&amp;A1317, RBWR!A:A&amp;RBWR!C:C, RBWR!B:B), "N/A")</f>
        <v>N/A</v>
      </c>
      <c r="L1317" cm="1">
        <f t="array" ref="L1317">IFERROR(_xlfn.XLOOKUP(C1317&amp;A1317, RYOE!A:A&amp;RYOE!F:F, RYOE!C:C), "N/A")</f>
        <v>-50</v>
      </c>
      <c r="M1317" cm="1">
        <f t="array" ref="M1317">IFERROR(_xlfn.XLOOKUP(C1317&amp;A1317, RYOE!A:A&amp;RYOE!F:F, RYOE!D:D), "N/A")</f>
        <v>-0.34</v>
      </c>
      <c r="N1317" cm="1">
        <f t="array" ref="N1317">IFERROR(_xlfn.XLOOKUP(C1317&amp;A1317, RYOE!A:A&amp;RYOE!F:F, RYOE!E:E), "N/A")</f>
        <v>36.1</v>
      </c>
    </row>
    <row r="1318" spans="1:14" ht="15" customHeight="1" x14ac:dyDescent="0.45">
      <c r="A1318" s="7">
        <v>2018</v>
      </c>
      <c r="B1318" s="5" t="s">
        <v>696</v>
      </c>
      <c r="C1318" s="1" t="str">
        <f t="shared" si="40"/>
        <v>LeGarrette Blount</v>
      </c>
      <c r="D1318" s="1" t="str">
        <f t="shared" si="41"/>
        <v>DET</v>
      </c>
      <c r="E1318" s="1">
        <v>154</v>
      </c>
      <c r="F1318" s="1">
        <v>418</v>
      </c>
      <c r="G1318" s="1">
        <v>2.7</v>
      </c>
      <c r="H1318" s="1">
        <v>5</v>
      </c>
      <c r="I1318">
        <v>1</v>
      </c>
      <c r="J1318">
        <v>16</v>
      </c>
      <c r="K1318" t="str" cm="1">
        <f t="array" ref="K1318">IFERROR(_xlfn.XLOOKUP(D1318&amp;A1318, RBWR!A:A&amp;RBWR!C:C, RBWR!B:B), "N/A")</f>
        <v>N/A</v>
      </c>
      <c r="L1318" cm="1">
        <f t="array" ref="L1318">IFERROR(_xlfn.XLOOKUP(C1318&amp;A1318, RYOE!A:A&amp;RYOE!F:F, RYOE!C:C), "N/A")</f>
        <v>-152</v>
      </c>
      <c r="M1318" cm="1">
        <f t="array" ref="M1318">IFERROR(_xlfn.XLOOKUP(C1318&amp;A1318, RYOE!A:A&amp;RYOE!F:F, RYOE!D:D), "N/A")</f>
        <v>-0.98</v>
      </c>
      <c r="N1318" cm="1">
        <f t="array" ref="N1318">IFERROR(_xlfn.XLOOKUP(C1318&amp;A1318, RYOE!A:A&amp;RYOE!F:F, RYOE!E:E), "N/A")</f>
        <v>26.6</v>
      </c>
    </row>
    <row r="1319" spans="1:14" ht="15" customHeight="1" x14ac:dyDescent="0.45">
      <c r="A1319" s="8">
        <v>2018</v>
      </c>
      <c r="B1319" s="6" t="s">
        <v>637</v>
      </c>
      <c r="C1319" s="2" t="str">
        <f t="shared" si="40"/>
        <v>Damien Williams</v>
      </c>
      <c r="D1319" s="2" t="str">
        <f t="shared" si="41"/>
        <v>KC</v>
      </c>
      <c r="E1319" s="2">
        <v>50</v>
      </c>
      <c r="F1319" s="2">
        <v>256</v>
      </c>
      <c r="G1319" s="2">
        <v>5.0999999999999996</v>
      </c>
      <c r="H1319" s="2">
        <v>4</v>
      </c>
      <c r="I1319">
        <v>1</v>
      </c>
      <c r="J1319">
        <v>16</v>
      </c>
      <c r="K1319" t="str" cm="1">
        <f t="array" ref="K1319">IFERROR(_xlfn.XLOOKUP(D1319&amp;A1319, RBWR!A:A&amp;RBWR!C:C, RBWR!B:B), "N/A")</f>
        <v>N/A</v>
      </c>
      <c r="L1319" t="str" cm="1">
        <f t="array" ref="L1319">IFERROR(_xlfn.XLOOKUP(C1319&amp;A1319, RYOE!A:A&amp;RYOE!F:F, RYOE!C:C), "N/A")</f>
        <v>N/A</v>
      </c>
      <c r="M1319" t="str" cm="1">
        <f t="array" ref="M1319">IFERROR(_xlfn.XLOOKUP(C1319&amp;A1319, RYOE!A:A&amp;RYOE!F:F, RYOE!D:D), "N/A")</f>
        <v>N/A</v>
      </c>
      <c r="N1319" t="str" cm="1">
        <f t="array" ref="N1319">IFERROR(_xlfn.XLOOKUP(C1319&amp;A1319, RYOE!A:A&amp;RYOE!F:F, RYOE!E:E), "N/A")</f>
        <v>N/A</v>
      </c>
    </row>
    <row r="1320" spans="1:14" ht="15" customHeight="1" x14ac:dyDescent="0.45">
      <c r="A1320" s="7">
        <v>2018</v>
      </c>
      <c r="B1320" s="5" t="s">
        <v>741</v>
      </c>
      <c r="C1320" s="1" t="str">
        <f t="shared" si="40"/>
        <v>Josh Adams</v>
      </c>
      <c r="D1320" s="1" t="str">
        <f t="shared" si="41"/>
        <v>PHI</v>
      </c>
      <c r="E1320" s="1">
        <v>120</v>
      </c>
      <c r="F1320" s="1">
        <v>511</v>
      </c>
      <c r="G1320" s="1">
        <v>4.3</v>
      </c>
      <c r="H1320" s="1">
        <v>3</v>
      </c>
      <c r="I1320">
        <v>1</v>
      </c>
      <c r="J1320">
        <v>16</v>
      </c>
      <c r="K1320" t="str" cm="1">
        <f t="array" ref="K1320">IFERROR(_xlfn.XLOOKUP(D1320&amp;A1320, RBWR!A:A&amp;RBWR!C:C, RBWR!B:B), "N/A")</f>
        <v>N/A</v>
      </c>
      <c r="L1320" cm="1">
        <f t="array" ref="L1320">IFERROR(_xlfn.XLOOKUP(C1320&amp;A1320, RYOE!A:A&amp;RYOE!F:F, RYOE!C:C), "N/A")</f>
        <v>-18</v>
      </c>
      <c r="M1320" cm="1">
        <f t="array" ref="M1320">IFERROR(_xlfn.XLOOKUP(C1320&amp;A1320, RYOE!A:A&amp;RYOE!F:F, RYOE!D:D), "N/A")</f>
        <v>-0.15</v>
      </c>
      <c r="N1320" cm="1">
        <f t="array" ref="N1320">IFERROR(_xlfn.XLOOKUP(C1320&amp;A1320, RYOE!A:A&amp;RYOE!F:F, RYOE!E:E), "N/A")</f>
        <v>35</v>
      </c>
    </row>
    <row r="1321" spans="1:14" ht="15" customHeight="1" x14ac:dyDescent="0.45">
      <c r="A1321" s="8">
        <v>2018</v>
      </c>
      <c r="B1321" s="6" t="s">
        <v>578</v>
      </c>
      <c r="C1321" s="2" t="str">
        <f t="shared" si="40"/>
        <v>Ito Smith</v>
      </c>
      <c r="D1321" s="2" t="str">
        <f t="shared" si="41"/>
        <v>ATL</v>
      </c>
      <c r="E1321" s="2">
        <v>90</v>
      </c>
      <c r="F1321" s="2">
        <v>315</v>
      </c>
      <c r="G1321" s="2">
        <v>3.5</v>
      </c>
      <c r="H1321" s="2">
        <v>4</v>
      </c>
      <c r="I1321">
        <v>0</v>
      </c>
      <c r="J1321">
        <v>14</v>
      </c>
      <c r="K1321" t="str" cm="1">
        <f t="array" ref="K1321">IFERROR(_xlfn.XLOOKUP(D1321&amp;A1321, RBWR!A:A&amp;RBWR!C:C, RBWR!B:B), "N/A")</f>
        <v>N/A</v>
      </c>
      <c r="L1321" cm="1">
        <f t="array" ref="L1321">IFERROR(_xlfn.XLOOKUP(C1321&amp;A1321, RYOE!A:A&amp;RYOE!F:F, RYOE!C:C), "N/A")</f>
        <v>-47</v>
      </c>
      <c r="M1321" cm="1">
        <f t="array" ref="M1321">IFERROR(_xlfn.XLOOKUP(C1321&amp;A1321, RYOE!A:A&amp;RYOE!F:F, RYOE!D:D), "N/A")</f>
        <v>-0.54</v>
      </c>
      <c r="N1321" cm="1">
        <f t="array" ref="N1321">IFERROR(_xlfn.XLOOKUP(C1321&amp;A1321, RYOE!A:A&amp;RYOE!F:F, RYOE!E:E), "N/A")</f>
        <v>35.6</v>
      </c>
    </row>
    <row r="1322" spans="1:14" ht="15" customHeight="1" x14ac:dyDescent="0.45">
      <c r="A1322" s="7">
        <v>2018</v>
      </c>
      <c r="B1322" s="5" t="s">
        <v>742</v>
      </c>
      <c r="C1322" s="1" t="str">
        <f t="shared" si="40"/>
        <v>Elijah McGuire</v>
      </c>
      <c r="D1322" s="1" t="str">
        <f t="shared" si="41"/>
        <v>NYJ</v>
      </c>
      <c r="E1322" s="1">
        <v>92</v>
      </c>
      <c r="F1322" s="1">
        <v>276</v>
      </c>
      <c r="G1322" s="1">
        <v>3</v>
      </c>
      <c r="H1322" s="1">
        <v>3</v>
      </c>
      <c r="I1322">
        <v>2</v>
      </c>
      <c r="J1322">
        <v>8</v>
      </c>
      <c r="K1322" t="str" cm="1">
        <f t="array" ref="K1322">IFERROR(_xlfn.XLOOKUP(D1322&amp;A1322, RBWR!A:A&amp;RBWR!C:C, RBWR!B:B), "N/A")</f>
        <v>N/A</v>
      </c>
      <c r="L1322" cm="1">
        <f t="array" ref="L1322">IFERROR(_xlfn.XLOOKUP(C1322&amp;A1322, RYOE!A:A&amp;RYOE!F:F, RYOE!C:C), "N/A")</f>
        <v>-45</v>
      </c>
      <c r="M1322" cm="1">
        <f t="array" ref="M1322">IFERROR(_xlfn.XLOOKUP(C1322&amp;A1322, RYOE!A:A&amp;RYOE!F:F, RYOE!D:D), "N/A")</f>
        <v>-0.5</v>
      </c>
      <c r="N1322" cm="1">
        <f t="array" ref="N1322">IFERROR(_xlfn.XLOOKUP(C1322&amp;A1322, RYOE!A:A&amp;RYOE!F:F, RYOE!E:E), "N/A")</f>
        <v>33.299999999999997</v>
      </c>
    </row>
    <row r="1323" spans="1:14" ht="15" customHeight="1" x14ac:dyDescent="0.45">
      <c r="A1323" s="8">
        <v>2018</v>
      </c>
      <c r="B1323" s="6" t="s">
        <v>697</v>
      </c>
      <c r="C1323" s="2" t="str">
        <f t="shared" si="40"/>
        <v>Chris Ivory</v>
      </c>
      <c r="D1323" s="2" t="str">
        <f t="shared" si="41"/>
        <v>BUF</v>
      </c>
      <c r="E1323" s="2">
        <v>115</v>
      </c>
      <c r="F1323" s="2">
        <v>385</v>
      </c>
      <c r="G1323" s="2">
        <v>3.3</v>
      </c>
      <c r="H1323" s="2">
        <v>1</v>
      </c>
      <c r="I1323">
        <v>0</v>
      </c>
      <c r="J1323">
        <v>13</v>
      </c>
      <c r="K1323" t="str" cm="1">
        <f t="array" ref="K1323">IFERROR(_xlfn.XLOOKUP(D1323&amp;A1323, RBWR!A:A&amp;RBWR!C:C, RBWR!B:B), "N/A")</f>
        <v>N/A</v>
      </c>
      <c r="L1323" cm="1">
        <f t="array" ref="L1323">IFERROR(_xlfn.XLOOKUP(C1323&amp;A1323, RYOE!A:A&amp;RYOE!F:F, RYOE!C:C), "N/A")</f>
        <v>-53</v>
      </c>
      <c r="M1323" cm="1">
        <f t="array" ref="M1323">IFERROR(_xlfn.XLOOKUP(C1323&amp;A1323, RYOE!A:A&amp;RYOE!F:F, RYOE!D:D), "N/A")</f>
        <v>-0.47</v>
      </c>
      <c r="N1323" cm="1">
        <f t="array" ref="N1323">IFERROR(_xlfn.XLOOKUP(C1323&amp;A1323, RYOE!A:A&amp;RYOE!F:F, RYOE!E:E), "N/A")</f>
        <v>36.799999999999997</v>
      </c>
    </row>
    <row r="1324" spans="1:14" ht="15" customHeight="1" x14ac:dyDescent="0.45">
      <c r="A1324" s="7">
        <v>2018</v>
      </c>
      <c r="B1324" s="5" t="s">
        <v>743</v>
      </c>
      <c r="C1324" s="1" t="str">
        <f t="shared" si="40"/>
        <v>Marshawn Lynch</v>
      </c>
      <c r="D1324" s="1" t="str">
        <f t="shared" si="41"/>
        <v>OAK</v>
      </c>
      <c r="E1324" s="1">
        <v>90</v>
      </c>
      <c r="F1324" s="1">
        <v>376</v>
      </c>
      <c r="G1324" s="1">
        <v>4.2</v>
      </c>
      <c r="H1324" s="1">
        <v>3</v>
      </c>
      <c r="I1324">
        <v>0</v>
      </c>
      <c r="J1324">
        <v>6</v>
      </c>
      <c r="K1324" t="str" cm="1">
        <f t="array" ref="K1324">IFERROR(_xlfn.XLOOKUP(D1324&amp;A1324, RBWR!A:A&amp;RBWR!C:C, RBWR!B:B), "N/A")</f>
        <v>N/A</v>
      </c>
      <c r="L1324" cm="1">
        <f t="array" ref="L1324">IFERROR(_xlfn.XLOOKUP(C1324&amp;A1324, RYOE!A:A&amp;RYOE!F:F, RYOE!C:C), "N/A")</f>
        <v>-3</v>
      </c>
      <c r="M1324" cm="1">
        <f t="array" ref="M1324">IFERROR(_xlfn.XLOOKUP(C1324&amp;A1324, RYOE!A:A&amp;RYOE!F:F, RYOE!D:D), "N/A")</f>
        <v>-0.03</v>
      </c>
      <c r="N1324" cm="1">
        <f t="array" ref="N1324">IFERROR(_xlfn.XLOOKUP(C1324&amp;A1324, RYOE!A:A&amp;RYOE!F:F, RYOE!E:E), "N/A")</f>
        <v>49.4</v>
      </c>
    </row>
    <row r="1325" spans="1:14" ht="15" customHeight="1" x14ac:dyDescent="0.45">
      <c r="A1325" s="8">
        <v>2018</v>
      </c>
      <c r="B1325" s="6" t="s">
        <v>598</v>
      </c>
      <c r="C1325" s="2" t="str">
        <f t="shared" si="40"/>
        <v>Jaylen Samuels</v>
      </c>
      <c r="D1325" s="2" t="str">
        <f t="shared" si="41"/>
        <v>PIT</v>
      </c>
      <c r="E1325" s="2">
        <v>56</v>
      </c>
      <c r="F1325" s="2">
        <v>256</v>
      </c>
      <c r="G1325" s="2">
        <v>4.5999999999999996</v>
      </c>
      <c r="H1325" s="2">
        <v>0</v>
      </c>
      <c r="I1325">
        <v>0</v>
      </c>
      <c r="J1325">
        <v>14</v>
      </c>
      <c r="K1325" t="str" cm="1">
        <f t="array" ref="K1325">IFERROR(_xlfn.XLOOKUP(D1325&amp;A1325, RBWR!A:A&amp;RBWR!C:C, RBWR!B:B), "N/A")</f>
        <v>N/A</v>
      </c>
      <c r="L1325" t="str" cm="1">
        <f t="array" ref="L1325">IFERROR(_xlfn.XLOOKUP(C1325&amp;A1325, RYOE!A:A&amp;RYOE!F:F, RYOE!C:C), "N/A")</f>
        <v>N/A</v>
      </c>
      <c r="M1325" t="str" cm="1">
        <f t="array" ref="M1325">IFERROR(_xlfn.XLOOKUP(C1325&amp;A1325, RYOE!A:A&amp;RYOE!F:F, RYOE!D:D), "N/A")</f>
        <v>N/A</v>
      </c>
      <c r="N1325" t="str" cm="1">
        <f t="array" ref="N1325">IFERROR(_xlfn.XLOOKUP(C1325&amp;A1325, RYOE!A:A&amp;RYOE!F:F, RYOE!E:E), "N/A")</f>
        <v>N/A</v>
      </c>
    </row>
    <row r="1326" spans="1:14" ht="15" customHeight="1" x14ac:dyDescent="0.45">
      <c r="A1326" s="7">
        <v>2018</v>
      </c>
      <c r="B1326" s="5" t="s">
        <v>744</v>
      </c>
      <c r="C1326" s="1" t="str">
        <f t="shared" si="40"/>
        <v>C.J. Anderson</v>
      </c>
      <c r="D1326" s="1" t="str">
        <f t="shared" si="41"/>
        <v>LAR</v>
      </c>
      <c r="E1326" s="1">
        <v>67</v>
      </c>
      <c r="F1326" s="1">
        <v>403</v>
      </c>
      <c r="G1326" s="1">
        <v>6</v>
      </c>
      <c r="H1326" s="1">
        <v>2</v>
      </c>
      <c r="I1326">
        <v>0</v>
      </c>
      <c r="J1326">
        <v>11</v>
      </c>
      <c r="K1326" t="str" cm="1">
        <f t="array" ref="K1326">IFERROR(_xlfn.XLOOKUP(D1326&amp;A1326, RBWR!A:A&amp;RBWR!C:C, RBWR!B:B), "N/A")</f>
        <v>N/A</v>
      </c>
      <c r="L1326" t="str" cm="1">
        <f t="array" ref="L1326">IFERROR(_xlfn.XLOOKUP(C1326&amp;A1326, RYOE!A:A&amp;RYOE!F:F, RYOE!C:C), "N/A")</f>
        <v>N/A</v>
      </c>
      <c r="M1326" t="str" cm="1">
        <f t="array" ref="M1326">IFERROR(_xlfn.XLOOKUP(C1326&amp;A1326, RYOE!A:A&amp;RYOE!F:F, RYOE!D:D), "N/A")</f>
        <v>N/A</v>
      </c>
      <c r="N1326" t="str" cm="1">
        <f t="array" ref="N1326">IFERROR(_xlfn.XLOOKUP(C1326&amp;A1326, RYOE!A:A&amp;RYOE!F:F, RYOE!E:E), "N/A")</f>
        <v>N/A</v>
      </c>
    </row>
    <row r="1327" spans="1:14" ht="15" customHeight="1" x14ac:dyDescent="0.45">
      <c r="A1327" s="8">
        <v>2018</v>
      </c>
      <c r="B1327" s="6" t="s">
        <v>390</v>
      </c>
      <c r="C1327" s="2" t="str">
        <f t="shared" si="40"/>
        <v>Rashaad Penny</v>
      </c>
      <c r="D1327" s="2" t="str">
        <f t="shared" si="41"/>
        <v>SEA</v>
      </c>
      <c r="E1327" s="2">
        <v>85</v>
      </c>
      <c r="F1327" s="2">
        <v>419</v>
      </c>
      <c r="G1327" s="2">
        <v>4.9000000000000004</v>
      </c>
      <c r="H1327" s="2">
        <v>2</v>
      </c>
      <c r="I1327">
        <v>0</v>
      </c>
      <c r="J1327">
        <v>14</v>
      </c>
      <c r="K1327" t="str" cm="1">
        <f t="array" ref="K1327">IFERROR(_xlfn.XLOOKUP(D1327&amp;A1327, RBWR!A:A&amp;RBWR!C:C, RBWR!B:B), "N/A")</f>
        <v>N/A</v>
      </c>
      <c r="L1327" cm="1">
        <f t="array" ref="L1327">IFERROR(_xlfn.XLOOKUP(C1327&amp;A1327, RYOE!A:A&amp;RYOE!F:F, RYOE!C:C), "N/A")</f>
        <v>56</v>
      </c>
      <c r="M1327" cm="1">
        <f t="array" ref="M1327">IFERROR(_xlfn.XLOOKUP(C1327&amp;A1327, RYOE!A:A&amp;RYOE!F:F, RYOE!D:D), "N/A")</f>
        <v>0.66</v>
      </c>
      <c r="N1327" cm="1">
        <f t="array" ref="N1327">IFERROR(_xlfn.XLOOKUP(C1327&amp;A1327, RYOE!A:A&amp;RYOE!F:F, RYOE!E:E), "N/A")</f>
        <v>32.9</v>
      </c>
    </row>
    <row r="1328" spans="1:14" ht="15" customHeight="1" x14ac:dyDescent="0.45">
      <c r="A1328" s="7">
        <v>2018</v>
      </c>
      <c r="B1328" s="5" t="s">
        <v>562</v>
      </c>
      <c r="C1328" s="1" t="str">
        <f t="shared" si="40"/>
        <v>Giovani Bernard</v>
      </c>
      <c r="D1328" s="1" t="str">
        <f t="shared" si="41"/>
        <v>CIN</v>
      </c>
      <c r="E1328" s="1">
        <v>56</v>
      </c>
      <c r="F1328" s="1">
        <v>211</v>
      </c>
      <c r="G1328" s="1">
        <v>3.8</v>
      </c>
      <c r="H1328" s="1">
        <v>3</v>
      </c>
      <c r="I1328">
        <v>0</v>
      </c>
      <c r="J1328">
        <v>12</v>
      </c>
      <c r="K1328" t="str" cm="1">
        <f t="array" ref="K1328">IFERROR(_xlfn.XLOOKUP(D1328&amp;A1328, RBWR!A:A&amp;RBWR!C:C, RBWR!B:B), "N/A")</f>
        <v>N/A</v>
      </c>
      <c r="L1328" t="str" cm="1">
        <f t="array" ref="L1328">IFERROR(_xlfn.XLOOKUP(C1328&amp;A1328, RYOE!A:A&amp;RYOE!F:F, RYOE!C:C), "N/A")</f>
        <v>N/A</v>
      </c>
      <c r="M1328" t="str" cm="1">
        <f t="array" ref="M1328">IFERROR(_xlfn.XLOOKUP(C1328&amp;A1328, RYOE!A:A&amp;RYOE!F:F, RYOE!D:D), "N/A")</f>
        <v>N/A</v>
      </c>
      <c r="N1328" t="str" cm="1">
        <f t="array" ref="N1328">IFERROR(_xlfn.XLOOKUP(C1328&amp;A1328, RYOE!A:A&amp;RYOE!F:F, RYOE!E:E), "N/A")</f>
        <v>N/A</v>
      </c>
    </row>
    <row r="1329" spans="1:14" ht="15" customHeight="1" x14ac:dyDescent="0.45">
      <c r="A1329" s="8">
        <v>2018</v>
      </c>
      <c r="B1329" s="6" t="s">
        <v>745</v>
      </c>
      <c r="C1329" s="2" t="str">
        <f t="shared" si="40"/>
        <v>Alfred Morris</v>
      </c>
      <c r="D1329" s="2" t="str">
        <f t="shared" si="41"/>
        <v>SF</v>
      </c>
      <c r="E1329" s="2">
        <v>111</v>
      </c>
      <c r="F1329" s="2">
        <v>428</v>
      </c>
      <c r="G1329" s="2">
        <v>3.9</v>
      </c>
      <c r="H1329" s="2">
        <v>2</v>
      </c>
      <c r="I1329">
        <v>1</v>
      </c>
      <c r="J1329">
        <v>12</v>
      </c>
      <c r="K1329" t="str" cm="1">
        <f t="array" ref="K1329">IFERROR(_xlfn.XLOOKUP(D1329&amp;A1329, RBWR!A:A&amp;RBWR!C:C, RBWR!B:B), "N/A")</f>
        <v>N/A</v>
      </c>
      <c r="L1329" cm="1">
        <f t="array" ref="L1329">IFERROR(_xlfn.XLOOKUP(C1329&amp;A1329, RYOE!A:A&amp;RYOE!F:F, RYOE!C:C), "N/A")</f>
        <v>-58</v>
      </c>
      <c r="M1329" cm="1">
        <f t="array" ref="M1329">IFERROR(_xlfn.XLOOKUP(C1329&amp;A1329, RYOE!A:A&amp;RYOE!F:F, RYOE!D:D), "N/A")</f>
        <v>-0.53</v>
      </c>
      <c r="N1329" cm="1">
        <f t="array" ref="N1329">IFERROR(_xlfn.XLOOKUP(C1329&amp;A1329, RYOE!A:A&amp;RYOE!F:F, RYOE!E:E), "N/A")</f>
        <v>35.799999999999997</v>
      </c>
    </row>
    <row r="1330" spans="1:14" ht="15" customHeight="1" x14ac:dyDescent="0.45">
      <c r="A1330" s="7">
        <v>2018</v>
      </c>
      <c r="B1330" s="5" t="s">
        <v>590</v>
      </c>
      <c r="C1330" s="1" t="str">
        <f t="shared" si="40"/>
        <v>Corey Clement</v>
      </c>
      <c r="D1330" s="1" t="str">
        <f t="shared" si="41"/>
        <v>PHI</v>
      </c>
      <c r="E1330" s="1">
        <v>68</v>
      </c>
      <c r="F1330" s="1">
        <v>259</v>
      </c>
      <c r="G1330" s="1">
        <v>3.8</v>
      </c>
      <c r="H1330" s="1">
        <v>2</v>
      </c>
      <c r="I1330">
        <v>0</v>
      </c>
      <c r="J1330">
        <v>11</v>
      </c>
      <c r="K1330" t="str" cm="1">
        <f t="array" ref="K1330">IFERROR(_xlfn.XLOOKUP(D1330&amp;A1330, RBWR!A:A&amp;RBWR!C:C, RBWR!B:B), "N/A")</f>
        <v>N/A</v>
      </c>
      <c r="L1330" t="str" cm="1">
        <f t="array" ref="L1330">IFERROR(_xlfn.XLOOKUP(C1330&amp;A1330, RYOE!A:A&amp;RYOE!F:F, RYOE!C:C), "N/A")</f>
        <v>N/A</v>
      </c>
      <c r="M1330" t="str" cm="1">
        <f t="array" ref="M1330">IFERROR(_xlfn.XLOOKUP(C1330&amp;A1330, RYOE!A:A&amp;RYOE!F:F, RYOE!D:D), "N/A")</f>
        <v>N/A</v>
      </c>
      <c r="N1330" t="str" cm="1">
        <f t="array" ref="N1330">IFERROR(_xlfn.XLOOKUP(C1330&amp;A1330, RYOE!A:A&amp;RYOE!F:F, RYOE!E:E), "N/A")</f>
        <v>N/A</v>
      </c>
    </row>
    <row r="1331" spans="1:14" ht="15" customHeight="1" x14ac:dyDescent="0.45">
      <c r="A1331" s="8">
        <v>2018</v>
      </c>
      <c r="B1331" s="6" t="s">
        <v>669</v>
      </c>
      <c r="C1331" s="2" t="str">
        <f t="shared" si="40"/>
        <v>Spencer Ware</v>
      </c>
      <c r="D1331" s="2" t="str">
        <f t="shared" si="41"/>
        <v>KC</v>
      </c>
      <c r="E1331" s="2">
        <v>51</v>
      </c>
      <c r="F1331" s="2">
        <v>246</v>
      </c>
      <c r="G1331" s="2">
        <v>4.8</v>
      </c>
      <c r="H1331" s="2">
        <v>2</v>
      </c>
      <c r="I1331">
        <v>0</v>
      </c>
      <c r="J1331">
        <v>13</v>
      </c>
      <c r="K1331" t="str" cm="1">
        <f t="array" ref="K1331">IFERROR(_xlfn.XLOOKUP(D1331&amp;A1331, RBWR!A:A&amp;RBWR!C:C, RBWR!B:B), "N/A")</f>
        <v>N/A</v>
      </c>
      <c r="L1331" t="str" cm="1">
        <f t="array" ref="L1331">IFERROR(_xlfn.XLOOKUP(C1331&amp;A1331, RYOE!A:A&amp;RYOE!F:F, RYOE!C:C), "N/A")</f>
        <v>N/A</v>
      </c>
      <c r="M1331" t="str" cm="1">
        <f t="array" ref="M1331">IFERROR(_xlfn.XLOOKUP(C1331&amp;A1331, RYOE!A:A&amp;RYOE!F:F, RYOE!D:D), "N/A")</f>
        <v>N/A</v>
      </c>
      <c r="N1331" t="str" cm="1">
        <f t="array" ref="N1331">IFERROR(_xlfn.XLOOKUP(C1331&amp;A1331, RYOE!A:A&amp;RYOE!F:F, RYOE!E:E), "N/A")</f>
        <v>N/A</v>
      </c>
    </row>
    <row r="1332" spans="1:14" ht="15" customHeight="1" x14ac:dyDescent="0.45">
      <c r="A1332" s="7">
        <v>2018</v>
      </c>
      <c r="B1332" s="5" t="s">
        <v>746</v>
      </c>
      <c r="C1332" s="1" t="str">
        <f t="shared" si="40"/>
        <v>Javorius Allen</v>
      </c>
      <c r="D1332" s="1" t="str">
        <f t="shared" si="41"/>
        <v>BAL</v>
      </c>
      <c r="E1332" s="1">
        <v>41</v>
      </c>
      <c r="F1332" s="1">
        <v>110</v>
      </c>
      <c r="G1332" s="1">
        <v>2.7</v>
      </c>
      <c r="H1332" s="1">
        <v>3</v>
      </c>
      <c r="I1332">
        <v>1</v>
      </c>
      <c r="J1332">
        <v>14</v>
      </c>
      <c r="K1332" t="str" cm="1">
        <f t="array" ref="K1332">IFERROR(_xlfn.XLOOKUP(D1332&amp;A1332, RBWR!A:A&amp;RBWR!C:C, RBWR!B:B), "N/A")</f>
        <v>N/A</v>
      </c>
      <c r="L1332" t="str" cm="1">
        <f t="array" ref="L1332">IFERROR(_xlfn.XLOOKUP(C1332&amp;A1332, RYOE!A:A&amp;RYOE!F:F, RYOE!C:C), "N/A")</f>
        <v>N/A</v>
      </c>
      <c r="M1332" t="str" cm="1">
        <f t="array" ref="M1332">IFERROR(_xlfn.XLOOKUP(C1332&amp;A1332, RYOE!A:A&amp;RYOE!F:F, RYOE!D:D), "N/A")</f>
        <v>N/A</v>
      </c>
      <c r="N1332" t="str" cm="1">
        <f t="array" ref="N1332">IFERROR(_xlfn.XLOOKUP(C1332&amp;A1332, RYOE!A:A&amp;RYOE!F:F, RYOE!E:E), "N/A")</f>
        <v>N/A</v>
      </c>
    </row>
    <row r="1333" spans="1:14" ht="15" customHeight="1" x14ac:dyDescent="0.45">
      <c r="A1333" s="8">
        <v>2018</v>
      </c>
      <c r="B1333" s="6" t="s">
        <v>747</v>
      </c>
      <c r="C1333" s="2" t="str">
        <f t="shared" si="40"/>
        <v>Theo Riddick</v>
      </c>
      <c r="D1333" s="2" t="str">
        <f t="shared" si="41"/>
        <v>DET</v>
      </c>
      <c r="E1333" s="2">
        <v>40</v>
      </c>
      <c r="F1333" s="2">
        <v>171</v>
      </c>
      <c r="G1333" s="2">
        <v>4.3</v>
      </c>
      <c r="H1333" s="2">
        <v>0</v>
      </c>
      <c r="I1333">
        <v>0</v>
      </c>
      <c r="J1333">
        <v>14</v>
      </c>
      <c r="K1333" t="str" cm="1">
        <f t="array" ref="K1333">IFERROR(_xlfn.XLOOKUP(D1333&amp;A1333, RBWR!A:A&amp;RBWR!C:C, RBWR!B:B), "N/A")</f>
        <v>N/A</v>
      </c>
      <c r="L1333" t="str" cm="1">
        <f t="array" ref="L1333">IFERROR(_xlfn.XLOOKUP(C1333&amp;A1333, RYOE!A:A&amp;RYOE!F:F, RYOE!C:C), "N/A")</f>
        <v>N/A</v>
      </c>
      <c r="M1333" t="str" cm="1">
        <f t="array" ref="M1333">IFERROR(_xlfn.XLOOKUP(C1333&amp;A1333, RYOE!A:A&amp;RYOE!F:F, RYOE!D:D), "N/A")</f>
        <v>N/A</v>
      </c>
      <c r="N1333" t="str" cm="1">
        <f t="array" ref="N1333">IFERROR(_xlfn.XLOOKUP(C1333&amp;A1333, RYOE!A:A&amp;RYOE!F:F, RYOE!E:E), "N/A")</f>
        <v>N/A</v>
      </c>
    </row>
    <row r="1334" spans="1:14" ht="15" customHeight="1" x14ac:dyDescent="0.45">
      <c r="A1334" s="7">
        <v>2018</v>
      </c>
      <c r="B1334" s="5" t="s">
        <v>644</v>
      </c>
      <c r="C1334" s="1" t="str">
        <f t="shared" si="40"/>
        <v>Chris Thompson</v>
      </c>
      <c r="D1334" s="1" t="str">
        <f t="shared" si="41"/>
        <v>WAS</v>
      </c>
      <c r="E1334" s="1">
        <v>43</v>
      </c>
      <c r="F1334" s="1">
        <v>178</v>
      </c>
      <c r="G1334" s="1">
        <v>4.0999999999999996</v>
      </c>
      <c r="H1334" s="1">
        <v>0</v>
      </c>
      <c r="I1334">
        <v>0</v>
      </c>
      <c r="J1334">
        <v>10</v>
      </c>
      <c r="K1334" t="str" cm="1">
        <f t="array" ref="K1334">IFERROR(_xlfn.XLOOKUP(D1334&amp;A1334, RBWR!A:A&amp;RBWR!C:C, RBWR!B:B), "N/A")</f>
        <v>N/A</v>
      </c>
      <c r="L1334" t="str" cm="1">
        <f t="array" ref="L1334">IFERROR(_xlfn.XLOOKUP(C1334&amp;A1334, RYOE!A:A&amp;RYOE!F:F, RYOE!C:C), "N/A")</f>
        <v>N/A</v>
      </c>
      <c r="M1334" t="str" cm="1">
        <f t="array" ref="M1334">IFERROR(_xlfn.XLOOKUP(C1334&amp;A1334, RYOE!A:A&amp;RYOE!F:F, RYOE!D:D), "N/A")</f>
        <v>N/A</v>
      </c>
      <c r="N1334" t="str" cm="1">
        <f t="array" ref="N1334">IFERROR(_xlfn.XLOOKUP(C1334&amp;A1334, RYOE!A:A&amp;RYOE!F:F, RYOE!E:E), "N/A")</f>
        <v>N/A</v>
      </c>
    </row>
    <row r="1335" spans="1:14" ht="15" customHeight="1" x14ac:dyDescent="0.45">
      <c r="A1335" s="8">
        <v>2018</v>
      </c>
      <c r="B1335" s="6" t="s">
        <v>748</v>
      </c>
      <c r="C1335" s="2" t="str">
        <f t="shared" si="40"/>
        <v>Zach Zenner</v>
      </c>
      <c r="D1335" s="2" t="str">
        <f t="shared" si="41"/>
        <v>DET</v>
      </c>
      <c r="E1335" s="2">
        <v>55</v>
      </c>
      <c r="F1335" s="2">
        <v>265</v>
      </c>
      <c r="G1335" s="2">
        <v>4.8</v>
      </c>
      <c r="H1335" s="2">
        <v>3</v>
      </c>
      <c r="I1335">
        <v>0</v>
      </c>
      <c r="J1335">
        <v>8</v>
      </c>
      <c r="K1335" t="str" cm="1">
        <f t="array" ref="K1335">IFERROR(_xlfn.XLOOKUP(D1335&amp;A1335, RBWR!A:A&amp;RBWR!C:C, RBWR!B:B), "N/A")</f>
        <v>N/A</v>
      </c>
      <c r="L1335" t="str" cm="1">
        <f t="array" ref="L1335">IFERROR(_xlfn.XLOOKUP(C1335&amp;A1335, RYOE!A:A&amp;RYOE!F:F, RYOE!C:C), "N/A")</f>
        <v>N/A</v>
      </c>
      <c r="M1335" t="str" cm="1">
        <f t="array" ref="M1335">IFERROR(_xlfn.XLOOKUP(C1335&amp;A1335, RYOE!A:A&amp;RYOE!F:F, RYOE!D:D), "N/A")</f>
        <v>N/A</v>
      </c>
      <c r="N1335" t="str" cm="1">
        <f t="array" ref="N1335">IFERROR(_xlfn.XLOOKUP(C1335&amp;A1335, RYOE!A:A&amp;RYOE!F:F, RYOE!E:E), "N/A")</f>
        <v>N/A</v>
      </c>
    </row>
    <row r="1336" spans="1:14" ht="15" customHeight="1" x14ac:dyDescent="0.45">
      <c r="A1336" s="7">
        <v>2018</v>
      </c>
      <c r="B1336" s="5" t="s">
        <v>670</v>
      </c>
      <c r="C1336" s="1" t="str">
        <f t="shared" si="40"/>
        <v>Devontae Booker</v>
      </c>
      <c r="D1336" s="1" t="str">
        <f t="shared" si="41"/>
        <v>DEN</v>
      </c>
      <c r="E1336" s="1">
        <v>34</v>
      </c>
      <c r="F1336" s="1">
        <v>183</v>
      </c>
      <c r="G1336" s="1">
        <v>5.4</v>
      </c>
      <c r="H1336" s="1">
        <v>1</v>
      </c>
      <c r="I1336">
        <v>1</v>
      </c>
      <c r="J1336">
        <v>16</v>
      </c>
      <c r="K1336" t="str" cm="1">
        <f t="array" ref="K1336">IFERROR(_xlfn.XLOOKUP(D1336&amp;A1336, RBWR!A:A&amp;RBWR!C:C, RBWR!B:B), "N/A")</f>
        <v>N/A</v>
      </c>
      <c r="L1336" t="str" cm="1">
        <f t="array" ref="L1336">IFERROR(_xlfn.XLOOKUP(C1336&amp;A1336, RYOE!A:A&amp;RYOE!F:F, RYOE!C:C), "N/A")</f>
        <v>N/A</v>
      </c>
      <c r="M1336" t="str" cm="1">
        <f t="array" ref="M1336">IFERROR(_xlfn.XLOOKUP(C1336&amp;A1336, RYOE!A:A&amp;RYOE!F:F, RYOE!D:D), "N/A")</f>
        <v>N/A</v>
      </c>
      <c r="N1336" t="str" cm="1">
        <f t="array" ref="N1336">IFERROR(_xlfn.XLOOKUP(C1336&amp;A1336, RYOE!A:A&amp;RYOE!F:F, RYOE!E:E), "N/A")</f>
        <v>N/A</v>
      </c>
    </row>
    <row r="1337" spans="1:14" ht="15" customHeight="1" x14ac:dyDescent="0.45">
      <c r="A1337" s="8">
        <v>2018</v>
      </c>
      <c r="B1337" s="6" t="s">
        <v>655</v>
      </c>
      <c r="C1337" s="2" t="str">
        <f t="shared" si="40"/>
        <v>Bilal Powell</v>
      </c>
      <c r="D1337" s="2" t="str">
        <f t="shared" si="41"/>
        <v>NYJ</v>
      </c>
      <c r="E1337" s="2">
        <v>80</v>
      </c>
      <c r="F1337" s="2">
        <v>343</v>
      </c>
      <c r="G1337" s="2">
        <v>4.3</v>
      </c>
      <c r="H1337" s="2">
        <v>0</v>
      </c>
      <c r="I1337">
        <v>1</v>
      </c>
      <c r="J1337">
        <v>7</v>
      </c>
      <c r="K1337" t="str" cm="1">
        <f t="array" ref="K1337">IFERROR(_xlfn.XLOOKUP(D1337&amp;A1337, RBWR!A:A&amp;RBWR!C:C, RBWR!B:B), "N/A")</f>
        <v>N/A</v>
      </c>
      <c r="L1337" t="str" cm="1">
        <f t="array" ref="L1337">IFERROR(_xlfn.XLOOKUP(C1337&amp;A1337, RYOE!A:A&amp;RYOE!F:F, RYOE!C:C), "N/A")</f>
        <v>N/A</v>
      </c>
      <c r="M1337" t="str" cm="1">
        <f t="array" ref="M1337">IFERROR(_xlfn.XLOOKUP(C1337&amp;A1337, RYOE!A:A&amp;RYOE!F:F, RYOE!D:D), "N/A")</f>
        <v>N/A</v>
      </c>
      <c r="N1337" t="str" cm="1">
        <f t="array" ref="N1337">IFERROR(_xlfn.XLOOKUP(C1337&amp;A1337, RYOE!A:A&amp;RYOE!F:F, RYOE!E:E), "N/A")</f>
        <v>N/A</v>
      </c>
    </row>
    <row r="1338" spans="1:14" ht="15" customHeight="1" x14ac:dyDescent="0.45">
      <c r="A1338" s="7">
        <v>2018</v>
      </c>
      <c r="B1338" s="5" t="s">
        <v>714</v>
      </c>
      <c r="C1338" s="1" t="str">
        <f t="shared" si="40"/>
        <v>Kenneth Dixon</v>
      </c>
      <c r="D1338" s="1" t="str">
        <f t="shared" si="41"/>
        <v>BAL</v>
      </c>
      <c r="E1338" s="1">
        <v>60</v>
      </c>
      <c r="F1338" s="1">
        <v>333</v>
      </c>
      <c r="G1338" s="1">
        <v>5.6</v>
      </c>
      <c r="H1338" s="1">
        <v>2</v>
      </c>
      <c r="I1338">
        <v>1</v>
      </c>
      <c r="J1338">
        <v>6</v>
      </c>
      <c r="K1338" t="str" cm="1">
        <f t="array" ref="K1338">IFERROR(_xlfn.XLOOKUP(D1338&amp;A1338, RBWR!A:A&amp;RBWR!C:C, RBWR!B:B), "N/A")</f>
        <v>N/A</v>
      </c>
      <c r="L1338" t="str" cm="1">
        <f t="array" ref="L1338">IFERROR(_xlfn.XLOOKUP(C1338&amp;A1338, RYOE!A:A&amp;RYOE!F:F, RYOE!C:C), "N/A")</f>
        <v>N/A</v>
      </c>
      <c r="M1338" t="str" cm="1">
        <f t="array" ref="M1338">IFERROR(_xlfn.XLOOKUP(C1338&amp;A1338, RYOE!A:A&amp;RYOE!F:F, RYOE!D:D), "N/A")</f>
        <v>N/A</v>
      </c>
      <c r="N1338" t="str" cm="1">
        <f t="array" ref="N1338">IFERROR(_xlfn.XLOOKUP(C1338&amp;A1338, RYOE!A:A&amp;RYOE!F:F, RYOE!E:E), "N/A")</f>
        <v>N/A</v>
      </c>
    </row>
    <row r="1339" spans="1:14" ht="15" customHeight="1" x14ac:dyDescent="0.45">
      <c r="A1339" s="8">
        <v>2018</v>
      </c>
      <c r="B1339" s="6" t="s">
        <v>749</v>
      </c>
      <c r="C1339" s="2" t="str">
        <f t="shared" si="40"/>
        <v>Cordarrelle Patterson</v>
      </c>
      <c r="D1339" s="2" t="str">
        <f t="shared" si="41"/>
        <v>NE</v>
      </c>
      <c r="E1339" s="2">
        <v>42</v>
      </c>
      <c r="F1339" s="2">
        <v>228</v>
      </c>
      <c r="G1339" s="2">
        <v>5.4</v>
      </c>
      <c r="H1339" s="2">
        <v>1</v>
      </c>
      <c r="I1339">
        <v>1</v>
      </c>
      <c r="J1339">
        <v>15</v>
      </c>
      <c r="K1339" t="str" cm="1">
        <f t="array" ref="K1339">IFERROR(_xlfn.XLOOKUP(D1339&amp;A1339, RBWR!A:A&amp;RBWR!C:C, RBWR!B:B), "N/A")</f>
        <v>N/A</v>
      </c>
      <c r="L1339" t="str" cm="1">
        <f t="array" ref="L1339">IFERROR(_xlfn.XLOOKUP(C1339&amp;A1339, RYOE!A:A&amp;RYOE!F:F, RYOE!C:C), "N/A")</f>
        <v>N/A</v>
      </c>
      <c r="M1339" t="str" cm="1">
        <f t="array" ref="M1339">IFERROR(_xlfn.XLOOKUP(C1339&amp;A1339, RYOE!A:A&amp;RYOE!F:F, RYOE!D:D), "N/A")</f>
        <v>N/A</v>
      </c>
      <c r="N1339" t="str" cm="1">
        <f t="array" ref="N1339">IFERROR(_xlfn.XLOOKUP(C1339&amp;A1339, RYOE!A:A&amp;RYOE!F:F, RYOE!E:E), "N/A")</f>
        <v>N/A</v>
      </c>
    </row>
    <row r="1340" spans="1:14" ht="15" customHeight="1" x14ac:dyDescent="0.45">
      <c r="A1340" s="7">
        <v>2018</v>
      </c>
      <c r="B1340" s="5" t="s">
        <v>750</v>
      </c>
      <c r="C1340" s="1" t="str">
        <f t="shared" si="40"/>
        <v>Ty Montgomery II</v>
      </c>
      <c r="D1340" s="1" t="str">
        <f t="shared" si="41"/>
        <v>BAL</v>
      </c>
      <c r="E1340" s="1">
        <v>41</v>
      </c>
      <c r="F1340" s="1">
        <v>188</v>
      </c>
      <c r="G1340" s="1">
        <v>4.5999999999999996</v>
      </c>
      <c r="H1340" s="1">
        <v>1</v>
      </c>
      <c r="I1340">
        <v>1</v>
      </c>
      <c r="J1340">
        <v>13</v>
      </c>
      <c r="K1340" t="str" cm="1">
        <f t="array" ref="K1340">IFERROR(_xlfn.XLOOKUP(D1340&amp;A1340, RBWR!A:A&amp;RBWR!C:C, RBWR!B:B), "N/A")</f>
        <v>N/A</v>
      </c>
      <c r="L1340" t="str" cm="1">
        <f t="array" ref="L1340">IFERROR(_xlfn.XLOOKUP(C1340&amp;A1340, RYOE!A:A&amp;RYOE!F:F, RYOE!C:C), "N/A")</f>
        <v>N/A</v>
      </c>
      <c r="M1340" t="str" cm="1">
        <f t="array" ref="M1340">IFERROR(_xlfn.XLOOKUP(C1340&amp;A1340, RYOE!A:A&amp;RYOE!F:F, RYOE!D:D), "N/A")</f>
        <v>N/A</v>
      </c>
      <c r="N1340" t="str" cm="1">
        <f t="array" ref="N1340">IFERROR(_xlfn.XLOOKUP(C1340&amp;A1340, RYOE!A:A&amp;RYOE!F:F, RYOE!E:E), "N/A")</f>
        <v>N/A</v>
      </c>
    </row>
    <row r="1341" spans="1:14" ht="15" customHeight="1" x14ac:dyDescent="0.45">
      <c r="A1341" s="8">
        <v>2018</v>
      </c>
      <c r="B1341" s="6" t="s">
        <v>467</v>
      </c>
      <c r="C1341" s="2" t="str">
        <f t="shared" si="40"/>
        <v>Justin Jackson</v>
      </c>
      <c r="D1341" s="2" t="str">
        <f t="shared" si="41"/>
        <v>LAC</v>
      </c>
      <c r="E1341" s="2">
        <v>50</v>
      </c>
      <c r="F1341" s="2">
        <v>206</v>
      </c>
      <c r="G1341" s="2">
        <v>4.0999999999999996</v>
      </c>
      <c r="H1341" s="2">
        <v>2</v>
      </c>
      <c r="I1341">
        <v>0</v>
      </c>
      <c r="J1341">
        <v>13</v>
      </c>
      <c r="K1341" t="str" cm="1">
        <f t="array" ref="K1341">IFERROR(_xlfn.XLOOKUP(D1341&amp;A1341, RBWR!A:A&amp;RBWR!C:C, RBWR!B:B), "N/A")</f>
        <v>N/A</v>
      </c>
      <c r="L1341" t="str" cm="1">
        <f t="array" ref="L1341">IFERROR(_xlfn.XLOOKUP(C1341&amp;A1341, RYOE!A:A&amp;RYOE!F:F, RYOE!C:C), "N/A")</f>
        <v>N/A</v>
      </c>
      <c r="M1341" t="str" cm="1">
        <f t="array" ref="M1341">IFERROR(_xlfn.XLOOKUP(C1341&amp;A1341, RYOE!A:A&amp;RYOE!F:F, RYOE!D:D), "N/A")</f>
        <v>N/A</v>
      </c>
      <c r="N1341" t="str" cm="1">
        <f t="array" ref="N1341">IFERROR(_xlfn.XLOOKUP(C1341&amp;A1341, RYOE!A:A&amp;RYOE!F:F, RYOE!E:E), "N/A")</f>
        <v>N/A</v>
      </c>
    </row>
    <row r="1342" spans="1:14" ht="15" customHeight="1" x14ac:dyDescent="0.45">
      <c r="A1342" s="7">
        <v>2018</v>
      </c>
      <c r="B1342" s="5" t="s">
        <v>662</v>
      </c>
      <c r="C1342" s="1" t="str">
        <f t="shared" si="40"/>
        <v>Darren Sproles</v>
      </c>
      <c r="D1342" s="1" t="str">
        <f t="shared" si="41"/>
        <v>PHI</v>
      </c>
      <c r="E1342" s="1">
        <v>29</v>
      </c>
      <c r="F1342" s="1">
        <v>120</v>
      </c>
      <c r="G1342" s="1">
        <v>4.0999999999999996</v>
      </c>
      <c r="H1342" s="1">
        <v>1</v>
      </c>
      <c r="I1342">
        <v>0</v>
      </c>
      <c r="J1342">
        <v>6</v>
      </c>
      <c r="K1342" t="str" cm="1">
        <f t="array" ref="K1342">IFERROR(_xlfn.XLOOKUP(D1342&amp;A1342, RBWR!A:A&amp;RBWR!C:C, RBWR!B:B), "N/A")</f>
        <v>N/A</v>
      </c>
      <c r="L1342" t="str" cm="1">
        <f t="array" ref="L1342">IFERROR(_xlfn.XLOOKUP(C1342&amp;A1342, RYOE!A:A&amp;RYOE!F:F, RYOE!C:C), "N/A")</f>
        <v>N/A</v>
      </c>
      <c r="M1342" t="str" cm="1">
        <f t="array" ref="M1342">IFERROR(_xlfn.XLOOKUP(C1342&amp;A1342, RYOE!A:A&amp;RYOE!F:F, RYOE!D:D), "N/A")</f>
        <v>N/A</v>
      </c>
      <c r="N1342" t="str" cm="1">
        <f t="array" ref="N1342">IFERROR(_xlfn.XLOOKUP(C1342&amp;A1342, RYOE!A:A&amp;RYOE!F:F, RYOE!E:E), "N/A")</f>
        <v>N/A</v>
      </c>
    </row>
    <row r="1343" spans="1:14" ht="15" customHeight="1" x14ac:dyDescent="0.45">
      <c r="A1343" s="8">
        <v>2018</v>
      </c>
      <c r="B1343" s="6" t="s">
        <v>751</v>
      </c>
      <c r="C1343" s="2" t="str">
        <f t="shared" si="40"/>
        <v>Kapri Bibbs</v>
      </c>
      <c r="D1343" s="2" t="str">
        <f t="shared" si="41"/>
        <v>GB</v>
      </c>
      <c r="E1343" s="2">
        <v>21</v>
      </c>
      <c r="F1343" s="2">
        <v>103</v>
      </c>
      <c r="G1343" s="2">
        <v>4.9000000000000004</v>
      </c>
      <c r="H1343" s="2">
        <v>3</v>
      </c>
      <c r="I1343">
        <v>0</v>
      </c>
      <c r="J1343">
        <v>12</v>
      </c>
      <c r="K1343" t="str" cm="1">
        <f t="array" ref="K1343">IFERROR(_xlfn.XLOOKUP(D1343&amp;A1343, RBWR!A:A&amp;RBWR!C:C, RBWR!B:B), "N/A")</f>
        <v>N/A</v>
      </c>
      <c r="L1343" t="str" cm="1">
        <f t="array" ref="L1343">IFERROR(_xlfn.XLOOKUP(C1343&amp;A1343, RYOE!A:A&amp;RYOE!F:F, RYOE!C:C), "N/A")</f>
        <v>N/A</v>
      </c>
      <c r="M1343" t="str" cm="1">
        <f t="array" ref="M1343">IFERROR(_xlfn.XLOOKUP(C1343&amp;A1343, RYOE!A:A&amp;RYOE!F:F, RYOE!D:D), "N/A")</f>
        <v>N/A</v>
      </c>
      <c r="N1343" t="str" cm="1">
        <f t="array" ref="N1343">IFERROR(_xlfn.XLOOKUP(C1343&amp;A1343, RYOE!A:A&amp;RYOE!F:F, RYOE!E:E), "N/A")</f>
        <v>N/A</v>
      </c>
    </row>
    <row r="1344" spans="1:14" ht="15" customHeight="1" x14ac:dyDescent="0.45">
      <c r="A1344" s="7">
        <v>2018</v>
      </c>
      <c r="B1344" s="5" t="s">
        <v>752</v>
      </c>
      <c r="C1344" s="1" t="str">
        <f t="shared" si="40"/>
        <v>Jacquizz Rodgers</v>
      </c>
      <c r="D1344" s="1" t="str">
        <f t="shared" si="41"/>
        <v>TB</v>
      </c>
      <c r="E1344" s="1">
        <v>33</v>
      </c>
      <c r="F1344" s="1">
        <v>106</v>
      </c>
      <c r="G1344" s="1">
        <v>3.2</v>
      </c>
      <c r="H1344" s="1">
        <v>1</v>
      </c>
      <c r="I1344">
        <v>1</v>
      </c>
      <c r="J1344">
        <v>16</v>
      </c>
      <c r="K1344" t="str" cm="1">
        <f t="array" ref="K1344">IFERROR(_xlfn.XLOOKUP(D1344&amp;A1344, RBWR!A:A&amp;RBWR!C:C, RBWR!B:B), "N/A")</f>
        <v>N/A</v>
      </c>
      <c r="L1344" t="str" cm="1">
        <f t="array" ref="L1344">IFERROR(_xlfn.XLOOKUP(C1344&amp;A1344, RYOE!A:A&amp;RYOE!F:F, RYOE!C:C), "N/A")</f>
        <v>N/A</v>
      </c>
      <c r="M1344" t="str" cm="1">
        <f t="array" ref="M1344">IFERROR(_xlfn.XLOOKUP(C1344&amp;A1344, RYOE!A:A&amp;RYOE!F:F, RYOE!D:D), "N/A")</f>
        <v>N/A</v>
      </c>
      <c r="N1344" t="str" cm="1">
        <f t="array" ref="N1344">IFERROR(_xlfn.XLOOKUP(C1344&amp;A1344, RYOE!A:A&amp;RYOE!F:F, RYOE!E:E), "N/A")</f>
        <v>N/A</v>
      </c>
    </row>
    <row r="1345" spans="1:14" ht="15" customHeight="1" x14ac:dyDescent="0.45">
      <c r="A1345" s="8">
        <v>2018</v>
      </c>
      <c r="B1345" s="6" t="s">
        <v>414</v>
      </c>
      <c r="C1345" s="2" t="str">
        <f t="shared" si="40"/>
        <v>Jordan Wilkins</v>
      </c>
      <c r="D1345" s="2" t="str">
        <f t="shared" si="41"/>
        <v>IND</v>
      </c>
      <c r="E1345" s="2">
        <v>60</v>
      </c>
      <c r="F1345" s="2">
        <v>336</v>
      </c>
      <c r="G1345" s="2">
        <v>5.6</v>
      </c>
      <c r="H1345" s="2">
        <v>1</v>
      </c>
      <c r="I1345">
        <v>2</v>
      </c>
      <c r="J1345">
        <v>16</v>
      </c>
      <c r="K1345" t="str" cm="1">
        <f t="array" ref="K1345">IFERROR(_xlfn.XLOOKUP(D1345&amp;A1345, RBWR!A:A&amp;RBWR!C:C, RBWR!B:B), "N/A")</f>
        <v>N/A</v>
      </c>
      <c r="L1345" t="str" cm="1">
        <f t="array" ref="L1345">IFERROR(_xlfn.XLOOKUP(C1345&amp;A1345, RYOE!A:A&amp;RYOE!F:F, RYOE!C:C), "N/A")</f>
        <v>N/A</v>
      </c>
      <c r="M1345" t="str" cm="1">
        <f t="array" ref="M1345">IFERROR(_xlfn.XLOOKUP(C1345&amp;A1345, RYOE!A:A&amp;RYOE!F:F, RYOE!D:D), "N/A")</f>
        <v>N/A</v>
      </c>
      <c r="N1345" t="str" cm="1">
        <f t="array" ref="N1345">IFERROR(_xlfn.XLOOKUP(C1345&amp;A1345, RYOE!A:A&amp;RYOE!F:F, RYOE!E:E), "N/A")</f>
        <v>N/A</v>
      </c>
    </row>
    <row r="1346" spans="1:14" ht="15" customHeight="1" x14ac:dyDescent="0.45">
      <c r="A1346" s="7">
        <v>2018</v>
      </c>
      <c r="B1346" s="5" t="s">
        <v>457</v>
      </c>
      <c r="C1346" s="1" t="str">
        <f t="shared" ref="C1346:C1409" si="42">TRIM(LEFT(B1346, LEN(B1346) - LEN(TRIM(RIGHT(SUBSTITUTE(TRIM(B1346)," ",REPT(" ",100)),100)))))</f>
        <v>Chase Edmonds</v>
      </c>
      <c r="D1346" s="1" t="str">
        <f t="shared" ref="D1346:D1409" si="43">MID(B1346, FIND("(", B1346) + 1, FIND(")", B1346) - FIND("(", B1346) - 1)</f>
        <v>ARI</v>
      </c>
      <c r="E1346" s="1">
        <v>60</v>
      </c>
      <c r="F1346" s="1">
        <v>208</v>
      </c>
      <c r="G1346" s="1">
        <v>3.5</v>
      </c>
      <c r="H1346" s="1">
        <v>2</v>
      </c>
      <c r="I1346">
        <v>0</v>
      </c>
      <c r="J1346">
        <v>16</v>
      </c>
      <c r="K1346" t="str" cm="1">
        <f t="array" ref="K1346">IFERROR(_xlfn.XLOOKUP(D1346&amp;A1346, RBWR!A:A&amp;RBWR!C:C, RBWR!B:B), "N/A")</f>
        <v>N/A</v>
      </c>
      <c r="L1346" t="str" cm="1">
        <f t="array" ref="L1346">IFERROR(_xlfn.XLOOKUP(C1346&amp;A1346, RYOE!A:A&amp;RYOE!F:F, RYOE!C:C), "N/A")</f>
        <v>N/A</v>
      </c>
      <c r="M1346" t="str" cm="1">
        <f t="array" ref="M1346">IFERROR(_xlfn.XLOOKUP(C1346&amp;A1346, RYOE!A:A&amp;RYOE!F:F, RYOE!D:D), "N/A")</f>
        <v>N/A</v>
      </c>
      <c r="N1346" t="str" cm="1">
        <f t="array" ref="N1346">IFERROR(_xlfn.XLOOKUP(C1346&amp;A1346, RYOE!A:A&amp;RYOE!F:F, RYOE!E:E), "N/A")</f>
        <v>N/A</v>
      </c>
    </row>
    <row r="1347" spans="1:14" ht="15" customHeight="1" x14ac:dyDescent="0.45">
      <c r="A1347" s="8">
        <v>2018</v>
      </c>
      <c r="B1347" s="6" t="s">
        <v>678</v>
      </c>
      <c r="C1347" s="2" t="str">
        <f t="shared" si="42"/>
        <v>Jay Ajayi</v>
      </c>
      <c r="D1347" s="2" t="str">
        <f t="shared" si="43"/>
        <v>PHI</v>
      </c>
      <c r="E1347" s="2">
        <v>45</v>
      </c>
      <c r="F1347" s="2">
        <v>184</v>
      </c>
      <c r="G1347" s="2">
        <v>4.0999999999999996</v>
      </c>
      <c r="H1347" s="2">
        <v>3</v>
      </c>
      <c r="I1347">
        <v>1</v>
      </c>
      <c r="J1347">
        <v>4</v>
      </c>
      <c r="K1347" t="str" cm="1">
        <f t="array" ref="K1347">IFERROR(_xlfn.XLOOKUP(D1347&amp;A1347, RBWR!A:A&amp;RBWR!C:C, RBWR!B:B), "N/A")</f>
        <v>N/A</v>
      </c>
      <c r="L1347" t="str" cm="1">
        <f t="array" ref="L1347">IFERROR(_xlfn.XLOOKUP(C1347&amp;A1347, RYOE!A:A&amp;RYOE!F:F, RYOE!C:C), "N/A")</f>
        <v>N/A</v>
      </c>
      <c r="M1347" t="str" cm="1">
        <f t="array" ref="M1347">IFERROR(_xlfn.XLOOKUP(C1347&amp;A1347, RYOE!A:A&amp;RYOE!F:F, RYOE!D:D), "N/A")</f>
        <v>N/A</v>
      </c>
      <c r="N1347" t="str" cm="1">
        <f t="array" ref="N1347">IFERROR(_xlfn.XLOOKUP(C1347&amp;A1347, RYOE!A:A&amp;RYOE!F:F, RYOE!E:E), "N/A")</f>
        <v>N/A</v>
      </c>
    </row>
    <row r="1348" spans="1:14" ht="15" customHeight="1" x14ac:dyDescent="0.45">
      <c r="A1348" s="7">
        <v>2018</v>
      </c>
      <c r="B1348" s="5" t="s">
        <v>205</v>
      </c>
      <c r="C1348" s="1" t="str">
        <f t="shared" si="42"/>
        <v>Kyle Juszczyk</v>
      </c>
      <c r="D1348" s="1" t="str">
        <f t="shared" si="43"/>
        <v>SF</v>
      </c>
      <c r="E1348" s="1">
        <v>8</v>
      </c>
      <c r="F1348" s="1">
        <v>30</v>
      </c>
      <c r="G1348" s="1">
        <v>3.8</v>
      </c>
      <c r="H1348" s="1">
        <v>0</v>
      </c>
      <c r="I1348">
        <v>2</v>
      </c>
      <c r="J1348">
        <v>16</v>
      </c>
      <c r="K1348" t="str" cm="1">
        <f t="array" ref="K1348">IFERROR(_xlfn.XLOOKUP(D1348&amp;A1348, RBWR!A:A&amp;RBWR!C:C, RBWR!B:B), "N/A")</f>
        <v>N/A</v>
      </c>
      <c r="L1348" t="str" cm="1">
        <f t="array" ref="L1348">IFERROR(_xlfn.XLOOKUP(C1348&amp;A1348, RYOE!A:A&amp;RYOE!F:F, RYOE!C:C), "N/A")</f>
        <v>N/A</v>
      </c>
      <c r="M1348" t="str" cm="1">
        <f t="array" ref="M1348">IFERROR(_xlfn.XLOOKUP(C1348&amp;A1348, RYOE!A:A&amp;RYOE!F:F, RYOE!D:D), "N/A")</f>
        <v>N/A</v>
      </c>
      <c r="N1348" t="str" cm="1">
        <f t="array" ref="N1348">IFERROR(_xlfn.XLOOKUP(C1348&amp;A1348, RYOE!A:A&amp;RYOE!F:F, RYOE!E:E), "N/A")</f>
        <v>N/A</v>
      </c>
    </row>
    <row r="1349" spans="1:14" ht="15" customHeight="1" x14ac:dyDescent="0.45">
      <c r="A1349" s="8">
        <v>2018</v>
      </c>
      <c r="B1349" s="6" t="s">
        <v>566</v>
      </c>
      <c r="C1349" s="2" t="str">
        <f t="shared" si="42"/>
        <v>Rex Burkhead</v>
      </c>
      <c r="D1349" s="2" t="str">
        <f t="shared" si="43"/>
        <v>NE</v>
      </c>
      <c r="E1349" s="2">
        <v>57</v>
      </c>
      <c r="F1349" s="2">
        <v>186</v>
      </c>
      <c r="G1349" s="2">
        <v>3.3</v>
      </c>
      <c r="H1349" s="2">
        <v>0</v>
      </c>
      <c r="I1349">
        <v>1</v>
      </c>
      <c r="J1349">
        <v>8</v>
      </c>
      <c r="K1349" t="str" cm="1">
        <f t="array" ref="K1349">IFERROR(_xlfn.XLOOKUP(D1349&amp;A1349, RBWR!A:A&amp;RBWR!C:C, RBWR!B:B), "N/A")</f>
        <v>N/A</v>
      </c>
      <c r="L1349" t="str" cm="1">
        <f t="array" ref="L1349">IFERROR(_xlfn.XLOOKUP(C1349&amp;A1349, RYOE!A:A&amp;RYOE!F:F, RYOE!C:C), "N/A")</f>
        <v>N/A</v>
      </c>
      <c r="M1349" t="str" cm="1">
        <f t="array" ref="M1349">IFERROR(_xlfn.XLOOKUP(C1349&amp;A1349, RYOE!A:A&amp;RYOE!F:F, RYOE!D:D), "N/A")</f>
        <v>N/A</v>
      </c>
      <c r="N1349" t="str" cm="1">
        <f t="array" ref="N1349">IFERROR(_xlfn.XLOOKUP(C1349&amp;A1349, RYOE!A:A&amp;RYOE!F:F, RYOE!E:E), "N/A")</f>
        <v>N/A</v>
      </c>
    </row>
    <row r="1350" spans="1:14" ht="15" customHeight="1" x14ac:dyDescent="0.45">
      <c r="A1350" s="7">
        <v>2018</v>
      </c>
      <c r="B1350" s="5" t="s">
        <v>403</v>
      </c>
      <c r="C1350" s="1" t="str">
        <f t="shared" si="42"/>
        <v>Malcolm Brown</v>
      </c>
      <c r="D1350" s="1" t="str">
        <f t="shared" si="43"/>
        <v>LAR</v>
      </c>
      <c r="E1350" s="1">
        <v>43</v>
      </c>
      <c r="F1350" s="1">
        <v>212</v>
      </c>
      <c r="G1350" s="1">
        <v>4.9000000000000004</v>
      </c>
      <c r="H1350" s="1">
        <v>0</v>
      </c>
      <c r="I1350">
        <v>0</v>
      </c>
      <c r="J1350">
        <v>12</v>
      </c>
      <c r="K1350" t="str" cm="1">
        <f t="array" ref="K1350">IFERROR(_xlfn.XLOOKUP(D1350&amp;A1350, RBWR!A:A&amp;RBWR!C:C, RBWR!B:B), "N/A")</f>
        <v>N/A</v>
      </c>
      <c r="L1350" t="str" cm="1">
        <f t="array" ref="L1350">IFERROR(_xlfn.XLOOKUP(C1350&amp;A1350, RYOE!A:A&amp;RYOE!F:F, RYOE!C:C), "N/A")</f>
        <v>N/A</v>
      </c>
      <c r="M1350" t="str" cm="1">
        <f t="array" ref="M1350">IFERROR(_xlfn.XLOOKUP(C1350&amp;A1350, RYOE!A:A&amp;RYOE!F:F, RYOE!D:D), "N/A")</f>
        <v>N/A</v>
      </c>
      <c r="N1350" t="str" cm="1">
        <f t="array" ref="N1350">IFERROR(_xlfn.XLOOKUP(C1350&amp;A1350, RYOE!A:A&amp;RYOE!F:F, RYOE!E:E), "N/A")</f>
        <v>N/A</v>
      </c>
    </row>
    <row r="1351" spans="1:14" ht="15" customHeight="1" x14ac:dyDescent="0.45">
      <c r="A1351" s="8">
        <v>2018</v>
      </c>
      <c r="B1351" s="6" t="s">
        <v>519</v>
      </c>
      <c r="C1351" s="2" t="str">
        <f t="shared" si="42"/>
        <v>Raheem Mostert</v>
      </c>
      <c r="D1351" s="2" t="str">
        <f t="shared" si="43"/>
        <v>SF</v>
      </c>
      <c r="E1351" s="2">
        <v>34</v>
      </c>
      <c r="F1351" s="2">
        <v>261</v>
      </c>
      <c r="G1351" s="2">
        <v>7.7</v>
      </c>
      <c r="H1351" s="2">
        <v>1</v>
      </c>
      <c r="I1351">
        <v>1</v>
      </c>
      <c r="J1351">
        <v>9</v>
      </c>
      <c r="K1351" t="str" cm="1">
        <f t="array" ref="K1351">IFERROR(_xlfn.XLOOKUP(D1351&amp;A1351, RBWR!A:A&amp;RBWR!C:C, RBWR!B:B), "N/A")</f>
        <v>N/A</v>
      </c>
      <c r="L1351" t="str" cm="1">
        <f t="array" ref="L1351">IFERROR(_xlfn.XLOOKUP(C1351&amp;A1351, RYOE!A:A&amp;RYOE!F:F, RYOE!C:C), "N/A")</f>
        <v>N/A</v>
      </c>
      <c r="M1351" t="str" cm="1">
        <f t="array" ref="M1351">IFERROR(_xlfn.XLOOKUP(C1351&amp;A1351, RYOE!A:A&amp;RYOE!F:F, RYOE!D:D), "N/A")</f>
        <v>N/A</v>
      </c>
      <c r="N1351" t="str" cm="1">
        <f t="array" ref="N1351">IFERROR(_xlfn.XLOOKUP(C1351&amp;A1351, RYOE!A:A&amp;RYOE!F:F, RYOE!E:E), "N/A")</f>
        <v>N/A</v>
      </c>
    </row>
    <row r="1352" spans="1:14" ht="15" customHeight="1" x14ac:dyDescent="0.45">
      <c r="A1352" s="7">
        <v>2018</v>
      </c>
      <c r="B1352" s="5" t="s">
        <v>476</v>
      </c>
      <c r="C1352" s="1" t="str">
        <f t="shared" si="42"/>
        <v>Jeff Wilson Jr.</v>
      </c>
      <c r="D1352" s="1" t="str">
        <f t="shared" si="43"/>
        <v>SF</v>
      </c>
      <c r="E1352" s="1">
        <v>66</v>
      </c>
      <c r="F1352" s="1">
        <v>266</v>
      </c>
      <c r="G1352" s="1">
        <v>4</v>
      </c>
      <c r="H1352" s="1">
        <v>0</v>
      </c>
      <c r="I1352">
        <v>2</v>
      </c>
      <c r="J1352">
        <v>6</v>
      </c>
      <c r="K1352" t="str" cm="1">
        <f t="array" ref="K1352">IFERROR(_xlfn.XLOOKUP(D1352&amp;A1352, RBWR!A:A&amp;RBWR!C:C, RBWR!B:B), "N/A")</f>
        <v>N/A</v>
      </c>
      <c r="L1352" t="str" cm="1">
        <f t="array" ref="L1352">IFERROR(_xlfn.XLOOKUP(C1352&amp;A1352, RYOE!A:A&amp;RYOE!F:F, RYOE!C:C), "N/A")</f>
        <v>N/A</v>
      </c>
      <c r="M1352" t="str" cm="1">
        <f t="array" ref="M1352">IFERROR(_xlfn.XLOOKUP(C1352&amp;A1352, RYOE!A:A&amp;RYOE!F:F, RYOE!D:D), "N/A")</f>
        <v>N/A</v>
      </c>
      <c r="N1352" t="str" cm="1">
        <f t="array" ref="N1352">IFERROR(_xlfn.XLOOKUP(C1352&amp;A1352, RYOE!A:A&amp;RYOE!F:F, RYOE!E:E), "N/A")</f>
        <v>N/A</v>
      </c>
    </row>
    <row r="1353" spans="1:14" ht="15" customHeight="1" x14ac:dyDescent="0.45">
      <c r="A1353" s="8">
        <v>2018</v>
      </c>
      <c r="B1353" s="6" t="s">
        <v>721</v>
      </c>
      <c r="C1353" s="2" t="str">
        <f t="shared" si="42"/>
        <v>Trenton Cannon</v>
      </c>
      <c r="D1353" s="2" t="str">
        <f t="shared" si="43"/>
        <v>NYJ</v>
      </c>
      <c r="E1353" s="2">
        <v>38</v>
      </c>
      <c r="F1353" s="2">
        <v>113</v>
      </c>
      <c r="G1353" s="2">
        <v>3</v>
      </c>
      <c r="H1353" s="2">
        <v>1</v>
      </c>
      <c r="I1353">
        <v>0</v>
      </c>
      <c r="J1353">
        <v>16</v>
      </c>
      <c r="K1353" t="str" cm="1">
        <f t="array" ref="K1353">IFERROR(_xlfn.XLOOKUP(D1353&amp;A1353, RBWR!A:A&amp;RBWR!C:C, RBWR!B:B), "N/A")</f>
        <v>N/A</v>
      </c>
      <c r="L1353" t="str" cm="1">
        <f t="array" ref="L1353">IFERROR(_xlfn.XLOOKUP(C1353&amp;A1353, RYOE!A:A&amp;RYOE!F:F, RYOE!C:C), "N/A")</f>
        <v>N/A</v>
      </c>
      <c r="M1353" t="str" cm="1">
        <f t="array" ref="M1353">IFERROR(_xlfn.XLOOKUP(C1353&amp;A1353, RYOE!A:A&amp;RYOE!F:F, RYOE!D:D), "N/A")</f>
        <v>N/A</v>
      </c>
      <c r="N1353" t="str" cm="1">
        <f t="array" ref="N1353">IFERROR(_xlfn.XLOOKUP(C1353&amp;A1353, RYOE!A:A&amp;RYOE!F:F, RYOE!E:E), "N/A")</f>
        <v>N/A</v>
      </c>
    </row>
    <row r="1354" spans="1:14" ht="15" customHeight="1" x14ac:dyDescent="0.45">
      <c r="A1354" s="7">
        <v>2018</v>
      </c>
      <c r="B1354" s="5" t="s">
        <v>693</v>
      </c>
      <c r="C1354" s="1" t="str">
        <f t="shared" si="42"/>
        <v>James Develin</v>
      </c>
      <c r="D1354" s="1" t="str">
        <f t="shared" si="43"/>
        <v>NE</v>
      </c>
      <c r="E1354" s="1">
        <v>6</v>
      </c>
      <c r="F1354" s="1">
        <v>8</v>
      </c>
      <c r="G1354" s="1">
        <v>1.3</v>
      </c>
      <c r="H1354" s="1">
        <v>4</v>
      </c>
      <c r="I1354">
        <v>0</v>
      </c>
      <c r="J1354">
        <v>16</v>
      </c>
      <c r="K1354" t="str" cm="1">
        <f t="array" ref="K1354">IFERROR(_xlfn.XLOOKUP(D1354&amp;A1354, RBWR!A:A&amp;RBWR!C:C, RBWR!B:B), "N/A")</f>
        <v>N/A</v>
      </c>
      <c r="L1354" t="str" cm="1">
        <f t="array" ref="L1354">IFERROR(_xlfn.XLOOKUP(C1354&amp;A1354, RYOE!A:A&amp;RYOE!F:F, RYOE!C:C), "N/A")</f>
        <v>N/A</v>
      </c>
      <c r="M1354" t="str" cm="1">
        <f t="array" ref="M1354">IFERROR(_xlfn.XLOOKUP(C1354&amp;A1354, RYOE!A:A&amp;RYOE!F:F, RYOE!D:D), "N/A")</f>
        <v>N/A</v>
      </c>
      <c r="N1354" t="str" cm="1">
        <f t="array" ref="N1354">IFERROR(_xlfn.XLOOKUP(C1354&amp;A1354, RYOE!A:A&amp;RYOE!F:F, RYOE!E:E), "N/A")</f>
        <v>N/A</v>
      </c>
    </row>
    <row r="1355" spans="1:14" ht="15" customHeight="1" x14ac:dyDescent="0.45">
      <c r="A1355" s="8">
        <v>2018</v>
      </c>
      <c r="B1355" s="6" t="s">
        <v>559</v>
      </c>
      <c r="C1355" s="2" t="str">
        <f t="shared" si="42"/>
        <v>Wayne Gallman Jr.</v>
      </c>
      <c r="D1355" s="2" t="str">
        <f t="shared" si="43"/>
        <v>NYG</v>
      </c>
      <c r="E1355" s="2">
        <v>51</v>
      </c>
      <c r="F1355" s="2">
        <v>176</v>
      </c>
      <c r="G1355" s="2">
        <v>3.5</v>
      </c>
      <c r="H1355" s="2">
        <v>1</v>
      </c>
      <c r="I1355">
        <v>1</v>
      </c>
      <c r="J1355">
        <v>15</v>
      </c>
      <c r="K1355" t="str" cm="1">
        <f t="array" ref="K1355">IFERROR(_xlfn.XLOOKUP(D1355&amp;A1355, RBWR!A:A&amp;RBWR!C:C, RBWR!B:B), "N/A")</f>
        <v>N/A</v>
      </c>
      <c r="L1355" t="str" cm="1">
        <f t="array" ref="L1355">IFERROR(_xlfn.XLOOKUP(C1355&amp;A1355, RYOE!A:A&amp;RYOE!F:F, RYOE!C:C), "N/A")</f>
        <v>N/A</v>
      </c>
      <c r="M1355" t="str" cm="1">
        <f t="array" ref="M1355">IFERROR(_xlfn.XLOOKUP(C1355&amp;A1355, RYOE!A:A&amp;RYOE!F:F, RYOE!D:D), "N/A")</f>
        <v>N/A</v>
      </c>
      <c r="N1355" t="str" cm="1">
        <f t="array" ref="N1355">IFERROR(_xlfn.XLOOKUP(C1355&amp;A1355, RYOE!A:A&amp;RYOE!F:F, RYOE!E:E), "N/A")</f>
        <v>N/A</v>
      </c>
    </row>
    <row r="1356" spans="1:14" ht="15" customHeight="1" x14ac:dyDescent="0.45">
      <c r="A1356" s="7">
        <v>2018</v>
      </c>
      <c r="B1356" s="5" t="s">
        <v>651</v>
      </c>
      <c r="C1356" s="1" t="str">
        <f t="shared" si="42"/>
        <v>Kalen Ballage</v>
      </c>
      <c r="D1356" s="1" t="str">
        <f t="shared" si="43"/>
        <v>MIA</v>
      </c>
      <c r="E1356" s="1">
        <v>36</v>
      </c>
      <c r="F1356" s="1">
        <v>191</v>
      </c>
      <c r="G1356" s="1">
        <v>5.3</v>
      </c>
      <c r="H1356" s="1">
        <v>1</v>
      </c>
      <c r="I1356">
        <v>1</v>
      </c>
      <c r="J1356">
        <v>12</v>
      </c>
      <c r="K1356" t="str" cm="1">
        <f t="array" ref="K1356">IFERROR(_xlfn.XLOOKUP(D1356&amp;A1356, RBWR!A:A&amp;RBWR!C:C, RBWR!B:B), "N/A")</f>
        <v>N/A</v>
      </c>
      <c r="L1356" t="str" cm="1">
        <f t="array" ref="L1356">IFERROR(_xlfn.XLOOKUP(C1356&amp;A1356, RYOE!A:A&amp;RYOE!F:F, RYOE!C:C), "N/A")</f>
        <v>N/A</v>
      </c>
      <c r="M1356" t="str" cm="1">
        <f t="array" ref="M1356">IFERROR(_xlfn.XLOOKUP(C1356&amp;A1356, RYOE!A:A&amp;RYOE!F:F, RYOE!D:D), "N/A")</f>
        <v>N/A</v>
      </c>
      <c r="N1356" t="str" cm="1">
        <f t="array" ref="N1356">IFERROR(_xlfn.XLOOKUP(C1356&amp;A1356, RYOE!A:A&amp;RYOE!F:F, RYOE!E:E), "N/A")</f>
        <v>N/A</v>
      </c>
    </row>
    <row r="1357" spans="1:14" ht="15" customHeight="1" x14ac:dyDescent="0.45">
      <c r="A1357" s="8">
        <v>2018</v>
      </c>
      <c r="B1357" s="6" t="s">
        <v>753</v>
      </c>
      <c r="C1357" s="2" t="str">
        <f t="shared" si="42"/>
        <v>Marcus Murphy</v>
      </c>
      <c r="D1357" s="2" t="str">
        <f t="shared" si="43"/>
        <v>BUF</v>
      </c>
      <c r="E1357" s="2">
        <v>52</v>
      </c>
      <c r="F1357" s="2">
        <v>250</v>
      </c>
      <c r="G1357" s="2">
        <v>4.8</v>
      </c>
      <c r="H1357" s="2">
        <v>0</v>
      </c>
      <c r="I1357">
        <v>0</v>
      </c>
      <c r="J1357">
        <v>11</v>
      </c>
      <c r="K1357" t="str" cm="1">
        <f t="array" ref="K1357">IFERROR(_xlfn.XLOOKUP(D1357&amp;A1357, RBWR!A:A&amp;RBWR!C:C, RBWR!B:B), "N/A")</f>
        <v>N/A</v>
      </c>
      <c r="L1357" t="str" cm="1">
        <f t="array" ref="L1357">IFERROR(_xlfn.XLOOKUP(C1357&amp;A1357, RYOE!A:A&amp;RYOE!F:F, RYOE!C:C), "N/A")</f>
        <v>N/A</v>
      </c>
      <c r="M1357" t="str" cm="1">
        <f t="array" ref="M1357">IFERROR(_xlfn.XLOOKUP(C1357&amp;A1357, RYOE!A:A&amp;RYOE!F:F, RYOE!D:D), "N/A")</f>
        <v>N/A</v>
      </c>
      <c r="N1357" t="str" cm="1">
        <f t="array" ref="N1357">IFERROR(_xlfn.XLOOKUP(C1357&amp;A1357, RYOE!A:A&amp;RYOE!F:F, RYOE!E:E), "N/A")</f>
        <v>N/A</v>
      </c>
    </row>
    <row r="1358" spans="1:14" ht="15" customHeight="1" x14ac:dyDescent="0.45">
      <c r="A1358" s="7">
        <v>2018</v>
      </c>
      <c r="B1358" s="5" t="s">
        <v>754</v>
      </c>
      <c r="C1358" s="1" t="str">
        <f t="shared" si="42"/>
        <v>Brandon Bolden</v>
      </c>
      <c r="D1358" s="1" t="str">
        <f t="shared" si="43"/>
        <v>MIA</v>
      </c>
      <c r="E1358" s="1">
        <v>8</v>
      </c>
      <c r="F1358" s="1">
        <v>91</v>
      </c>
      <c r="G1358" s="1">
        <v>11.4</v>
      </c>
      <c r="H1358" s="1">
        <v>2</v>
      </c>
      <c r="I1358">
        <v>1</v>
      </c>
      <c r="J1358">
        <v>16</v>
      </c>
      <c r="K1358" t="str" cm="1">
        <f t="array" ref="K1358">IFERROR(_xlfn.XLOOKUP(D1358&amp;A1358, RBWR!A:A&amp;RBWR!C:C, RBWR!B:B), "N/A")</f>
        <v>N/A</v>
      </c>
      <c r="L1358" t="str" cm="1">
        <f t="array" ref="L1358">IFERROR(_xlfn.XLOOKUP(C1358&amp;A1358, RYOE!A:A&amp;RYOE!F:F, RYOE!C:C), "N/A")</f>
        <v>N/A</v>
      </c>
      <c r="M1358" t="str" cm="1">
        <f t="array" ref="M1358">IFERROR(_xlfn.XLOOKUP(C1358&amp;A1358, RYOE!A:A&amp;RYOE!F:F, RYOE!D:D), "N/A")</f>
        <v>N/A</v>
      </c>
      <c r="N1358" t="str" cm="1">
        <f t="array" ref="N1358">IFERROR(_xlfn.XLOOKUP(C1358&amp;A1358, RYOE!A:A&amp;RYOE!F:F, RYOE!E:E), "N/A")</f>
        <v>N/A</v>
      </c>
    </row>
    <row r="1359" spans="1:14" ht="15" customHeight="1" x14ac:dyDescent="0.45">
      <c r="A1359" s="8">
        <v>2018</v>
      </c>
      <c r="B1359" s="6" t="s">
        <v>755</v>
      </c>
      <c r="C1359" s="2" t="str">
        <f t="shared" si="42"/>
        <v>Rod Smith</v>
      </c>
      <c r="D1359" s="2" t="str">
        <f t="shared" si="43"/>
        <v>DAL</v>
      </c>
      <c r="E1359" s="2">
        <v>44</v>
      </c>
      <c r="F1359" s="2">
        <v>127</v>
      </c>
      <c r="G1359" s="2">
        <v>2.9</v>
      </c>
      <c r="H1359" s="2">
        <v>1</v>
      </c>
      <c r="I1359">
        <v>0</v>
      </c>
      <c r="J1359">
        <v>16</v>
      </c>
      <c r="K1359" t="str" cm="1">
        <f t="array" ref="K1359">IFERROR(_xlfn.XLOOKUP(D1359&amp;A1359, RBWR!A:A&amp;RBWR!C:C, RBWR!B:B), "N/A")</f>
        <v>N/A</v>
      </c>
      <c r="L1359" t="str" cm="1">
        <f t="array" ref="L1359">IFERROR(_xlfn.XLOOKUP(C1359&amp;A1359, RYOE!A:A&amp;RYOE!F:F, RYOE!C:C), "N/A")</f>
        <v>N/A</v>
      </c>
      <c r="M1359" t="str" cm="1">
        <f t="array" ref="M1359">IFERROR(_xlfn.XLOOKUP(C1359&amp;A1359, RYOE!A:A&amp;RYOE!F:F, RYOE!D:D), "N/A")</f>
        <v>N/A</v>
      </c>
      <c r="N1359" t="str" cm="1">
        <f t="array" ref="N1359">IFERROR(_xlfn.XLOOKUP(C1359&amp;A1359, RYOE!A:A&amp;RYOE!F:F, RYOE!E:E), "N/A")</f>
        <v>N/A</v>
      </c>
    </row>
    <row r="1360" spans="1:14" ht="15" customHeight="1" x14ac:dyDescent="0.45">
      <c r="A1360" s="7">
        <v>2018</v>
      </c>
      <c r="B1360" s="5" t="s">
        <v>664</v>
      </c>
      <c r="C1360" s="1" t="str">
        <f t="shared" si="42"/>
        <v>Andy Janovich</v>
      </c>
      <c r="D1360" s="1" t="str">
        <f t="shared" si="43"/>
        <v>DEN</v>
      </c>
      <c r="E1360" s="1">
        <v>2</v>
      </c>
      <c r="F1360" s="1">
        <v>5</v>
      </c>
      <c r="G1360" s="1">
        <v>2.5</v>
      </c>
      <c r="H1360" s="1">
        <v>0</v>
      </c>
      <c r="I1360">
        <v>0</v>
      </c>
      <c r="J1360">
        <v>16</v>
      </c>
      <c r="K1360" t="str" cm="1">
        <f t="array" ref="K1360">IFERROR(_xlfn.XLOOKUP(D1360&amp;A1360, RBWR!A:A&amp;RBWR!C:C, RBWR!B:B), "N/A")</f>
        <v>N/A</v>
      </c>
      <c r="L1360" t="str" cm="1">
        <f t="array" ref="L1360">IFERROR(_xlfn.XLOOKUP(C1360&amp;A1360, RYOE!A:A&amp;RYOE!F:F, RYOE!C:C), "N/A")</f>
        <v>N/A</v>
      </c>
      <c r="M1360" t="str" cm="1">
        <f t="array" ref="M1360">IFERROR(_xlfn.XLOOKUP(C1360&amp;A1360, RYOE!A:A&amp;RYOE!F:F, RYOE!D:D), "N/A")</f>
        <v>N/A</v>
      </c>
      <c r="N1360" t="str" cm="1">
        <f t="array" ref="N1360">IFERROR(_xlfn.XLOOKUP(C1360&amp;A1360, RYOE!A:A&amp;RYOE!F:F, RYOE!E:E), "N/A")</f>
        <v>N/A</v>
      </c>
    </row>
    <row r="1361" spans="1:14" ht="15" customHeight="1" x14ac:dyDescent="0.45">
      <c r="A1361" s="8">
        <v>2018</v>
      </c>
      <c r="B1361" s="6" t="s">
        <v>672</v>
      </c>
      <c r="C1361" s="2" t="str">
        <f t="shared" si="42"/>
        <v>Zach Line</v>
      </c>
      <c r="D1361" s="2" t="str">
        <f t="shared" si="43"/>
        <v>NO</v>
      </c>
      <c r="E1361" s="2">
        <v>9</v>
      </c>
      <c r="F1361" s="2">
        <v>41</v>
      </c>
      <c r="G1361" s="2">
        <v>4.5999999999999996</v>
      </c>
      <c r="H1361" s="2">
        <v>0</v>
      </c>
      <c r="I1361">
        <v>0</v>
      </c>
      <c r="J1361">
        <v>16</v>
      </c>
      <c r="K1361" t="str" cm="1">
        <f t="array" ref="K1361">IFERROR(_xlfn.XLOOKUP(D1361&amp;A1361, RBWR!A:A&amp;RBWR!C:C, RBWR!B:B), "N/A")</f>
        <v>N/A</v>
      </c>
      <c r="L1361" t="str" cm="1">
        <f t="array" ref="L1361">IFERROR(_xlfn.XLOOKUP(C1361&amp;A1361, RYOE!A:A&amp;RYOE!F:F, RYOE!C:C), "N/A")</f>
        <v>N/A</v>
      </c>
      <c r="M1361" t="str" cm="1">
        <f t="array" ref="M1361">IFERROR(_xlfn.XLOOKUP(C1361&amp;A1361, RYOE!A:A&amp;RYOE!F:F, RYOE!D:D), "N/A")</f>
        <v>N/A</v>
      </c>
      <c r="N1361" t="str" cm="1">
        <f t="array" ref="N1361">IFERROR(_xlfn.XLOOKUP(C1361&amp;A1361, RYOE!A:A&amp;RYOE!F:F, RYOE!E:E), "N/A")</f>
        <v>N/A</v>
      </c>
    </row>
    <row r="1362" spans="1:14" ht="15" customHeight="1" x14ac:dyDescent="0.45">
      <c r="A1362" s="7">
        <v>2018</v>
      </c>
      <c r="B1362" s="5" t="s">
        <v>599</v>
      </c>
      <c r="C1362" s="1" t="str">
        <f t="shared" si="42"/>
        <v>Anthony Sherman</v>
      </c>
      <c r="D1362" s="1" t="str">
        <f t="shared" si="43"/>
        <v>KC</v>
      </c>
      <c r="E1362" s="1">
        <v>1</v>
      </c>
      <c r="F1362" s="1">
        <v>2</v>
      </c>
      <c r="G1362" s="1">
        <v>2</v>
      </c>
      <c r="H1362" s="1">
        <v>0</v>
      </c>
      <c r="I1362">
        <v>0</v>
      </c>
      <c r="J1362">
        <v>16</v>
      </c>
      <c r="K1362" t="str" cm="1">
        <f t="array" ref="K1362">IFERROR(_xlfn.XLOOKUP(D1362&amp;A1362, RBWR!A:A&amp;RBWR!C:C, RBWR!B:B), "N/A")</f>
        <v>N/A</v>
      </c>
      <c r="L1362" t="str" cm="1">
        <f t="array" ref="L1362">IFERROR(_xlfn.XLOOKUP(C1362&amp;A1362, RYOE!A:A&amp;RYOE!F:F, RYOE!C:C), "N/A")</f>
        <v>N/A</v>
      </c>
      <c r="M1362" t="str" cm="1">
        <f t="array" ref="M1362">IFERROR(_xlfn.XLOOKUP(C1362&amp;A1362, RYOE!A:A&amp;RYOE!F:F, RYOE!D:D), "N/A")</f>
        <v>N/A</v>
      </c>
      <c r="N1362" t="str" cm="1">
        <f t="array" ref="N1362">IFERROR(_xlfn.XLOOKUP(C1362&amp;A1362, RYOE!A:A&amp;RYOE!F:F, RYOE!E:E), "N/A")</f>
        <v>N/A</v>
      </c>
    </row>
    <row r="1363" spans="1:14" ht="15" customHeight="1" x14ac:dyDescent="0.45">
      <c r="A1363" s="8">
        <v>2018</v>
      </c>
      <c r="B1363" s="6" t="s">
        <v>420</v>
      </c>
      <c r="C1363" s="2" t="str">
        <f t="shared" si="42"/>
        <v>Dwayne Washington</v>
      </c>
      <c r="D1363" s="2" t="str">
        <f t="shared" si="43"/>
        <v>NO</v>
      </c>
      <c r="E1363" s="2">
        <v>27</v>
      </c>
      <c r="F1363" s="2">
        <v>154</v>
      </c>
      <c r="G1363" s="2">
        <v>5.7</v>
      </c>
      <c r="H1363" s="2">
        <v>0</v>
      </c>
      <c r="I1363">
        <v>0</v>
      </c>
      <c r="J1363">
        <v>13</v>
      </c>
      <c r="K1363" t="str" cm="1">
        <f t="array" ref="K1363">IFERROR(_xlfn.XLOOKUP(D1363&amp;A1363, RBWR!A:A&amp;RBWR!C:C, RBWR!B:B), "N/A")</f>
        <v>N/A</v>
      </c>
      <c r="L1363" t="str" cm="1">
        <f t="array" ref="L1363">IFERROR(_xlfn.XLOOKUP(C1363&amp;A1363, RYOE!A:A&amp;RYOE!F:F, RYOE!C:C), "N/A")</f>
        <v>N/A</v>
      </c>
      <c r="M1363" t="str" cm="1">
        <f t="array" ref="M1363">IFERROR(_xlfn.XLOOKUP(C1363&amp;A1363, RYOE!A:A&amp;RYOE!F:F, RYOE!D:D), "N/A")</f>
        <v>N/A</v>
      </c>
      <c r="N1363" t="str" cm="1">
        <f t="array" ref="N1363">IFERROR(_xlfn.XLOOKUP(C1363&amp;A1363, RYOE!A:A&amp;RYOE!F:F, RYOE!E:E), "N/A")</f>
        <v>N/A</v>
      </c>
    </row>
    <row r="1364" spans="1:14" ht="15" customHeight="1" x14ac:dyDescent="0.45">
      <c r="A1364" s="7">
        <v>2018</v>
      </c>
      <c r="B1364" s="5" t="s">
        <v>756</v>
      </c>
      <c r="C1364" s="1" t="str">
        <f t="shared" si="42"/>
        <v>Taquan Mizzell</v>
      </c>
      <c r="D1364" s="1" t="str">
        <f t="shared" si="43"/>
        <v>CHI</v>
      </c>
      <c r="E1364" s="1">
        <v>9</v>
      </c>
      <c r="F1364" s="1">
        <v>16</v>
      </c>
      <c r="G1364" s="1">
        <v>1.8</v>
      </c>
      <c r="H1364" s="1">
        <v>0</v>
      </c>
      <c r="I1364">
        <v>0</v>
      </c>
      <c r="J1364">
        <v>9</v>
      </c>
      <c r="K1364" t="str" cm="1">
        <f t="array" ref="K1364">IFERROR(_xlfn.XLOOKUP(D1364&amp;A1364, RBWR!A:A&amp;RBWR!C:C, RBWR!B:B), "N/A")</f>
        <v>N/A</v>
      </c>
      <c r="L1364" t="str" cm="1">
        <f t="array" ref="L1364">IFERROR(_xlfn.XLOOKUP(C1364&amp;A1364, RYOE!A:A&amp;RYOE!F:F, RYOE!C:C), "N/A")</f>
        <v>N/A</v>
      </c>
      <c r="M1364" t="str" cm="1">
        <f t="array" ref="M1364">IFERROR(_xlfn.XLOOKUP(C1364&amp;A1364, RYOE!A:A&amp;RYOE!F:F, RYOE!D:D), "N/A")</f>
        <v>N/A</v>
      </c>
      <c r="N1364" t="str" cm="1">
        <f t="array" ref="N1364">IFERROR(_xlfn.XLOOKUP(C1364&amp;A1364, RYOE!A:A&amp;RYOE!F:F, RYOE!E:E), "N/A")</f>
        <v>N/A</v>
      </c>
    </row>
    <row r="1365" spans="1:14" ht="15" customHeight="1" x14ac:dyDescent="0.45">
      <c r="A1365" s="8">
        <v>2018</v>
      </c>
      <c r="B1365" s="6" t="s">
        <v>567</v>
      </c>
      <c r="C1365" s="2" t="str">
        <f t="shared" si="42"/>
        <v>Brian Hill</v>
      </c>
      <c r="D1365" s="2" t="str">
        <f t="shared" si="43"/>
        <v>ATL</v>
      </c>
      <c r="E1365" s="2">
        <v>20</v>
      </c>
      <c r="F1365" s="2">
        <v>157</v>
      </c>
      <c r="G1365" s="2">
        <v>7.9</v>
      </c>
      <c r="H1365" s="2">
        <v>0</v>
      </c>
      <c r="I1365">
        <v>1</v>
      </c>
      <c r="J1365">
        <v>10</v>
      </c>
      <c r="K1365" t="str" cm="1">
        <f t="array" ref="K1365">IFERROR(_xlfn.XLOOKUP(D1365&amp;A1365, RBWR!A:A&amp;RBWR!C:C, RBWR!B:B), "N/A")</f>
        <v>N/A</v>
      </c>
      <c r="L1365" t="str" cm="1">
        <f t="array" ref="L1365">IFERROR(_xlfn.XLOOKUP(C1365&amp;A1365, RYOE!A:A&amp;RYOE!F:F, RYOE!C:C), "N/A")</f>
        <v>N/A</v>
      </c>
      <c r="M1365" t="str" cm="1">
        <f t="array" ref="M1365">IFERROR(_xlfn.XLOOKUP(C1365&amp;A1365, RYOE!A:A&amp;RYOE!F:F, RYOE!D:D), "N/A")</f>
        <v>N/A</v>
      </c>
      <c r="N1365" t="str" cm="1">
        <f t="array" ref="N1365">IFERROR(_xlfn.XLOOKUP(C1365&amp;A1365, RYOE!A:A&amp;RYOE!F:F, RYOE!E:E), "N/A")</f>
        <v>N/A</v>
      </c>
    </row>
    <row r="1366" spans="1:14" ht="15" customHeight="1" x14ac:dyDescent="0.45">
      <c r="A1366" s="7">
        <v>2018</v>
      </c>
      <c r="B1366" s="5" t="s">
        <v>709</v>
      </c>
      <c r="C1366" s="1" t="str">
        <f t="shared" si="42"/>
        <v>Cameron Artis-Payne</v>
      </c>
      <c r="D1366" s="1" t="str">
        <f t="shared" si="43"/>
        <v>CAR</v>
      </c>
      <c r="E1366" s="1">
        <v>19</v>
      </c>
      <c r="F1366" s="1">
        <v>69</v>
      </c>
      <c r="G1366" s="1">
        <v>3.6</v>
      </c>
      <c r="H1366" s="1">
        <v>1</v>
      </c>
      <c r="I1366">
        <v>0</v>
      </c>
      <c r="J1366">
        <v>9</v>
      </c>
      <c r="K1366" t="str" cm="1">
        <f t="array" ref="K1366">IFERROR(_xlfn.XLOOKUP(D1366&amp;A1366, RBWR!A:A&amp;RBWR!C:C, RBWR!B:B), "N/A")</f>
        <v>N/A</v>
      </c>
      <c r="L1366" t="str" cm="1">
        <f t="array" ref="L1366">IFERROR(_xlfn.XLOOKUP(C1366&amp;A1366, RYOE!A:A&amp;RYOE!F:F, RYOE!C:C), "N/A")</f>
        <v>N/A</v>
      </c>
      <c r="M1366" t="str" cm="1">
        <f t="array" ref="M1366">IFERROR(_xlfn.XLOOKUP(C1366&amp;A1366, RYOE!A:A&amp;RYOE!F:F, RYOE!D:D), "N/A")</f>
        <v>N/A</v>
      </c>
      <c r="N1366" t="str" cm="1">
        <f t="array" ref="N1366">IFERROR(_xlfn.XLOOKUP(C1366&amp;A1366, RYOE!A:A&amp;RYOE!F:F, RYOE!E:E), "N/A")</f>
        <v>N/A</v>
      </c>
    </row>
    <row r="1367" spans="1:14" ht="15" customHeight="1" x14ac:dyDescent="0.45">
      <c r="A1367" s="8">
        <v>2018</v>
      </c>
      <c r="B1367" s="6" t="s">
        <v>607</v>
      </c>
      <c r="C1367" s="2" t="str">
        <f t="shared" si="42"/>
        <v>Alex Armah Jr.</v>
      </c>
      <c r="D1367" s="2" t="str">
        <f t="shared" si="43"/>
        <v>CAR</v>
      </c>
      <c r="E1367" s="2">
        <v>9</v>
      </c>
      <c r="F1367" s="2">
        <v>15</v>
      </c>
      <c r="G1367" s="2">
        <v>1.7</v>
      </c>
      <c r="H1367" s="2">
        <v>2</v>
      </c>
      <c r="I1367">
        <v>0</v>
      </c>
      <c r="J1367">
        <v>16</v>
      </c>
      <c r="K1367" t="str" cm="1">
        <f t="array" ref="K1367">IFERROR(_xlfn.XLOOKUP(D1367&amp;A1367, RBWR!A:A&amp;RBWR!C:C, RBWR!B:B), "N/A")</f>
        <v>N/A</v>
      </c>
      <c r="L1367" t="str" cm="1">
        <f t="array" ref="L1367">IFERROR(_xlfn.XLOOKUP(C1367&amp;A1367, RYOE!A:A&amp;RYOE!F:F, RYOE!C:C), "N/A")</f>
        <v>N/A</v>
      </c>
      <c r="M1367" t="str" cm="1">
        <f t="array" ref="M1367">IFERROR(_xlfn.XLOOKUP(C1367&amp;A1367, RYOE!A:A&amp;RYOE!F:F, RYOE!D:D), "N/A")</f>
        <v>N/A</v>
      </c>
      <c r="N1367" t="str" cm="1">
        <f t="array" ref="N1367">IFERROR(_xlfn.XLOOKUP(C1367&amp;A1367, RYOE!A:A&amp;RYOE!F:F, RYOE!E:E), "N/A")</f>
        <v>N/A</v>
      </c>
    </row>
    <row r="1368" spans="1:14" ht="15" customHeight="1" x14ac:dyDescent="0.45">
      <c r="A1368" s="7">
        <v>2018</v>
      </c>
      <c r="B1368" s="5" t="s">
        <v>466</v>
      </c>
      <c r="C1368" s="1" t="str">
        <f t="shared" si="42"/>
        <v>Ronald Jones II</v>
      </c>
      <c r="D1368" s="1" t="str">
        <f t="shared" si="43"/>
        <v>TB</v>
      </c>
      <c r="E1368" s="1">
        <v>23</v>
      </c>
      <c r="F1368" s="1">
        <v>44</v>
      </c>
      <c r="G1368" s="1">
        <v>1.9</v>
      </c>
      <c r="H1368" s="1">
        <v>1</v>
      </c>
      <c r="I1368">
        <v>0</v>
      </c>
      <c r="J1368">
        <v>9</v>
      </c>
      <c r="K1368" t="str" cm="1">
        <f t="array" ref="K1368">IFERROR(_xlfn.XLOOKUP(D1368&amp;A1368, RBWR!A:A&amp;RBWR!C:C, RBWR!B:B), "N/A")</f>
        <v>N/A</v>
      </c>
      <c r="L1368" t="str" cm="1">
        <f t="array" ref="L1368">IFERROR(_xlfn.XLOOKUP(C1368&amp;A1368, RYOE!A:A&amp;RYOE!F:F, RYOE!C:C), "N/A")</f>
        <v>N/A</v>
      </c>
      <c r="M1368" t="str" cm="1">
        <f t="array" ref="M1368">IFERROR(_xlfn.XLOOKUP(C1368&amp;A1368, RYOE!A:A&amp;RYOE!F:F, RYOE!D:D), "N/A")</f>
        <v>N/A</v>
      </c>
      <c r="N1368" t="str" cm="1">
        <f t="array" ref="N1368">IFERROR(_xlfn.XLOOKUP(C1368&amp;A1368, RYOE!A:A&amp;RYOE!F:F, RYOE!E:E), "N/A")</f>
        <v>N/A</v>
      </c>
    </row>
    <row r="1369" spans="1:14" ht="15" customHeight="1" x14ac:dyDescent="0.45">
      <c r="A1369" s="8">
        <v>2018</v>
      </c>
      <c r="B1369" s="6" t="s">
        <v>452</v>
      </c>
      <c r="C1369" s="2" t="str">
        <f t="shared" si="42"/>
        <v>Darrel Williams</v>
      </c>
      <c r="D1369" s="2" t="str">
        <f t="shared" si="43"/>
        <v>KC</v>
      </c>
      <c r="E1369" s="2">
        <v>13</v>
      </c>
      <c r="F1369" s="2">
        <v>44</v>
      </c>
      <c r="G1369" s="2">
        <v>3.4</v>
      </c>
      <c r="H1369" s="2">
        <v>0</v>
      </c>
      <c r="I1369">
        <v>0</v>
      </c>
      <c r="J1369">
        <v>6</v>
      </c>
      <c r="K1369" t="str" cm="1">
        <f t="array" ref="K1369">IFERROR(_xlfn.XLOOKUP(D1369&amp;A1369, RBWR!A:A&amp;RBWR!C:C, RBWR!B:B), "N/A")</f>
        <v>N/A</v>
      </c>
      <c r="L1369" t="str" cm="1">
        <f t="array" ref="L1369">IFERROR(_xlfn.XLOOKUP(C1369&amp;A1369, RYOE!A:A&amp;RYOE!F:F, RYOE!C:C), "N/A")</f>
        <v>N/A</v>
      </c>
      <c r="M1369" t="str" cm="1">
        <f t="array" ref="M1369">IFERROR(_xlfn.XLOOKUP(C1369&amp;A1369, RYOE!A:A&amp;RYOE!F:F, RYOE!D:D), "N/A")</f>
        <v>N/A</v>
      </c>
      <c r="N1369" t="str" cm="1">
        <f t="array" ref="N1369">IFERROR(_xlfn.XLOOKUP(C1369&amp;A1369, RYOE!A:A&amp;RYOE!F:F, RYOE!E:E), "N/A")</f>
        <v>N/A</v>
      </c>
    </row>
    <row r="1370" spans="1:14" ht="15" customHeight="1" x14ac:dyDescent="0.45">
      <c r="A1370" s="7">
        <v>2018</v>
      </c>
      <c r="B1370" s="5" t="s">
        <v>698</v>
      </c>
      <c r="C1370" s="1" t="str">
        <f t="shared" si="42"/>
        <v>Stevan Ridley</v>
      </c>
      <c r="D1370" s="1" t="str">
        <f t="shared" si="43"/>
        <v>PIT</v>
      </c>
      <c r="E1370" s="1">
        <v>29</v>
      </c>
      <c r="F1370" s="1">
        <v>80</v>
      </c>
      <c r="G1370" s="1">
        <v>2.8</v>
      </c>
      <c r="H1370" s="1">
        <v>1</v>
      </c>
      <c r="I1370">
        <v>2</v>
      </c>
      <c r="J1370">
        <v>10</v>
      </c>
      <c r="K1370" t="str" cm="1">
        <f t="array" ref="K1370">IFERROR(_xlfn.XLOOKUP(D1370&amp;A1370, RBWR!A:A&amp;RBWR!C:C, RBWR!B:B), "N/A")</f>
        <v>N/A</v>
      </c>
      <c r="L1370" t="str" cm="1">
        <f t="array" ref="L1370">IFERROR(_xlfn.XLOOKUP(C1370&amp;A1370, RYOE!A:A&amp;RYOE!F:F, RYOE!C:C), "N/A")</f>
        <v>N/A</v>
      </c>
      <c r="M1370" t="str" cm="1">
        <f t="array" ref="M1370">IFERROR(_xlfn.XLOOKUP(C1370&amp;A1370, RYOE!A:A&amp;RYOE!F:F, RYOE!D:D), "N/A")</f>
        <v>N/A</v>
      </c>
      <c r="N1370" t="str" cm="1">
        <f t="array" ref="N1370">IFERROR(_xlfn.XLOOKUP(C1370&amp;A1370, RYOE!A:A&amp;RYOE!F:F, RYOE!E:E), "N/A")</f>
        <v>N/A</v>
      </c>
    </row>
    <row r="1371" spans="1:14" ht="15" customHeight="1" x14ac:dyDescent="0.45">
      <c r="A1371" s="8">
        <v>2018</v>
      </c>
      <c r="B1371" s="6" t="s">
        <v>757</v>
      </c>
      <c r="C1371" s="2" t="str">
        <f t="shared" si="42"/>
        <v>Corey Grant</v>
      </c>
      <c r="D1371" s="2" t="str">
        <f t="shared" si="43"/>
        <v>JAC</v>
      </c>
      <c r="E1371" s="2">
        <v>13</v>
      </c>
      <c r="F1371" s="2">
        <v>40</v>
      </c>
      <c r="G1371" s="2">
        <v>3.1</v>
      </c>
      <c r="H1371" s="2">
        <v>0</v>
      </c>
      <c r="I1371">
        <v>0</v>
      </c>
      <c r="J1371">
        <v>5</v>
      </c>
      <c r="K1371" t="str" cm="1">
        <f t="array" ref="K1371">IFERROR(_xlfn.XLOOKUP(D1371&amp;A1371, RBWR!A:A&amp;RBWR!C:C, RBWR!B:B), "N/A")</f>
        <v>N/A</v>
      </c>
      <c r="L1371" t="str" cm="1">
        <f t="array" ref="L1371">IFERROR(_xlfn.XLOOKUP(C1371&amp;A1371, RYOE!A:A&amp;RYOE!F:F, RYOE!C:C), "N/A")</f>
        <v>N/A</v>
      </c>
      <c r="M1371" t="str" cm="1">
        <f t="array" ref="M1371">IFERROR(_xlfn.XLOOKUP(C1371&amp;A1371, RYOE!A:A&amp;RYOE!F:F, RYOE!D:D), "N/A")</f>
        <v>N/A</v>
      </c>
      <c r="N1371" t="str" cm="1">
        <f t="array" ref="N1371">IFERROR(_xlfn.XLOOKUP(C1371&amp;A1371, RYOE!A:A&amp;RYOE!F:F, RYOE!E:E), "N/A")</f>
        <v>N/A</v>
      </c>
    </row>
    <row r="1372" spans="1:14" ht="15" customHeight="1" x14ac:dyDescent="0.45">
      <c r="A1372" s="7">
        <v>2018</v>
      </c>
      <c r="B1372" s="5" t="s">
        <v>641</v>
      </c>
      <c r="C1372" s="1" t="str">
        <f t="shared" si="42"/>
        <v>DeAndre Washington</v>
      </c>
      <c r="D1372" s="1" t="str">
        <f t="shared" si="43"/>
        <v>OAK</v>
      </c>
      <c r="E1372" s="1">
        <v>30</v>
      </c>
      <c r="F1372" s="1">
        <v>115</v>
      </c>
      <c r="G1372" s="1">
        <v>3.8</v>
      </c>
      <c r="H1372" s="1">
        <v>0</v>
      </c>
      <c r="I1372">
        <v>1</v>
      </c>
      <c r="J1372">
        <v>10</v>
      </c>
      <c r="K1372" t="str" cm="1">
        <f t="array" ref="K1372">IFERROR(_xlfn.XLOOKUP(D1372&amp;A1372, RBWR!A:A&amp;RBWR!C:C, RBWR!B:B), "N/A")</f>
        <v>N/A</v>
      </c>
      <c r="L1372" t="str" cm="1">
        <f t="array" ref="L1372">IFERROR(_xlfn.XLOOKUP(C1372&amp;A1372, RYOE!A:A&amp;RYOE!F:F, RYOE!C:C), "N/A")</f>
        <v>N/A</v>
      </c>
      <c r="M1372" t="str" cm="1">
        <f t="array" ref="M1372">IFERROR(_xlfn.XLOOKUP(C1372&amp;A1372, RYOE!A:A&amp;RYOE!F:F, RYOE!D:D), "N/A")</f>
        <v>N/A</v>
      </c>
      <c r="N1372" t="str" cm="1">
        <f t="array" ref="N1372">IFERROR(_xlfn.XLOOKUP(C1372&amp;A1372, RYOE!A:A&amp;RYOE!F:F, RYOE!E:E), "N/A")</f>
        <v>N/A</v>
      </c>
    </row>
    <row r="1373" spans="1:14" ht="15" customHeight="1" x14ac:dyDescent="0.45">
      <c r="A1373" s="8">
        <v>2018</v>
      </c>
      <c r="B1373" s="6" t="s">
        <v>685</v>
      </c>
      <c r="C1373" s="2" t="str">
        <f t="shared" si="42"/>
        <v>John Kelly Jr.</v>
      </c>
      <c r="D1373" s="2" t="str">
        <f t="shared" si="43"/>
        <v>LAR</v>
      </c>
      <c r="E1373" s="2">
        <v>27</v>
      </c>
      <c r="F1373" s="2">
        <v>74</v>
      </c>
      <c r="G1373" s="2">
        <v>2.7</v>
      </c>
      <c r="H1373" s="2">
        <v>0</v>
      </c>
      <c r="I1373">
        <v>0</v>
      </c>
      <c r="J1373">
        <v>4</v>
      </c>
      <c r="K1373" t="str" cm="1">
        <f t="array" ref="K1373">IFERROR(_xlfn.XLOOKUP(D1373&amp;A1373, RBWR!A:A&amp;RBWR!C:C, RBWR!B:B), "N/A")</f>
        <v>N/A</v>
      </c>
      <c r="L1373" t="str" cm="1">
        <f t="array" ref="L1373">IFERROR(_xlfn.XLOOKUP(C1373&amp;A1373, RYOE!A:A&amp;RYOE!F:F, RYOE!C:C), "N/A")</f>
        <v>N/A</v>
      </c>
      <c r="M1373" t="str" cm="1">
        <f t="array" ref="M1373">IFERROR(_xlfn.XLOOKUP(C1373&amp;A1373, RYOE!A:A&amp;RYOE!F:F, RYOE!D:D), "N/A")</f>
        <v>N/A</v>
      </c>
      <c r="N1373" t="str" cm="1">
        <f t="array" ref="N1373">IFERROR(_xlfn.XLOOKUP(C1373&amp;A1373, RYOE!A:A&amp;RYOE!F:F, RYOE!E:E), "N/A")</f>
        <v>N/A</v>
      </c>
    </row>
    <row r="1374" spans="1:14" ht="15" customHeight="1" x14ac:dyDescent="0.45">
      <c r="A1374" s="7">
        <v>2018</v>
      </c>
      <c r="B1374" s="5" t="s">
        <v>758</v>
      </c>
      <c r="C1374" s="1" t="str">
        <f t="shared" si="42"/>
        <v>Keith Ford</v>
      </c>
      <c r="D1374" s="1" t="str">
        <f t="shared" si="43"/>
        <v>BUF</v>
      </c>
      <c r="E1374" s="1">
        <v>21</v>
      </c>
      <c r="F1374" s="1">
        <v>79</v>
      </c>
      <c r="G1374" s="1">
        <v>3.8</v>
      </c>
      <c r="H1374" s="1">
        <v>0</v>
      </c>
      <c r="I1374">
        <v>0</v>
      </c>
      <c r="J1374">
        <v>2</v>
      </c>
      <c r="K1374" t="str" cm="1">
        <f t="array" ref="K1374">IFERROR(_xlfn.XLOOKUP(D1374&amp;A1374, RBWR!A:A&amp;RBWR!C:C, RBWR!B:B), "N/A")</f>
        <v>N/A</v>
      </c>
      <c r="L1374" t="str" cm="1">
        <f t="array" ref="L1374">IFERROR(_xlfn.XLOOKUP(C1374&amp;A1374, RYOE!A:A&amp;RYOE!F:F, RYOE!C:C), "N/A")</f>
        <v>N/A</v>
      </c>
      <c r="M1374" t="str" cm="1">
        <f t="array" ref="M1374">IFERROR(_xlfn.XLOOKUP(C1374&amp;A1374, RYOE!A:A&amp;RYOE!F:F, RYOE!D:D), "N/A")</f>
        <v>N/A</v>
      </c>
      <c r="N1374" t="str" cm="1">
        <f t="array" ref="N1374">IFERROR(_xlfn.XLOOKUP(C1374&amp;A1374, RYOE!A:A&amp;RYOE!F:F, RYOE!E:E), "N/A")</f>
        <v>N/A</v>
      </c>
    </row>
    <row r="1375" spans="1:14" ht="15" customHeight="1" x14ac:dyDescent="0.45">
      <c r="A1375" s="8">
        <v>2018</v>
      </c>
      <c r="B1375" s="6" t="s">
        <v>759</v>
      </c>
      <c r="C1375" s="2" t="str">
        <f t="shared" si="42"/>
        <v>Charcandrick West</v>
      </c>
      <c r="D1375" s="2" t="str">
        <f t="shared" si="43"/>
        <v>KC</v>
      </c>
      <c r="E1375" s="2">
        <v>2</v>
      </c>
      <c r="F1375" s="2">
        <v>-1</v>
      </c>
      <c r="G1375" s="2">
        <v>-0.5</v>
      </c>
      <c r="H1375" s="2">
        <v>0</v>
      </c>
      <c r="I1375">
        <v>0</v>
      </c>
      <c r="J1375">
        <v>3</v>
      </c>
      <c r="K1375" t="str" cm="1">
        <f t="array" ref="K1375">IFERROR(_xlfn.XLOOKUP(D1375&amp;A1375, RBWR!A:A&amp;RBWR!C:C, RBWR!B:B), "N/A")</f>
        <v>N/A</v>
      </c>
      <c r="L1375" t="str" cm="1">
        <f t="array" ref="L1375">IFERROR(_xlfn.XLOOKUP(C1375&amp;A1375, RYOE!A:A&amp;RYOE!F:F, RYOE!C:C), "N/A")</f>
        <v>N/A</v>
      </c>
      <c r="M1375" t="str" cm="1">
        <f t="array" ref="M1375">IFERROR(_xlfn.XLOOKUP(C1375&amp;A1375, RYOE!A:A&amp;RYOE!F:F, RYOE!D:D), "N/A")</f>
        <v>N/A</v>
      </c>
      <c r="N1375" t="str" cm="1">
        <f t="array" ref="N1375">IFERROR(_xlfn.XLOOKUP(C1375&amp;A1375, RYOE!A:A&amp;RYOE!F:F, RYOE!E:E), "N/A")</f>
        <v>N/A</v>
      </c>
    </row>
    <row r="1376" spans="1:14" ht="15" customHeight="1" x14ac:dyDescent="0.45">
      <c r="A1376" s="7">
        <v>2018</v>
      </c>
      <c r="B1376" s="5" t="s">
        <v>168</v>
      </c>
      <c r="C1376" s="1" t="str">
        <f t="shared" si="42"/>
        <v>C.J. Ham</v>
      </c>
      <c r="D1376" s="1" t="str">
        <f t="shared" si="43"/>
        <v>MIN</v>
      </c>
      <c r="E1376" s="1">
        <v>6</v>
      </c>
      <c r="F1376" s="1">
        <v>8</v>
      </c>
      <c r="G1376" s="1">
        <v>1.3</v>
      </c>
      <c r="H1376" s="1">
        <v>0</v>
      </c>
      <c r="I1376">
        <v>0</v>
      </c>
      <c r="J1376">
        <v>15</v>
      </c>
      <c r="K1376" t="str" cm="1">
        <f t="array" ref="K1376">IFERROR(_xlfn.XLOOKUP(D1376&amp;A1376, RBWR!A:A&amp;RBWR!C:C, RBWR!B:B), "N/A")</f>
        <v>N/A</v>
      </c>
      <c r="L1376" t="str" cm="1">
        <f t="array" ref="L1376">IFERROR(_xlfn.XLOOKUP(C1376&amp;A1376, RYOE!A:A&amp;RYOE!F:F, RYOE!C:C), "N/A")</f>
        <v>N/A</v>
      </c>
      <c r="M1376" t="str" cm="1">
        <f t="array" ref="M1376">IFERROR(_xlfn.XLOOKUP(C1376&amp;A1376, RYOE!A:A&amp;RYOE!F:F, RYOE!D:D), "N/A")</f>
        <v>N/A</v>
      </c>
      <c r="N1376" t="str" cm="1">
        <f t="array" ref="N1376">IFERROR(_xlfn.XLOOKUP(C1376&amp;A1376, RYOE!A:A&amp;RYOE!F:F, RYOE!E:E), "N/A")</f>
        <v>N/A</v>
      </c>
    </row>
    <row r="1377" spans="1:14" ht="15" customHeight="1" x14ac:dyDescent="0.45">
      <c r="A1377" s="8">
        <v>2018</v>
      </c>
      <c r="B1377" s="6" t="s">
        <v>635</v>
      </c>
      <c r="C1377" s="2" t="str">
        <f t="shared" si="42"/>
        <v>Devonta Freeman</v>
      </c>
      <c r="D1377" s="2" t="str">
        <f t="shared" si="43"/>
        <v>ATL</v>
      </c>
      <c r="E1377" s="2">
        <v>14</v>
      </c>
      <c r="F1377" s="2">
        <v>68</v>
      </c>
      <c r="G1377" s="2">
        <v>4.9000000000000004</v>
      </c>
      <c r="H1377" s="2">
        <v>0</v>
      </c>
      <c r="I1377">
        <v>0</v>
      </c>
      <c r="J1377">
        <v>2</v>
      </c>
      <c r="K1377" t="str" cm="1">
        <f t="array" ref="K1377">IFERROR(_xlfn.XLOOKUP(D1377&amp;A1377, RBWR!A:A&amp;RBWR!C:C, RBWR!B:B), "N/A")</f>
        <v>N/A</v>
      </c>
      <c r="L1377" t="str" cm="1">
        <f t="array" ref="L1377">IFERROR(_xlfn.XLOOKUP(C1377&amp;A1377, RYOE!A:A&amp;RYOE!F:F, RYOE!C:C), "N/A")</f>
        <v>N/A</v>
      </c>
      <c r="M1377" t="str" cm="1">
        <f t="array" ref="M1377">IFERROR(_xlfn.XLOOKUP(C1377&amp;A1377, RYOE!A:A&amp;RYOE!F:F, RYOE!D:D), "N/A")</f>
        <v>N/A</v>
      </c>
      <c r="N1377" t="str" cm="1">
        <f t="array" ref="N1377">IFERROR(_xlfn.XLOOKUP(C1377&amp;A1377, RYOE!A:A&amp;RYOE!F:F, RYOE!E:E), "N/A")</f>
        <v>N/A</v>
      </c>
    </row>
    <row r="1378" spans="1:14" ht="15" customHeight="1" x14ac:dyDescent="0.45">
      <c r="A1378" s="7">
        <v>2018</v>
      </c>
      <c r="B1378" s="5" t="s">
        <v>760</v>
      </c>
      <c r="C1378" s="1" t="str">
        <f t="shared" si="42"/>
        <v>D'Onta Foreman</v>
      </c>
      <c r="D1378" s="1" t="str">
        <f t="shared" si="43"/>
        <v>HOU</v>
      </c>
      <c r="E1378" s="1">
        <v>7</v>
      </c>
      <c r="F1378" s="1">
        <v>-1</v>
      </c>
      <c r="G1378" s="1">
        <v>-0.1</v>
      </c>
      <c r="H1378" s="1">
        <v>0</v>
      </c>
      <c r="I1378">
        <v>0</v>
      </c>
      <c r="J1378">
        <v>1</v>
      </c>
      <c r="K1378" t="str" cm="1">
        <f t="array" ref="K1378">IFERROR(_xlfn.XLOOKUP(D1378&amp;A1378, RBWR!A:A&amp;RBWR!C:C, RBWR!B:B), "N/A")</f>
        <v>N/A</v>
      </c>
      <c r="L1378" t="str" cm="1">
        <f t="array" ref="L1378">IFERROR(_xlfn.XLOOKUP(C1378&amp;A1378, RYOE!A:A&amp;RYOE!F:F, RYOE!C:C), "N/A")</f>
        <v>N/A</v>
      </c>
      <c r="M1378" t="str" cm="1">
        <f t="array" ref="M1378">IFERROR(_xlfn.XLOOKUP(C1378&amp;A1378, RYOE!A:A&amp;RYOE!F:F, RYOE!D:D), "N/A")</f>
        <v>N/A</v>
      </c>
      <c r="N1378" t="str" cm="1">
        <f t="array" ref="N1378">IFERROR(_xlfn.XLOOKUP(C1378&amp;A1378, RYOE!A:A&amp;RYOE!F:F, RYOE!E:E), "N/A")</f>
        <v>N/A</v>
      </c>
    </row>
    <row r="1379" spans="1:14" ht="15" customHeight="1" x14ac:dyDescent="0.45">
      <c r="A1379" s="8">
        <v>2018</v>
      </c>
      <c r="B1379" s="6" t="s">
        <v>656</v>
      </c>
      <c r="C1379" s="2" t="str">
        <f t="shared" si="42"/>
        <v>Dontrell Hilliard</v>
      </c>
      <c r="D1379" s="2" t="str">
        <f t="shared" si="43"/>
        <v>CLE</v>
      </c>
      <c r="E1379" s="2">
        <v>0</v>
      </c>
      <c r="F1379" s="2">
        <v>0</v>
      </c>
      <c r="G1379" s="2">
        <v>0</v>
      </c>
      <c r="H1379" s="2">
        <v>0</v>
      </c>
      <c r="I1379">
        <v>0</v>
      </c>
      <c r="J1379">
        <v>11</v>
      </c>
      <c r="K1379" t="str" cm="1">
        <f t="array" ref="K1379">IFERROR(_xlfn.XLOOKUP(D1379&amp;A1379, RBWR!A:A&amp;RBWR!C:C, RBWR!B:B), "N/A")</f>
        <v>N/A</v>
      </c>
      <c r="L1379" t="str" cm="1">
        <f t="array" ref="L1379">IFERROR(_xlfn.XLOOKUP(C1379&amp;A1379, RYOE!A:A&amp;RYOE!F:F, RYOE!C:C), "N/A")</f>
        <v>N/A</v>
      </c>
      <c r="M1379" t="str" cm="1">
        <f t="array" ref="M1379">IFERROR(_xlfn.XLOOKUP(C1379&amp;A1379, RYOE!A:A&amp;RYOE!F:F, RYOE!D:D), "N/A")</f>
        <v>N/A</v>
      </c>
      <c r="N1379" t="str" cm="1">
        <f t="array" ref="N1379">IFERROR(_xlfn.XLOOKUP(C1379&amp;A1379, RYOE!A:A&amp;RYOE!F:F, RYOE!E:E), "N/A")</f>
        <v>N/A</v>
      </c>
    </row>
    <row r="1380" spans="1:14" ht="15" customHeight="1" x14ac:dyDescent="0.45">
      <c r="A1380" s="7">
        <v>2018</v>
      </c>
      <c r="B1380" s="5" t="s">
        <v>486</v>
      </c>
      <c r="C1380" s="1" t="str">
        <f t="shared" si="42"/>
        <v>Elijhaa Penny</v>
      </c>
      <c r="D1380" s="1" t="str">
        <f t="shared" si="43"/>
        <v>NYG</v>
      </c>
      <c r="E1380" s="1">
        <v>7</v>
      </c>
      <c r="F1380" s="1">
        <v>25</v>
      </c>
      <c r="G1380" s="1">
        <v>3.6</v>
      </c>
      <c r="H1380" s="1">
        <v>0</v>
      </c>
      <c r="I1380">
        <v>0</v>
      </c>
      <c r="J1380">
        <v>14</v>
      </c>
      <c r="K1380" t="str" cm="1">
        <f t="array" ref="K1380">IFERROR(_xlfn.XLOOKUP(D1380&amp;A1380, RBWR!A:A&amp;RBWR!C:C, RBWR!B:B), "N/A")</f>
        <v>N/A</v>
      </c>
      <c r="L1380" t="str" cm="1">
        <f t="array" ref="L1380">IFERROR(_xlfn.XLOOKUP(C1380&amp;A1380, RYOE!A:A&amp;RYOE!F:F, RYOE!C:C), "N/A")</f>
        <v>N/A</v>
      </c>
      <c r="M1380" t="str" cm="1">
        <f t="array" ref="M1380">IFERROR(_xlfn.XLOOKUP(C1380&amp;A1380, RYOE!A:A&amp;RYOE!F:F, RYOE!D:D), "N/A")</f>
        <v>N/A</v>
      </c>
      <c r="N1380" t="str" cm="1">
        <f t="array" ref="N1380">IFERROR(_xlfn.XLOOKUP(C1380&amp;A1380, RYOE!A:A&amp;RYOE!F:F, RYOE!E:E), "N/A")</f>
        <v>N/A</v>
      </c>
    </row>
    <row r="1381" spans="1:14" ht="15" customHeight="1" x14ac:dyDescent="0.45">
      <c r="A1381" s="8">
        <v>2018</v>
      </c>
      <c r="B1381" s="6" t="s">
        <v>761</v>
      </c>
      <c r="C1381" s="2" t="str">
        <f t="shared" si="42"/>
        <v>Mark Walton</v>
      </c>
      <c r="D1381" s="2" t="str">
        <f t="shared" si="43"/>
        <v>CIN</v>
      </c>
      <c r="E1381" s="2">
        <v>14</v>
      </c>
      <c r="F1381" s="2">
        <v>34</v>
      </c>
      <c r="G1381" s="2">
        <v>2.4</v>
      </c>
      <c r="H1381" s="2">
        <v>0</v>
      </c>
      <c r="I1381">
        <v>0</v>
      </c>
      <c r="J1381">
        <v>14</v>
      </c>
      <c r="K1381" t="str" cm="1">
        <f t="array" ref="K1381">IFERROR(_xlfn.XLOOKUP(D1381&amp;A1381, RBWR!A:A&amp;RBWR!C:C, RBWR!B:B), "N/A")</f>
        <v>N/A</v>
      </c>
      <c r="L1381" t="str" cm="1">
        <f t="array" ref="L1381">IFERROR(_xlfn.XLOOKUP(C1381&amp;A1381, RYOE!A:A&amp;RYOE!F:F, RYOE!C:C), "N/A")</f>
        <v>N/A</v>
      </c>
      <c r="M1381" t="str" cm="1">
        <f t="array" ref="M1381">IFERROR(_xlfn.XLOOKUP(C1381&amp;A1381, RYOE!A:A&amp;RYOE!F:F, RYOE!D:D), "N/A")</f>
        <v>N/A</v>
      </c>
      <c r="N1381" t="str" cm="1">
        <f t="array" ref="N1381">IFERROR(_xlfn.XLOOKUP(C1381&amp;A1381, RYOE!A:A&amp;RYOE!F:F, RYOE!E:E), "N/A")</f>
        <v>N/A</v>
      </c>
    </row>
    <row r="1382" spans="1:14" ht="15" customHeight="1" x14ac:dyDescent="0.45">
      <c r="A1382" s="7">
        <v>2018</v>
      </c>
      <c r="B1382" s="5" t="s">
        <v>762</v>
      </c>
      <c r="C1382" s="1" t="str">
        <f t="shared" si="42"/>
        <v>Kenjon Barner</v>
      </c>
      <c r="D1382" s="1" t="str">
        <f t="shared" si="43"/>
        <v>CAR</v>
      </c>
      <c r="E1382" s="1">
        <v>19</v>
      </c>
      <c r="F1382" s="1">
        <v>71</v>
      </c>
      <c r="G1382" s="1">
        <v>3.7</v>
      </c>
      <c r="H1382" s="1">
        <v>0</v>
      </c>
      <c r="I1382">
        <v>0</v>
      </c>
      <c r="J1382">
        <v>9</v>
      </c>
      <c r="K1382" t="str" cm="1">
        <f t="array" ref="K1382">IFERROR(_xlfn.XLOOKUP(D1382&amp;A1382, RBWR!A:A&amp;RBWR!C:C, RBWR!B:B), "N/A")</f>
        <v>N/A</v>
      </c>
      <c r="L1382" t="str" cm="1">
        <f t="array" ref="L1382">IFERROR(_xlfn.XLOOKUP(C1382&amp;A1382, RYOE!A:A&amp;RYOE!F:F, RYOE!C:C), "N/A")</f>
        <v>N/A</v>
      </c>
      <c r="M1382" t="str" cm="1">
        <f t="array" ref="M1382">IFERROR(_xlfn.XLOOKUP(C1382&amp;A1382, RYOE!A:A&amp;RYOE!F:F, RYOE!D:D), "N/A")</f>
        <v>N/A</v>
      </c>
      <c r="N1382" t="str" cm="1">
        <f t="array" ref="N1382">IFERROR(_xlfn.XLOOKUP(C1382&amp;A1382, RYOE!A:A&amp;RYOE!F:F, RYOE!E:E), "N/A")</f>
        <v>N/A</v>
      </c>
    </row>
    <row r="1383" spans="1:14" ht="15" customHeight="1" x14ac:dyDescent="0.45">
      <c r="A1383" s="8">
        <v>2018</v>
      </c>
      <c r="B1383" s="6" t="s">
        <v>675</v>
      </c>
      <c r="C1383" s="2" t="str">
        <f t="shared" si="42"/>
        <v>Patrick DiMarco</v>
      </c>
      <c r="D1383" s="2" t="str">
        <f t="shared" si="43"/>
        <v>BUF</v>
      </c>
      <c r="E1383" s="2">
        <v>1</v>
      </c>
      <c r="F1383" s="2">
        <v>9</v>
      </c>
      <c r="G1383" s="2">
        <v>9</v>
      </c>
      <c r="H1383" s="2">
        <v>0</v>
      </c>
      <c r="I1383">
        <v>0</v>
      </c>
      <c r="J1383">
        <v>16</v>
      </c>
      <c r="K1383" t="str" cm="1">
        <f t="array" ref="K1383">IFERROR(_xlfn.XLOOKUP(D1383&amp;A1383, RBWR!A:A&amp;RBWR!C:C, RBWR!B:B), "N/A")</f>
        <v>N/A</v>
      </c>
      <c r="L1383" t="str" cm="1">
        <f t="array" ref="L1383">IFERROR(_xlfn.XLOOKUP(C1383&amp;A1383, RYOE!A:A&amp;RYOE!F:F, RYOE!C:C), "N/A")</f>
        <v>N/A</v>
      </c>
      <c r="M1383" t="str" cm="1">
        <f t="array" ref="M1383">IFERROR(_xlfn.XLOOKUP(C1383&amp;A1383, RYOE!A:A&amp;RYOE!F:F, RYOE!D:D), "N/A")</f>
        <v>N/A</v>
      </c>
      <c r="N1383" t="str" cm="1">
        <f t="array" ref="N1383">IFERROR(_xlfn.XLOOKUP(C1383&amp;A1383, RYOE!A:A&amp;RYOE!F:F, RYOE!E:E), "N/A")</f>
        <v>N/A</v>
      </c>
    </row>
    <row r="1384" spans="1:14" ht="15" customHeight="1" x14ac:dyDescent="0.45">
      <c r="A1384" s="7">
        <v>2018</v>
      </c>
      <c r="B1384" s="5" t="s">
        <v>722</v>
      </c>
      <c r="C1384" s="1" t="str">
        <f t="shared" si="42"/>
        <v>Detrez Newsome</v>
      </c>
      <c r="D1384" s="1" t="str">
        <f t="shared" si="43"/>
        <v>LAC</v>
      </c>
      <c r="E1384" s="1">
        <v>11</v>
      </c>
      <c r="F1384" s="1">
        <v>49</v>
      </c>
      <c r="G1384" s="1">
        <v>4.5</v>
      </c>
      <c r="H1384" s="1">
        <v>0</v>
      </c>
      <c r="I1384">
        <v>0</v>
      </c>
      <c r="J1384">
        <v>9</v>
      </c>
      <c r="K1384" t="str" cm="1">
        <f t="array" ref="K1384">IFERROR(_xlfn.XLOOKUP(D1384&amp;A1384, RBWR!A:A&amp;RBWR!C:C, RBWR!B:B), "N/A")</f>
        <v>N/A</v>
      </c>
      <c r="L1384" t="str" cm="1">
        <f t="array" ref="L1384">IFERROR(_xlfn.XLOOKUP(C1384&amp;A1384, RYOE!A:A&amp;RYOE!F:F, RYOE!C:C), "N/A")</f>
        <v>N/A</v>
      </c>
      <c r="M1384" t="str" cm="1">
        <f t="array" ref="M1384">IFERROR(_xlfn.XLOOKUP(C1384&amp;A1384, RYOE!A:A&amp;RYOE!F:F, RYOE!D:D), "N/A")</f>
        <v>N/A</v>
      </c>
      <c r="N1384" t="str" cm="1">
        <f t="array" ref="N1384">IFERROR(_xlfn.XLOOKUP(C1384&amp;A1384, RYOE!A:A&amp;RYOE!F:F, RYOE!E:E), "N/A")</f>
        <v>N/A</v>
      </c>
    </row>
    <row r="1385" spans="1:14" ht="15" customHeight="1" x14ac:dyDescent="0.45">
      <c r="A1385" s="8">
        <v>2018</v>
      </c>
      <c r="B1385" s="6" t="s">
        <v>763</v>
      </c>
      <c r="C1385" s="2" t="str">
        <f t="shared" si="42"/>
        <v>Ryan Hewitt</v>
      </c>
      <c r="D1385" s="2" t="str">
        <f t="shared" si="43"/>
        <v>IND</v>
      </c>
      <c r="E1385" s="2">
        <v>0</v>
      </c>
      <c r="F1385" s="2">
        <v>0</v>
      </c>
      <c r="G1385" s="2">
        <v>0</v>
      </c>
      <c r="H1385" s="2">
        <v>0</v>
      </c>
      <c r="I1385">
        <v>0</v>
      </c>
      <c r="J1385">
        <v>12</v>
      </c>
      <c r="K1385" t="str" cm="1">
        <f t="array" ref="K1385">IFERROR(_xlfn.XLOOKUP(D1385&amp;A1385, RBWR!A:A&amp;RBWR!C:C, RBWR!B:B), "N/A")</f>
        <v>N/A</v>
      </c>
      <c r="L1385" t="str" cm="1">
        <f t="array" ref="L1385">IFERROR(_xlfn.XLOOKUP(C1385&amp;A1385, RYOE!A:A&amp;RYOE!F:F, RYOE!C:C), "N/A")</f>
        <v>N/A</v>
      </c>
      <c r="M1385" t="str" cm="1">
        <f t="array" ref="M1385">IFERROR(_xlfn.XLOOKUP(C1385&amp;A1385, RYOE!A:A&amp;RYOE!F:F, RYOE!D:D), "N/A")</f>
        <v>N/A</v>
      </c>
      <c r="N1385" t="str" cm="1">
        <f t="array" ref="N1385">IFERROR(_xlfn.XLOOKUP(C1385&amp;A1385, RYOE!A:A&amp;RYOE!F:F, RYOE!E:E), "N/A")</f>
        <v>N/A</v>
      </c>
    </row>
    <row r="1386" spans="1:14" ht="15" customHeight="1" x14ac:dyDescent="0.45">
      <c r="A1386" s="7">
        <v>2018</v>
      </c>
      <c r="B1386" s="5" t="s">
        <v>764</v>
      </c>
      <c r="C1386" s="1" t="str">
        <f t="shared" si="42"/>
        <v>Roc Thomas</v>
      </c>
      <c r="D1386" s="1" t="str">
        <f t="shared" si="43"/>
        <v>MIN</v>
      </c>
      <c r="E1386" s="1">
        <v>8</v>
      </c>
      <c r="F1386" s="1">
        <v>30</v>
      </c>
      <c r="G1386" s="1">
        <v>3.8</v>
      </c>
      <c r="H1386" s="1">
        <v>0</v>
      </c>
      <c r="I1386">
        <v>0</v>
      </c>
      <c r="J1386">
        <v>5</v>
      </c>
      <c r="K1386" t="str" cm="1">
        <f t="array" ref="K1386">IFERROR(_xlfn.XLOOKUP(D1386&amp;A1386, RBWR!A:A&amp;RBWR!C:C, RBWR!B:B), "N/A")</f>
        <v>N/A</v>
      </c>
      <c r="L1386" t="str" cm="1">
        <f t="array" ref="L1386">IFERROR(_xlfn.XLOOKUP(C1386&amp;A1386, RYOE!A:A&amp;RYOE!F:F, RYOE!C:C), "N/A")</f>
        <v>N/A</v>
      </c>
      <c r="M1386" t="str" cm="1">
        <f t="array" ref="M1386">IFERROR(_xlfn.XLOOKUP(C1386&amp;A1386, RYOE!A:A&amp;RYOE!F:F, RYOE!D:D), "N/A")</f>
        <v>N/A</v>
      </c>
      <c r="N1386" t="str" cm="1">
        <f t="array" ref="N1386">IFERROR(_xlfn.XLOOKUP(C1386&amp;A1386, RYOE!A:A&amp;RYOE!F:F, RYOE!E:E), "N/A")</f>
        <v>N/A</v>
      </c>
    </row>
    <row r="1387" spans="1:14" ht="15" customHeight="1" x14ac:dyDescent="0.45">
      <c r="A1387" s="8">
        <v>2018</v>
      </c>
      <c r="B1387" s="6" t="s">
        <v>594</v>
      </c>
      <c r="C1387" s="2" t="str">
        <f t="shared" si="42"/>
        <v>Mike Boone</v>
      </c>
      <c r="D1387" s="2" t="str">
        <f t="shared" si="43"/>
        <v>MIN</v>
      </c>
      <c r="E1387" s="2">
        <v>11</v>
      </c>
      <c r="F1387" s="2">
        <v>47</v>
      </c>
      <c r="G1387" s="2">
        <v>4.3</v>
      </c>
      <c r="H1387" s="2">
        <v>0</v>
      </c>
      <c r="I1387">
        <v>0</v>
      </c>
      <c r="J1387">
        <v>8</v>
      </c>
      <c r="K1387" t="str" cm="1">
        <f t="array" ref="K1387">IFERROR(_xlfn.XLOOKUP(D1387&amp;A1387, RBWR!A:A&amp;RBWR!C:C, RBWR!B:B), "N/A")</f>
        <v>N/A</v>
      </c>
      <c r="L1387" t="str" cm="1">
        <f t="array" ref="L1387">IFERROR(_xlfn.XLOOKUP(C1387&amp;A1387, RYOE!A:A&amp;RYOE!F:F, RYOE!C:C), "N/A")</f>
        <v>N/A</v>
      </c>
      <c r="M1387" t="str" cm="1">
        <f t="array" ref="M1387">IFERROR(_xlfn.XLOOKUP(C1387&amp;A1387, RYOE!A:A&amp;RYOE!F:F, RYOE!D:D), "N/A")</f>
        <v>N/A</v>
      </c>
      <c r="N1387" t="str" cm="1">
        <f t="array" ref="N1387">IFERROR(_xlfn.XLOOKUP(C1387&amp;A1387, RYOE!A:A&amp;RYOE!F:F, RYOE!E:E), "N/A")</f>
        <v>N/A</v>
      </c>
    </row>
    <row r="1388" spans="1:14" ht="15" customHeight="1" x14ac:dyDescent="0.45">
      <c r="A1388" s="7">
        <v>2018</v>
      </c>
      <c r="B1388" s="5" t="s">
        <v>692</v>
      </c>
      <c r="C1388" s="1" t="str">
        <f t="shared" si="42"/>
        <v>Roosevelt Nix</v>
      </c>
      <c r="D1388" s="1" t="str">
        <f t="shared" si="43"/>
        <v>PIT</v>
      </c>
      <c r="E1388" s="1">
        <v>1</v>
      </c>
      <c r="F1388" s="1">
        <v>4</v>
      </c>
      <c r="G1388" s="1">
        <v>4</v>
      </c>
      <c r="H1388" s="1">
        <v>0</v>
      </c>
      <c r="I1388">
        <v>0</v>
      </c>
      <c r="J1388">
        <v>16</v>
      </c>
      <c r="K1388" t="str" cm="1">
        <f t="array" ref="K1388">IFERROR(_xlfn.XLOOKUP(D1388&amp;A1388, RBWR!A:A&amp;RBWR!C:C, RBWR!B:B), "N/A")</f>
        <v>N/A</v>
      </c>
      <c r="L1388" t="str" cm="1">
        <f t="array" ref="L1388">IFERROR(_xlfn.XLOOKUP(C1388&amp;A1388, RYOE!A:A&amp;RYOE!F:F, RYOE!C:C), "N/A")</f>
        <v>N/A</v>
      </c>
      <c r="M1388" t="str" cm="1">
        <f t="array" ref="M1388">IFERROR(_xlfn.XLOOKUP(C1388&amp;A1388, RYOE!A:A&amp;RYOE!F:F, RYOE!D:D), "N/A")</f>
        <v>N/A</v>
      </c>
      <c r="N1388" t="str" cm="1">
        <f t="array" ref="N1388">IFERROR(_xlfn.XLOOKUP(C1388&amp;A1388, RYOE!A:A&amp;RYOE!F:F, RYOE!E:E), "N/A")</f>
        <v>N/A</v>
      </c>
    </row>
    <row r="1389" spans="1:14" ht="15" customHeight="1" x14ac:dyDescent="0.45">
      <c r="A1389" s="8">
        <v>2018</v>
      </c>
      <c r="B1389" s="6" t="s">
        <v>765</v>
      </c>
      <c r="C1389" s="2" t="str">
        <f t="shared" si="42"/>
        <v>Tommy Bohanon</v>
      </c>
      <c r="D1389" s="2" t="str">
        <f t="shared" si="43"/>
        <v>JAC</v>
      </c>
      <c r="E1389" s="2">
        <v>1</v>
      </c>
      <c r="F1389" s="2">
        <v>0</v>
      </c>
      <c r="G1389" s="2">
        <v>0</v>
      </c>
      <c r="H1389" s="2">
        <v>0</v>
      </c>
      <c r="I1389">
        <v>0</v>
      </c>
      <c r="J1389">
        <v>16</v>
      </c>
      <c r="K1389" t="str" cm="1">
        <f t="array" ref="K1389">IFERROR(_xlfn.XLOOKUP(D1389&amp;A1389, RBWR!A:A&amp;RBWR!C:C, RBWR!B:B), "N/A")</f>
        <v>N/A</v>
      </c>
      <c r="L1389" t="str" cm="1">
        <f t="array" ref="L1389">IFERROR(_xlfn.XLOOKUP(C1389&amp;A1389, RYOE!A:A&amp;RYOE!F:F, RYOE!C:C), "N/A")</f>
        <v>N/A</v>
      </c>
      <c r="M1389" t="str" cm="1">
        <f t="array" ref="M1389">IFERROR(_xlfn.XLOOKUP(C1389&amp;A1389, RYOE!A:A&amp;RYOE!F:F, RYOE!D:D), "N/A")</f>
        <v>N/A</v>
      </c>
      <c r="N1389" t="str" cm="1">
        <f t="array" ref="N1389">IFERROR(_xlfn.XLOOKUP(C1389&amp;A1389, RYOE!A:A&amp;RYOE!F:F, RYOE!E:E), "N/A")</f>
        <v>N/A</v>
      </c>
    </row>
    <row r="1390" spans="1:14" ht="15" customHeight="1" x14ac:dyDescent="0.45">
      <c r="A1390" s="7">
        <v>2018</v>
      </c>
      <c r="B1390" s="5" t="s">
        <v>766</v>
      </c>
      <c r="C1390" s="1" t="str">
        <f t="shared" si="42"/>
        <v>Byron Marshall</v>
      </c>
      <c r="D1390" s="1" t="str">
        <f t="shared" si="43"/>
        <v>WAS</v>
      </c>
      <c r="E1390" s="1">
        <v>3</v>
      </c>
      <c r="F1390" s="1">
        <v>9</v>
      </c>
      <c r="G1390" s="1">
        <v>3</v>
      </c>
      <c r="H1390" s="1">
        <v>0</v>
      </c>
      <c r="I1390">
        <v>0</v>
      </c>
      <c r="J1390">
        <v>6</v>
      </c>
      <c r="K1390" t="str" cm="1">
        <f t="array" ref="K1390">IFERROR(_xlfn.XLOOKUP(D1390&amp;A1390, RBWR!A:A&amp;RBWR!C:C, RBWR!B:B), "N/A")</f>
        <v>N/A</v>
      </c>
      <c r="L1390" t="str" cm="1">
        <f t="array" ref="L1390">IFERROR(_xlfn.XLOOKUP(C1390&amp;A1390, RYOE!A:A&amp;RYOE!F:F, RYOE!C:C), "N/A")</f>
        <v>N/A</v>
      </c>
      <c r="M1390" t="str" cm="1">
        <f t="array" ref="M1390">IFERROR(_xlfn.XLOOKUP(C1390&amp;A1390, RYOE!A:A&amp;RYOE!F:F, RYOE!D:D), "N/A")</f>
        <v>N/A</v>
      </c>
      <c r="N1390" t="str" cm="1">
        <f t="array" ref="N1390">IFERROR(_xlfn.XLOOKUP(C1390&amp;A1390, RYOE!A:A&amp;RYOE!F:F, RYOE!E:E), "N/A")</f>
        <v>N/A</v>
      </c>
    </row>
    <row r="1391" spans="1:14" ht="15" customHeight="1" x14ac:dyDescent="0.45">
      <c r="A1391" s="8">
        <v>2018</v>
      </c>
      <c r="B1391" s="6" t="s">
        <v>767</v>
      </c>
      <c r="C1391" s="2" t="str">
        <f t="shared" si="42"/>
        <v>T.J. Logan</v>
      </c>
      <c r="D1391" s="2" t="str">
        <f t="shared" si="43"/>
        <v>ARI</v>
      </c>
      <c r="E1391" s="2">
        <v>2</v>
      </c>
      <c r="F1391" s="2">
        <v>2</v>
      </c>
      <c r="G1391" s="2">
        <v>1</v>
      </c>
      <c r="H1391" s="2">
        <v>0</v>
      </c>
      <c r="I1391">
        <v>0</v>
      </c>
      <c r="J1391">
        <v>10</v>
      </c>
      <c r="K1391" t="str" cm="1">
        <f t="array" ref="K1391">IFERROR(_xlfn.XLOOKUP(D1391&amp;A1391, RBWR!A:A&amp;RBWR!C:C, RBWR!B:B), "N/A")</f>
        <v>N/A</v>
      </c>
      <c r="L1391" t="str" cm="1">
        <f t="array" ref="L1391">IFERROR(_xlfn.XLOOKUP(C1391&amp;A1391, RYOE!A:A&amp;RYOE!F:F, RYOE!C:C), "N/A")</f>
        <v>N/A</v>
      </c>
      <c r="M1391" t="str" cm="1">
        <f t="array" ref="M1391">IFERROR(_xlfn.XLOOKUP(C1391&amp;A1391, RYOE!A:A&amp;RYOE!F:F, RYOE!D:D), "N/A")</f>
        <v>N/A</v>
      </c>
      <c r="N1391" t="str" cm="1">
        <f t="array" ref="N1391">IFERROR(_xlfn.XLOOKUP(C1391&amp;A1391, RYOE!A:A&amp;RYOE!F:F, RYOE!E:E), "N/A")</f>
        <v>N/A</v>
      </c>
    </row>
    <row r="1392" spans="1:14" ht="15" customHeight="1" x14ac:dyDescent="0.45">
      <c r="A1392" s="7">
        <v>2018</v>
      </c>
      <c r="B1392" s="5" t="s">
        <v>716</v>
      </c>
      <c r="C1392" s="1" t="str">
        <f t="shared" si="42"/>
        <v>Tre Madden</v>
      </c>
      <c r="D1392" s="1" t="str">
        <f t="shared" si="43"/>
        <v>SEA</v>
      </c>
      <c r="E1392" s="1">
        <v>3</v>
      </c>
      <c r="F1392" s="1">
        <v>3</v>
      </c>
      <c r="G1392" s="1">
        <v>1</v>
      </c>
      <c r="H1392" s="1">
        <v>0</v>
      </c>
      <c r="I1392">
        <v>0</v>
      </c>
      <c r="J1392">
        <v>14</v>
      </c>
      <c r="K1392" t="str" cm="1">
        <f t="array" ref="K1392">IFERROR(_xlfn.XLOOKUP(D1392&amp;A1392, RBWR!A:A&amp;RBWR!C:C, RBWR!B:B), "N/A")</f>
        <v>N/A</v>
      </c>
      <c r="L1392" t="str" cm="1">
        <f t="array" ref="L1392">IFERROR(_xlfn.XLOOKUP(C1392&amp;A1392, RYOE!A:A&amp;RYOE!F:F, RYOE!C:C), "N/A")</f>
        <v>N/A</v>
      </c>
      <c r="M1392" t="str" cm="1">
        <f t="array" ref="M1392">IFERROR(_xlfn.XLOOKUP(C1392&amp;A1392, RYOE!A:A&amp;RYOE!F:F, RYOE!D:D), "N/A")</f>
        <v>N/A</v>
      </c>
      <c r="N1392" t="str" cm="1">
        <f t="array" ref="N1392">IFERROR(_xlfn.XLOOKUP(C1392&amp;A1392, RYOE!A:A&amp;RYOE!F:F, RYOE!E:E), "N/A")</f>
        <v>N/A</v>
      </c>
    </row>
    <row r="1393" spans="1:14" ht="15" customHeight="1" x14ac:dyDescent="0.45">
      <c r="A1393" s="8">
        <v>2018</v>
      </c>
      <c r="B1393" s="6" t="s">
        <v>768</v>
      </c>
      <c r="C1393" s="2" t="str">
        <f t="shared" si="42"/>
        <v>Samaje Perine</v>
      </c>
      <c r="D1393" s="2" t="str">
        <f t="shared" si="43"/>
        <v>WAS</v>
      </c>
      <c r="E1393" s="2">
        <v>8</v>
      </c>
      <c r="F1393" s="2">
        <v>32</v>
      </c>
      <c r="G1393" s="2">
        <v>4</v>
      </c>
      <c r="H1393" s="2">
        <v>0</v>
      </c>
      <c r="I1393">
        <v>0</v>
      </c>
      <c r="J1393">
        <v>5</v>
      </c>
      <c r="K1393" t="str" cm="1">
        <f t="array" ref="K1393">IFERROR(_xlfn.XLOOKUP(D1393&amp;A1393, RBWR!A:A&amp;RBWR!C:C, RBWR!B:B), "N/A")</f>
        <v>N/A</v>
      </c>
      <c r="L1393" t="str" cm="1">
        <f t="array" ref="L1393">IFERROR(_xlfn.XLOOKUP(C1393&amp;A1393, RYOE!A:A&amp;RYOE!F:F, RYOE!C:C), "N/A")</f>
        <v>N/A</v>
      </c>
      <c r="M1393" t="str" cm="1">
        <f t="array" ref="M1393">IFERROR(_xlfn.XLOOKUP(C1393&amp;A1393, RYOE!A:A&amp;RYOE!F:F, RYOE!D:D), "N/A")</f>
        <v>N/A</v>
      </c>
      <c r="N1393" t="str" cm="1">
        <f t="array" ref="N1393">IFERROR(_xlfn.XLOOKUP(C1393&amp;A1393, RYOE!A:A&amp;RYOE!F:F, RYOE!E:E), "N/A")</f>
        <v>N/A</v>
      </c>
    </row>
    <row r="1394" spans="1:14" ht="15" customHeight="1" x14ac:dyDescent="0.45">
      <c r="A1394" s="7">
        <v>2018</v>
      </c>
      <c r="B1394" s="5" t="s">
        <v>769</v>
      </c>
      <c r="C1394" s="1" t="str">
        <f t="shared" si="42"/>
        <v>David Williams</v>
      </c>
      <c r="D1394" s="1" t="str">
        <f t="shared" si="43"/>
        <v>JAC</v>
      </c>
      <c r="E1394" s="1">
        <v>8</v>
      </c>
      <c r="F1394" s="1">
        <v>36</v>
      </c>
      <c r="G1394" s="1">
        <v>4.5</v>
      </c>
      <c r="H1394" s="1">
        <v>0</v>
      </c>
      <c r="I1394">
        <v>0</v>
      </c>
      <c r="J1394">
        <v>6</v>
      </c>
      <c r="K1394" t="str" cm="1">
        <f t="array" ref="K1394">IFERROR(_xlfn.XLOOKUP(D1394&amp;A1394, RBWR!A:A&amp;RBWR!C:C, RBWR!B:B), "N/A")</f>
        <v>N/A</v>
      </c>
      <c r="L1394" t="str" cm="1">
        <f t="array" ref="L1394">IFERROR(_xlfn.XLOOKUP(C1394&amp;A1394, RYOE!A:A&amp;RYOE!F:F, RYOE!C:C), "N/A")</f>
        <v>N/A</v>
      </c>
      <c r="M1394" t="str" cm="1">
        <f t="array" ref="M1394">IFERROR(_xlfn.XLOOKUP(C1394&amp;A1394, RYOE!A:A&amp;RYOE!F:F, RYOE!D:D), "N/A")</f>
        <v>N/A</v>
      </c>
      <c r="N1394" t="str" cm="1">
        <f t="array" ref="N1394">IFERROR(_xlfn.XLOOKUP(C1394&amp;A1394, RYOE!A:A&amp;RYOE!F:F, RYOE!E:E), "N/A")</f>
        <v>N/A</v>
      </c>
    </row>
    <row r="1395" spans="1:14" ht="15" customHeight="1" x14ac:dyDescent="0.45">
      <c r="A1395" s="8">
        <v>2018</v>
      </c>
      <c r="B1395" s="6" t="s">
        <v>770</v>
      </c>
      <c r="C1395" s="2" t="str">
        <f t="shared" si="42"/>
        <v>Tyler Ervin</v>
      </c>
      <c r="D1395" s="2" t="str">
        <f t="shared" si="43"/>
        <v>HOU</v>
      </c>
      <c r="E1395" s="2">
        <v>0</v>
      </c>
      <c r="F1395" s="2">
        <v>0</v>
      </c>
      <c r="G1395" s="2">
        <v>0</v>
      </c>
      <c r="H1395" s="2">
        <v>0</v>
      </c>
      <c r="I1395">
        <v>0</v>
      </c>
      <c r="J1395">
        <v>9</v>
      </c>
      <c r="K1395" t="str" cm="1">
        <f t="array" ref="K1395">IFERROR(_xlfn.XLOOKUP(D1395&amp;A1395, RBWR!A:A&amp;RBWR!C:C, RBWR!B:B), "N/A")</f>
        <v>N/A</v>
      </c>
      <c r="L1395" t="str" cm="1">
        <f t="array" ref="L1395">IFERROR(_xlfn.XLOOKUP(C1395&amp;A1395, RYOE!A:A&amp;RYOE!F:F, RYOE!C:C), "N/A")</f>
        <v>N/A</v>
      </c>
      <c r="M1395" t="str" cm="1">
        <f t="array" ref="M1395">IFERROR(_xlfn.XLOOKUP(C1395&amp;A1395, RYOE!A:A&amp;RYOE!F:F, RYOE!D:D), "N/A")</f>
        <v>N/A</v>
      </c>
      <c r="N1395" t="str" cm="1">
        <f t="array" ref="N1395">IFERROR(_xlfn.XLOOKUP(C1395&amp;A1395, RYOE!A:A&amp;RYOE!F:F, RYOE!E:E), "N/A")</f>
        <v>N/A</v>
      </c>
    </row>
    <row r="1396" spans="1:14" ht="15" customHeight="1" x14ac:dyDescent="0.45">
      <c r="A1396" s="7">
        <v>2018</v>
      </c>
      <c r="B1396" s="5" t="s">
        <v>771</v>
      </c>
      <c r="C1396" s="1" t="str">
        <f t="shared" si="42"/>
        <v>Shaun Wilson</v>
      </c>
      <c r="D1396" s="1" t="str">
        <f t="shared" si="43"/>
        <v>TB</v>
      </c>
      <c r="E1396" s="1">
        <v>6</v>
      </c>
      <c r="F1396" s="1">
        <v>29</v>
      </c>
      <c r="G1396" s="1">
        <v>4.8</v>
      </c>
      <c r="H1396" s="1">
        <v>0</v>
      </c>
      <c r="I1396">
        <v>0</v>
      </c>
      <c r="J1396">
        <v>5</v>
      </c>
      <c r="K1396" t="str" cm="1">
        <f t="array" ref="K1396">IFERROR(_xlfn.XLOOKUP(D1396&amp;A1396, RBWR!A:A&amp;RBWR!C:C, RBWR!B:B), "N/A")</f>
        <v>N/A</v>
      </c>
      <c r="L1396" t="str" cm="1">
        <f t="array" ref="L1396">IFERROR(_xlfn.XLOOKUP(C1396&amp;A1396, RYOE!A:A&amp;RYOE!F:F, RYOE!C:C), "N/A")</f>
        <v>N/A</v>
      </c>
      <c r="M1396" t="str" cm="1">
        <f t="array" ref="M1396">IFERROR(_xlfn.XLOOKUP(C1396&amp;A1396, RYOE!A:A&amp;RYOE!F:F, RYOE!D:D), "N/A")</f>
        <v>N/A</v>
      </c>
      <c r="N1396" t="str" cm="1">
        <f t="array" ref="N1396">IFERROR(_xlfn.XLOOKUP(C1396&amp;A1396, RYOE!A:A&amp;RYOE!F:F, RYOE!E:E), "N/A")</f>
        <v>N/A</v>
      </c>
    </row>
    <row r="1397" spans="1:14" ht="15" customHeight="1" x14ac:dyDescent="0.45">
      <c r="A1397" s="8">
        <v>2018</v>
      </c>
      <c r="B1397" s="6" t="s">
        <v>704</v>
      </c>
      <c r="C1397" s="2" t="str">
        <f t="shared" si="42"/>
        <v>Mike Gillislee</v>
      </c>
      <c r="D1397" s="2" t="str">
        <f t="shared" si="43"/>
        <v>NO</v>
      </c>
      <c r="E1397" s="2">
        <v>16</v>
      </c>
      <c r="F1397" s="2">
        <v>43</v>
      </c>
      <c r="G1397" s="2">
        <v>2.7</v>
      </c>
      <c r="H1397" s="2">
        <v>0</v>
      </c>
      <c r="I1397">
        <v>1</v>
      </c>
      <c r="J1397">
        <v>4</v>
      </c>
      <c r="K1397" t="str" cm="1">
        <f t="array" ref="K1397">IFERROR(_xlfn.XLOOKUP(D1397&amp;A1397, RBWR!A:A&amp;RBWR!C:C, RBWR!B:B), "N/A")</f>
        <v>N/A</v>
      </c>
      <c r="L1397" t="str" cm="1">
        <f t="array" ref="L1397">IFERROR(_xlfn.XLOOKUP(C1397&amp;A1397, RYOE!A:A&amp;RYOE!F:F, RYOE!C:C), "N/A")</f>
        <v>N/A</v>
      </c>
      <c r="M1397" t="str" cm="1">
        <f t="array" ref="M1397">IFERROR(_xlfn.XLOOKUP(C1397&amp;A1397, RYOE!A:A&amp;RYOE!F:F, RYOE!D:D), "N/A")</f>
        <v>N/A</v>
      </c>
      <c r="N1397" t="str" cm="1">
        <f t="array" ref="N1397">IFERROR(_xlfn.XLOOKUP(C1397&amp;A1397, RYOE!A:A&amp;RYOE!F:F, RYOE!E:E), "N/A")</f>
        <v>N/A</v>
      </c>
    </row>
    <row r="1398" spans="1:14" ht="15" customHeight="1" x14ac:dyDescent="0.45">
      <c r="A1398" s="7">
        <v>2018</v>
      </c>
      <c r="B1398" s="5" t="s">
        <v>707</v>
      </c>
      <c r="C1398" s="1" t="str">
        <f t="shared" si="42"/>
        <v>Jeremy Hill</v>
      </c>
      <c r="D1398" s="1" t="str">
        <f t="shared" si="43"/>
        <v>NE</v>
      </c>
      <c r="E1398" s="1">
        <v>4</v>
      </c>
      <c r="F1398" s="1">
        <v>25</v>
      </c>
      <c r="G1398" s="1">
        <v>6.3</v>
      </c>
      <c r="H1398" s="1">
        <v>0</v>
      </c>
      <c r="I1398">
        <v>0</v>
      </c>
      <c r="J1398">
        <v>1</v>
      </c>
      <c r="K1398" t="str" cm="1">
        <f t="array" ref="K1398">IFERROR(_xlfn.XLOOKUP(D1398&amp;A1398, RBWR!A:A&amp;RBWR!C:C, RBWR!B:B), "N/A")</f>
        <v>N/A</v>
      </c>
      <c r="L1398" t="str" cm="1">
        <f t="array" ref="L1398">IFERROR(_xlfn.XLOOKUP(C1398&amp;A1398, RYOE!A:A&amp;RYOE!F:F, RYOE!C:C), "N/A")</f>
        <v>N/A</v>
      </c>
      <c r="M1398" t="str" cm="1">
        <f t="array" ref="M1398">IFERROR(_xlfn.XLOOKUP(C1398&amp;A1398, RYOE!A:A&amp;RYOE!F:F, RYOE!D:D), "N/A")</f>
        <v>N/A</v>
      </c>
      <c r="N1398" t="str" cm="1">
        <f t="array" ref="N1398">IFERROR(_xlfn.XLOOKUP(C1398&amp;A1398, RYOE!A:A&amp;RYOE!F:F, RYOE!E:E), "N/A")</f>
        <v>N/A</v>
      </c>
    </row>
    <row r="1399" spans="1:14" ht="15" customHeight="1" x14ac:dyDescent="0.45">
      <c r="A1399" s="8">
        <v>2018</v>
      </c>
      <c r="B1399" s="6" t="s">
        <v>772</v>
      </c>
      <c r="C1399" s="2" t="str">
        <f t="shared" si="42"/>
        <v>Benny Cunningham Jr.</v>
      </c>
      <c r="D1399" s="2" t="str">
        <f t="shared" si="43"/>
        <v>CHI</v>
      </c>
      <c r="E1399" s="2">
        <v>11</v>
      </c>
      <c r="F1399" s="2">
        <v>20</v>
      </c>
      <c r="G1399" s="2">
        <v>1.8</v>
      </c>
      <c r="H1399" s="2">
        <v>0</v>
      </c>
      <c r="I1399">
        <v>0</v>
      </c>
      <c r="J1399">
        <v>15</v>
      </c>
      <c r="K1399" t="str" cm="1">
        <f t="array" ref="K1399">IFERROR(_xlfn.XLOOKUP(D1399&amp;A1399, RBWR!A:A&amp;RBWR!C:C, RBWR!B:B), "N/A")</f>
        <v>N/A</v>
      </c>
      <c r="L1399" t="str" cm="1">
        <f t="array" ref="L1399">IFERROR(_xlfn.XLOOKUP(C1399&amp;A1399, RYOE!A:A&amp;RYOE!F:F, RYOE!C:C), "N/A")</f>
        <v>N/A</v>
      </c>
      <c r="M1399" t="str" cm="1">
        <f t="array" ref="M1399">IFERROR(_xlfn.XLOOKUP(C1399&amp;A1399, RYOE!A:A&amp;RYOE!F:F, RYOE!D:D), "N/A")</f>
        <v>N/A</v>
      </c>
      <c r="N1399" t="str" cm="1">
        <f t="array" ref="N1399">IFERROR(_xlfn.XLOOKUP(C1399&amp;A1399, RYOE!A:A&amp;RYOE!F:F, RYOE!E:E), "N/A")</f>
        <v>N/A</v>
      </c>
    </row>
    <row r="1400" spans="1:14" ht="15" customHeight="1" x14ac:dyDescent="0.45">
      <c r="A1400" s="7">
        <v>2018</v>
      </c>
      <c r="B1400" s="5" t="s">
        <v>710</v>
      </c>
      <c r="C1400" s="1" t="str">
        <f t="shared" si="42"/>
        <v>Jeremy Langford</v>
      </c>
      <c r="D1400" s="1" t="str">
        <f t="shared" si="43"/>
        <v>ATL</v>
      </c>
      <c r="E1400" s="1">
        <v>9</v>
      </c>
      <c r="F1400" s="1">
        <v>25</v>
      </c>
      <c r="G1400" s="1">
        <v>2.8</v>
      </c>
      <c r="H1400" s="1">
        <v>0</v>
      </c>
      <c r="I1400">
        <v>0</v>
      </c>
      <c r="J1400">
        <v>1</v>
      </c>
      <c r="K1400" t="str" cm="1">
        <f t="array" ref="K1400">IFERROR(_xlfn.XLOOKUP(D1400&amp;A1400, RBWR!A:A&amp;RBWR!C:C, RBWR!B:B), "N/A")</f>
        <v>N/A</v>
      </c>
      <c r="L1400" t="str" cm="1">
        <f t="array" ref="L1400">IFERROR(_xlfn.XLOOKUP(C1400&amp;A1400, RYOE!A:A&amp;RYOE!F:F, RYOE!C:C), "N/A")</f>
        <v>N/A</v>
      </c>
      <c r="M1400" t="str" cm="1">
        <f t="array" ref="M1400">IFERROR(_xlfn.XLOOKUP(C1400&amp;A1400, RYOE!A:A&amp;RYOE!F:F, RYOE!D:D), "N/A")</f>
        <v>N/A</v>
      </c>
      <c r="N1400" t="str" cm="1">
        <f t="array" ref="N1400">IFERROR(_xlfn.XLOOKUP(C1400&amp;A1400, RYOE!A:A&amp;RYOE!F:F, RYOE!E:E), "N/A")</f>
        <v>N/A</v>
      </c>
    </row>
    <row r="1401" spans="1:14" ht="15" customHeight="1" x14ac:dyDescent="0.45">
      <c r="A1401" s="8">
        <v>2018</v>
      </c>
      <c r="B1401" s="6" t="s">
        <v>773</v>
      </c>
      <c r="C1401" s="2" t="str">
        <f t="shared" si="42"/>
        <v>Keith Smith</v>
      </c>
      <c r="D1401" s="2" t="str">
        <f t="shared" si="43"/>
        <v>OAK</v>
      </c>
      <c r="E1401" s="2">
        <v>1</v>
      </c>
      <c r="F1401" s="2">
        <v>0</v>
      </c>
      <c r="G1401" s="2">
        <v>0</v>
      </c>
      <c r="H1401" s="2">
        <v>0</v>
      </c>
      <c r="I1401">
        <v>0</v>
      </c>
      <c r="J1401">
        <v>16</v>
      </c>
      <c r="K1401" t="str" cm="1">
        <f t="array" ref="K1401">IFERROR(_xlfn.XLOOKUP(D1401&amp;A1401, RBWR!A:A&amp;RBWR!C:C, RBWR!B:B), "N/A")</f>
        <v>N/A</v>
      </c>
      <c r="L1401" t="str" cm="1">
        <f t="array" ref="L1401">IFERROR(_xlfn.XLOOKUP(C1401&amp;A1401, RYOE!A:A&amp;RYOE!F:F, RYOE!C:C), "N/A")</f>
        <v>N/A</v>
      </c>
      <c r="M1401" t="str" cm="1">
        <f t="array" ref="M1401">IFERROR(_xlfn.XLOOKUP(C1401&amp;A1401, RYOE!A:A&amp;RYOE!F:F, RYOE!D:D), "N/A")</f>
        <v>N/A</v>
      </c>
      <c r="N1401" t="str" cm="1">
        <f t="array" ref="N1401">IFERROR(_xlfn.XLOOKUP(C1401&amp;A1401, RYOE!A:A&amp;RYOE!F:F, RYOE!E:E), "N/A")</f>
        <v>N/A</v>
      </c>
    </row>
    <row r="1402" spans="1:14" ht="15" customHeight="1" x14ac:dyDescent="0.45">
      <c r="A1402" s="7">
        <v>2018</v>
      </c>
      <c r="B1402" s="5" t="s">
        <v>702</v>
      </c>
      <c r="C1402" s="1" t="str">
        <f t="shared" si="42"/>
        <v>Travaris Cadet</v>
      </c>
      <c r="D1402" s="1" t="str">
        <f t="shared" si="43"/>
        <v>CAR</v>
      </c>
      <c r="E1402" s="1">
        <v>11</v>
      </c>
      <c r="F1402" s="1">
        <v>17</v>
      </c>
      <c r="G1402" s="1">
        <v>1.5</v>
      </c>
      <c r="H1402" s="1">
        <v>0</v>
      </c>
      <c r="I1402">
        <v>0</v>
      </c>
      <c r="J1402">
        <v>1</v>
      </c>
      <c r="K1402" t="str" cm="1">
        <f t="array" ref="K1402">IFERROR(_xlfn.XLOOKUP(D1402&amp;A1402, RBWR!A:A&amp;RBWR!C:C, RBWR!B:B), "N/A")</f>
        <v>N/A</v>
      </c>
      <c r="L1402" t="str" cm="1">
        <f t="array" ref="L1402">IFERROR(_xlfn.XLOOKUP(C1402&amp;A1402, RYOE!A:A&amp;RYOE!F:F, RYOE!C:C), "N/A")</f>
        <v>N/A</v>
      </c>
      <c r="M1402" t="str" cm="1">
        <f t="array" ref="M1402">IFERROR(_xlfn.XLOOKUP(C1402&amp;A1402, RYOE!A:A&amp;RYOE!F:F, RYOE!D:D), "N/A")</f>
        <v>N/A</v>
      </c>
      <c r="N1402" t="str" cm="1">
        <f t="array" ref="N1402">IFERROR(_xlfn.XLOOKUP(C1402&amp;A1402, RYOE!A:A&amp;RYOE!F:F, RYOE!E:E), "N/A")</f>
        <v>N/A</v>
      </c>
    </row>
    <row r="1403" spans="1:14" ht="15" customHeight="1" x14ac:dyDescent="0.45">
      <c r="A1403" s="8">
        <v>2018</v>
      </c>
      <c r="B1403" s="6" t="s">
        <v>774</v>
      </c>
      <c r="C1403" s="2" t="str">
        <f t="shared" si="42"/>
        <v>De'Lance Turner</v>
      </c>
      <c r="D1403" s="2" t="str">
        <f t="shared" si="43"/>
        <v>BAL</v>
      </c>
      <c r="E1403" s="2">
        <v>1</v>
      </c>
      <c r="F1403" s="2">
        <v>4</v>
      </c>
      <c r="G1403" s="2">
        <v>4</v>
      </c>
      <c r="H1403" s="2">
        <v>0</v>
      </c>
      <c r="I1403">
        <v>0</v>
      </c>
      <c r="J1403">
        <v>4</v>
      </c>
      <c r="K1403" t="str" cm="1">
        <f t="array" ref="K1403">IFERROR(_xlfn.XLOOKUP(D1403&amp;A1403, RBWR!A:A&amp;RBWR!C:C, RBWR!B:B), "N/A")</f>
        <v>N/A</v>
      </c>
      <c r="L1403" t="str" cm="1">
        <f t="array" ref="L1403">IFERROR(_xlfn.XLOOKUP(C1403&amp;A1403, RYOE!A:A&amp;RYOE!F:F, RYOE!C:C), "N/A")</f>
        <v>N/A</v>
      </c>
      <c r="M1403" t="str" cm="1">
        <f t="array" ref="M1403">IFERROR(_xlfn.XLOOKUP(C1403&amp;A1403, RYOE!A:A&amp;RYOE!F:F, RYOE!D:D), "N/A")</f>
        <v>N/A</v>
      </c>
      <c r="N1403" t="str" cm="1">
        <f t="array" ref="N1403">IFERROR(_xlfn.XLOOKUP(C1403&amp;A1403, RYOE!A:A&amp;RYOE!F:F, RYOE!E:E), "N/A")</f>
        <v>N/A</v>
      </c>
    </row>
    <row r="1404" spans="1:14" ht="15" customHeight="1" x14ac:dyDescent="0.45">
      <c r="A1404" s="7">
        <v>2018</v>
      </c>
      <c r="B1404" s="5" t="s">
        <v>706</v>
      </c>
      <c r="C1404" s="1" t="str">
        <f t="shared" si="42"/>
        <v>Derrick Coleman</v>
      </c>
      <c r="D1404" s="1" t="str">
        <f t="shared" si="43"/>
        <v>ARI</v>
      </c>
      <c r="E1404" s="1">
        <v>2</v>
      </c>
      <c r="F1404" s="1">
        <v>3</v>
      </c>
      <c r="G1404" s="1">
        <v>1.5</v>
      </c>
      <c r="H1404" s="1">
        <v>0</v>
      </c>
      <c r="I1404">
        <v>0</v>
      </c>
      <c r="J1404">
        <v>16</v>
      </c>
      <c r="K1404" t="str" cm="1">
        <f t="array" ref="K1404">IFERROR(_xlfn.XLOOKUP(D1404&amp;A1404, RBWR!A:A&amp;RBWR!C:C, RBWR!B:B), "N/A")</f>
        <v>N/A</v>
      </c>
      <c r="L1404" t="str" cm="1">
        <f t="array" ref="L1404">IFERROR(_xlfn.XLOOKUP(C1404&amp;A1404, RYOE!A:A&amp;RYOE!F:F, RYOE!C:C), "N/A")</f>
        <v>N/A</v>
      </c>
      <c r="M1404" t="str" cm="1">
        <f t="array" ref="M1404">IFERROR(_xlfn.XLOOKUP(C1404&amp;A1404, RYOE!A:A&amp;RYOE!F:F, RYOE!D:D), "N/A")</f>
        <v>N/A</v>
      </c>
      <c r="N1404" t="str" cm="1">
        <f t="array" ref="N1404">IFERROR(_xlfn.XLOOKUP(C1404&amp;A1404, RYOE!A:A&amp;RYOE!F:F, RYOE!E:E), "N/A")</f>
        <v>N/A</v>
      </c>
    </row>
    <row r="1405" spans="1:14" ht="15" customHeight="1" x14ac:dyDescent="0.45">
      <c r="A1405" s="8">
        <v>2018</v>
      </c>
      <c r="B1405" s="6" t="s">
        <v>658</v>
      </c>
      <c r="C1405" s="2" t="str">
        <f t="shared" si="42"/>
        <v>C.J. Prosise</v>
      </c>
      <c r="D1405" s="2" t="str">
        <f t="shared" si="43"/>
        <v>SEA</v>
      </c>
      <c r="E1405" s="2">
        <v>1</v>
      </c>
      <c r="F1405" s="2">
        <v>-3</v>
      </c>
      <c r="G1405" s="2">
        <v>-3</v>
      </c>
      <c r="H1405" s="2">
        <v>0</v>
      </c>
      <c r="I1405">
        <v>0</v>
      </c>
      <c r="J1405">
        <v>5</v>
      </c>
      <c r="K1405" t="str" cm="1">
        <f t="array" ref="K1405">IFERROR(_xlfn.XLOOKUP(D1405&amp;A1405, RBWR!A:A&amp;RBWR!C:C, RBWR!B:B), "N/A")</f>
        <v>N/A</v>
      </c>
      <c r="L1405" t="str" cm="1">
        <f t="array" ref="L1405">IFERROR(_xlfn.XLOOKUP(C1405&amp;A1405, RYOE!A:A&amp;RYOE!F:F, RYOE!C:C), "N/A")</f>
        <v>N/A</v>
      </c>
      <c r="M1405" t="str" cm="1">
        <f t="array" ref="M1405">IFERROR(_xlfn.XLOOKUP(C1405&amp;A1405, RYOE!A:A&amp;RYOE!F:F, RYOE!D:D), "N/A")</f>
        <v>N/A</v>
      </c>
      <c r="N1405" t="str" cm="1">
        <f t="array" ref="N1405">IFERROR(_xlfn.XLOOKUP(C1405&amp;A1405, RYOE!A:A&amp;RYOE!F:F, RYOE!E:E), "N/A")</f>
        <v>N/A</v>
      </c>
    </row>
    <row r="1406" spans="1:14" ht="15" customHeight="1" x14ac:dyDescent="0.45">
      <c r="A1406" s="7">
        <v>2018</v>
      </c>
      <c r="B1406" s="5" t="s">
        <v>719</v>
      </c>
      <c r="C1406" s="1" t="str">
        <f t="shared" si="42"/>
        <v>Justin Davis</v>
      </c>
      <c r="D1406" s="1" t="str">
        <f t="shared" si="43"/>
        <v>LAR</v>
      </c>
      <c r="E1406" s="1">
        <v>2</v>
      </c>
      <c r="F1406" s="1">
        <v>19</v>
      </c>
      <c r="G1406" s="1">
        <v>9.5</v>
      </c>
      <c r="H1406" s="1">
        <v>0</v>
      </c>
      <c r="I1406">
        <v>0</v>
      </c>
      <c r="J1406">
        <v>11</v>
      </c>
      <c r="K1406" t="str" cm="1">
        <f t="array" ref="K1406">IFERROR(_xlfn.XLOOKUP(D1406&amp;A1406, RBWR!A:A&amp;RBWR!C:C, RBWR!B:B), "N/A")</f>
        <v>N/A</v>
      </c>
      <c r="L1406" t="str" cm="1">
        <f t="array" ref="L1406">IFERROR(_xlfn.XLOOKUP(C1406&amp;A1406, RYOE!A:A&amp;RYOE!F:F, RYOE!C:C), "N/A")</f>
        <v>N/A</v>
      </c>
      <c r="M1406" t="str" cm="1">
        <f t="array" ref="M1406">IFERROR(_xlfn.XLOOKUP(C1406&amp;A1406, RYOE!A:A&amp;RYOE!F:F, RYOE!D:D), "N/A")</f>
        <v>N/A</v>
      </c>
      <c r="N1406" t="str" cm="1">
        <f t="array" ref="N1406">IFERROR(_xlfn.XLOOKUP(C1406&amp;A1406, RYOE!A:A&amp;RYOE!F:F, RYOE!E:E), "N/A")</f>
        <v>N/A</v>
      </c>
    </row>
    <row r="1407" spans="1:14" ht="15" customHeight="1" x14ac:dyDescent="0.45">
      <c r="A1407" s="8">
        <v>2018</v>
      </c>
      <c r="B1407" s="6" t="s">
        <v>695</v>
      </c>
      <c r="C1407" s="2" t="str">
        <f t="shared" si="42"/>
        <v>Jonathan Stewart</v>
      </c>
      <c r="D1407" s="2" t="str">
        <f t="shared" si="43"/>
        <v>NYG</v>
      </c>
      <c r="E1407" s="2">
        <v>6</v>
      </c>
      <c r="F1407" s="2">
        <v>17</v>
      </c>
      <c r="G1407" s="2">
        <v>2.8</v>
      </c>
      <c r="H1407" s="2">
        <v>0</v>
      </c>
      <c r="I1407">
        <v>0</v>
      </c>
      <c r="J1407">
        <v>3</v>
      </c>
      <c r="K1407" t="str" cm="1">
        <f t="array" ref="K1407">IFERROR(_xlfn.XLOOKUP(D1407&amp;A1407, RBWR!A:A&amp;RBWR!C:C, RBWR!B:B), "N/A")</f>
        <v>N/A</v>
      </c>
      <c r="L1407" t="str" cm="1">
        <f t="array" ref="L1407">IFERROR(_xlfn.XLOOKUP(C1407&amp;A1407, RYOE!A:A&amp;RYOE!F:F, RYOE!C:C), "N/A")</f>
        <v>N/A</v>
      </c>
      <c r="M1407" t="str" cm="1">
        <f t="array" ref="M1407">IFERROR(_xlfn.XLOOKUP(C1407&amp;A1407, RYOE!A:A&amp;RYOE!F:F, RYOE!D:D), "N/A")</f>
        <v>N/A</v>
      </c>
      <c r="N1407" t="str" cm="1">
        <f t="array" ref="N1407">IFERROR(_xlfn.XLOOKUP(C1407&amp;A1407, RYOE!A:A&amp;RYOE!F:F, RYOE!E:E), "N/A")</f>
        <v>N/A</v>
      </c>
    </row>
    <row r="1408" spans="1:14" ht="15" customHeight="1" x14ac:dyDescent="0.45">
      <c r="A1408" s="7">
        <v>2018</v>
      </c>
      <c r="B1408" s="5" t="s">
        <v>708</v>
      </c>
      <c r="C1408" s="1" t="str">
        <f t="shared" si="42"/>
        <v>David Fluellen</v>
      </c>
      <c r="D1408" s="1" t="str">
        <f t="shared" si="43"/>
        <v>TEN</v>
      </c>
      <c r="E1408" s="1">
        <v>4</v>
      </c>
      <c r="F1408" s="1">
        <v>16</v>
      </c>
      <c r="G1408" s="1">
        <v>4</v>
      </c>
      <c r="H1408" s="1">
        <v>0</v>
      </c>
      <c r="I1408">
        <v>0</v>
      </c>
      <c r="J1408">
        <v>7</v>
      </c>
      <c r="K1408" t="str" cm="1">
        <f t="array" ref="K1408">IFERROR(_xlfn.XLOOKUP(D1408&amp;A1408, RBWR!A:A&amp;RBWR!C:C, RBWR!B:B), "N/A")</f>
        <v>N/A</v>
      </c>
      <c r="L1408" t="str" cm="1">
        <f t="array" ref="L1408">IFERROR(_xlfn.XLOOKUP(C1408&amp;A1408, RYOE!A:A&amp;RYOE!F:F, RYOE!C:C), "N/A")</f>
        <v>N/A</v>
      </c>
      <c r="M1408" t="str" cm="1">
        <f t="array" ref="M1408">IFERROR(_xlfn.XLOOKUP(C1408&amp;A1408, RYOE!A:A&amp;RYOE!F:F, RYOE!D:D), "N/A")</f>
        <v>N/A</v>
      </c>
      <c r="N1408" t="str" cm="1">
        <f t="array" ref="N1408">IFERROR(_xlfn.XLOOKUP(C1408&amp;A1408, RYOE!A:A&amp;RYOE!F:F, RYOE!E:E), "N/A")</f>
        <v>N/A</v>
      </c>
    </row>
    <row r="1409" spans="1:14" ht="15" customHeight="1" x14ac:dyDescent="0.45">
      <c r="A1409" s="8">
        <v>2018</v>
      </c>
      <c r="B1409" s="6" t="s">
        <v>775</v>
      </c>
      <c r="C1409" s="2" t="str">
        <f t="shared" si="42"/>
        <v>Darius Jackson</v>
      </c>
      <c r="D1409" s="2" t="str">
        <f t="shared" si="43"/>
        <v>DAL</v>
      </c>
      <c r="E1409" s="2">
        <v>6</v>
      </c>
      <c r="F1409" s="2">
        <v>16</v>
      </c>
      <c r="G1409" s="2">
        <v>2.7</v>
      </c>
      <c r="H1409" s="2">
        <v>0</v>
      </c>
      <c r="I1409">
        <v>0</v>
      </c>
      <c r="J1409">
        <v>4</v>
      </c>
      <c r="K1409" t="str" cm="1">
        <f t="array" ref="K1409">IFERROR(_xlfn.XLOOKUP(D1409&amp;A1409, RBWR!A:A&amp;RBWR!C:C, RBWR!B:B), "N/A")</f>
        <v>N/A</v>
      </c>
      <c r="L1409" t="str" cm="1">
        <f t="array" ref="L1409">IFERROR(_xlfn.XLOOKUP(C1409&amp;A1409, RYOE!A:A&amp;RYOE!F:F, RYOE!C:C), "N/A")</f>
        <v>N/A</v>
      </c>
      <c r="M1409" t="str" cm="1">
        <f t="array" ref="M1409">IFERROR(_xlfn.XLOOKUP(C1409&amp;A1409, RYOE!A:A&amp;RYOE!F:F, RYOE!D:D), "N/A")</f>
        <v>N/A</v>
      </c>
      <c r="N1409" t="str" cm="1">
        <f t="array" ref="N1409">IFERROR(_xlfn.XLOOKUP(C1409&amp;A1409, RYOE!A:A&amp;RYOE!F:F, RYOE!E:E), "N/A")</f>
        <v>N/A</v>
      </c>
    </row>
    <row r="1410" spans="1:14" ht="15" customHeight="1" x14ac:dyDescent="0.45">
      <c r="A1410" s="7">
        <v>2018</v>
      </c>
      <c r="B1410" s="5" t="s">
        <v>776</v>
      </c>
      <c r="C1410" s="1" t="str">
        <f t="shared" ref="C1410:C1441" si="44">TRIM(LEFT(B1410, LEN(B1410) - LEN(TRIM(RIGHT(SUBSTITUTE(TRIM(B1410)," ",REPT(" ",100)),100)))))</f>
        <v>Brandon Wilds</v>
      </c>
      <c r="D1410" s="1" t="str">
        <f t="shared" ref="D1410:D1441" si="45">MID(B1410, FIND("(", B1410) + 1, FIND(")", B1410) - FIND("(", B1410) - 1)</f>
        <v>JAC</v>
      </c>
      <c r="E1410" s="1">
        <v>6</v>
      </c>
      <c r="F1410" s="1">
        <v>15</v>
      </c>
      <c r="G1410" s="1">
        <v>2.5</v>
      </c>
      <c r="H1410" s="1">
        <v>0</v>
      </c>
      <c r="I1410">
        <v>0</v>
      </c>
      <c r="J1410">
        <v>3</v>
      </c>
      <c r="K1410" t="str" cm="1">
        <f t="array" ref="K1410">IFERROR(_xlfn.XLOOKUP(D1410&amp;A1410, RBWR!A:A&amp;RBWR!C:C, RBWR!B:B), "N/A")</f>
        <v>N/A</v>
      </c>
      <c r="L1410" t="str" cm="1">
        <f t="array" ref="L1410">IFERROR(_xlfn.XLOOKUP(C1410&amp;A1410, RYOE!A:A&amp;RYOE!F:F, RYOE!C:C), "N/A")</f>
        <v>N/A</v>
      </c>
      <c r="M1410" t="str" cm="1">
        <f t="array" ref="M1410">IFERROR(_xlfn.XLOOKUP(C1410&amp;A1410, RYOE!A:A&amp;RYOE!F:F, RYOE!D:D), "N/A")</f>
        <v>N/A</v>
      </c>
      <c r="N1410" t="str" cm="1">
        <f t="array" ref="N1410">IFERROR(_xlfn.XLOOKUP(C1410&amp;A1410, RYOE!A:A&amp;RYOE!F:F, RYOE!E:E), "N/A")</f>
        <v>N/A</v>
      </c>
    </row>
    <row r="1411" spans="1:14" ht="15" customHeight="1" x14ac:dyDescent="0.45">
      <c r="A1411" s="8">
        <v>2018</v>
      </c>
      <c r="B1411" s="6" t="s">
        <v>694</v>
      </c>
      <c r="C1411" s="2" t="str">
        <f t="shared" si="44"/>
        <v>Jamaal Charles</v>
      </c>
      <c r="D1411" s="2" t="str">
        <f t="shared" si="45"/>
        <v>JAC</v>
      </c>
      <c r="E1411" s="2">
        <v>6</v>
      </c>
      <c r="F1411" s="2">
        <v>7</v>
      </c>
      <c r="G1411" s="2">
        <v>1.2</v>
      </c>
      <c r="H1411" s="2">
        <v>0</v>
      </c>
      <c r="I1411">
        <v>0</v>
      </c>
      <c r="J1411">
        <v>2</v>
      </c>
      <c r="K1411" t="str" cm="1">
        <f t="array" ref="K1411">IFERROR(_xlfn.XLOOKUP(D1411&amp;A1411, RBWR!A:A&amp;RBWR!C:C, RBWR!B:B), "N/A")</f>
        <v>N/A</v>
      </c>
      <c r="L1411" t="str" cm="1">
        <f t="array" ref="L1411">IFERROR(_xlfn.XLOOKUP(C1411&amp;A1411, RYOE!A:A&amp;RYOE!F:F, RYOE!C:C), "N/A")</f>
        <v>N/A</v>
      </c>
      <c r="M1411" t="str" cm="1">
        <f t="array" ref="M1411">IFERROR(_xlfn.XLOOKUP(C1411&amp;A1411, RYOE!A:A&amp;RYOE!F:F, RYOE!D:D), "N/A")</f>
        <v>N/A</v>
      </c>
      <c r="N1411" t="str" cm="1">
        <f t="array" ref="N1411">IFERROR(_xlfn.XLOOKUP(C1411&amp;A1411, RYOE!A:A&amp;RYOE!F:F, RYOE!E:E), "N/A")</f>
        <v>N/A</v>
      </c>
    </row>
    <row r="1412" spans="1:14" ht="15" customHeight="1" x14ac:dyDescent="0.45">
      <c r="A1412" s="7">
        <v>2018</v>
      </c>
      <c r="B1412" s="5" t="s">
        <v>703</v>
      </c>
      <c r="C1412" s="1" t="str">
        <f t="shared" si="44"/>
        <v>Jamize Olawale</v>
      </c>
      <c r="D1412" s="1" t="str">
        <f t="shared" si="45"/>
        <v>DAL</v>
      </c>
      <c r="E1412" s="1">
        <v>0</v>
      </c>
      <c r="F1412" s="1">
        <v>0</v>
      </c>
      <c r="G1412" s="1">
        <v>0</v>
      </c>
      <c r="H1412" s="1">
        <v>0</v>
      </c>
      <c r="I1412">
        <v>0</v>
      </c>
      <c r="J1412">
        <v>16</v>
      </c>
      <c r="K1412" t="str" cm="1">
        <f t="array" ref="K1412">IFERROR(_xlfn.XLOOKUP(D1412&amp;A1412, RBWR!A:A&amp;RBWR!C:C, RBWR!B:B), "N/A")</f>
        <v>N/A</v>
      </c>
      <c r="L1412" t="str" cm="1">
        <f t="array" ref="L1412">IFERROR(_xlfn.XLOOKUP(C1412&amp;A1412, RYOE!A:A&amp;RYOE!F:F, RYOE!C:C), "N/A")</f>
        <v>N/A</v>
      </c>
      <c r="M1412" t="str" cm="1">
        <f t="array" ref="M1412">IFERROR(_xlfn.XLOOKUP(C1412&amp;A1412, RYOE!A:A&amp;RYOE!F:F, RYOE!D:D), "N/A")</f>
        <v>N/A</v>
      </c>
      <c r="N1412" t="str" cm="1">
        <f t="array" ref="N1412">IFERROR(_xlfn.XLOOKUP(C1412&amp;A1412, RYOE!A:A&amp;RYOE!F:F, RYOE!E:E), "N/A")</f>
        <v>N/A</v>
      </c>
    </row>
    <row r="1413" spans="1:14" ht="15" customHeight="1" x14ac:dyDescent="0.45">
      <c r="A1413" s="8">
        <v>2018</v>
      </c>
      <c r="B1413" s="6" t="s">
        <v>665</v>
      </c>
      <c r="C1413" s="2" t="str">
        <f t="shared" si="44"/>
        <v>Derek Watt</v>
      </c>
      <c r="D1413" s="2" t="str">
        <f t="shared" si="45"/>
        <v>LAC</v>
      </c>
      <c r="E1413" s="2">
        <v>4</v>
      </c>
      <c r="F1413" s="2">
        <v>11</v>
      </c>
      <c r="G1413" s="2">
        <v>2.8</v>
      </c>
      <c r="H1413" s="2">
        <v>0</v>
      </c>
      <c r="I1413">
        <v>0</v>
      </c>
      <c r="J1413">
        <v>16</v>
      </c>
      <c r="K1413" t="str" cm="1">
        <f t="array" ref="K1413">IFERROR(_xlfn.XLOOKUP(D1413&amp;A1413, RBWR!A:A&amp;RBWR!C:C, RBWR!B:B), "N/A")</f>
        <v>N/A</v>
      </c>
      <c r="L1413" t="str" cm="1">
        <f t="array" ref="L1413">IFERROR(_xlfn.XLOOKUP(C1413&amp;A1413, RYOE!A:A&amp;RYOE!F:F, RYOE!C:C), "N/A")</f>
        <v>N/A</v>
      </c>
      <c r="M1413" t="str" cm="1">
        <f t="array" ref="M1413">IFERROR(_xlfn.XLOOKUP(C1413&amp;A1413, RYOE!A:A&amp;RYOE!F:F, RYOE!D:D), "N/A")</f>
        <v>N/A</v>
      </c>
      <c r="N1413" t="str" cm="1">
        <f t="array" ref="N1413">IFERROR(_xlfn.XLOOKUP(C1413&amp;A1413, RYOE!A:A&amp;RYOE!F:F, RYOE!E:E), "N/A")</f>
        <v>N/A</v>
      </c>
    </row>
    <row r="1414" spans="1:14" ht="15" customHeight="1" x14ac:dyDescent="0.45">
      <c r="A1414" s="7">
        <v>2018</v>
      </c>
      <c r="B1414" s="5" t="s">
        <v>777</v>
      </c>
      <c r="C1414" s="1" t="str">
        <f t="shared" si="44"/>
        <v>Ricky Ortiz</v>
      </c>
      <c r="D1414" s="1" t="str">
        <f t="shared" si="45"/>
        <v>ATL</v>
      </c>
      <c r="E1414" s="1">
        <v>0</v>
      </c>
      <c r="F1414" s="1">
        <v>0</v>
      </c>
      <c r="G1414" s="1">
        <v>0</v>
      </c>
      <c r="H1414" s="1">
        <v>0</v>
      </c>
      <c r="I1414">
        <v>0</v>
      </c>
      <c r="J1414">
        <v>12</v>
      </c>
      <c r="K1414" t="str" cm="1">
        <f t="array" ref="K1414">IFERROR(_xlfn.XLOOKUP(D1414&amp;A1414, RBWR!A:A&amp;RBWR!C:C, RBWR!B:B), "N/A")</f>
        <v>N/A</v>
      </c>
      <c r="L1414" t="str" cm="1">
        <f t="array" ref="L1414">IFERROR(_xlfn.XLOOKUP(C1414&amp;A1414, RYOE!A:A&amp;RYOE!F:F, RYOE!C:C), "N/A")</f>
        <v>N/A</v>
      </c>
      <c r="M1414" t="str" cm="1">
        <f t="array" ref="M1414">IFERROR(_xlfn.XLOOKUP(C1414&amp;A1414, RYOE!A:A&amp;RYOE!F:F, RYOE!D:D), "N/A")</f>
        <v>N/A</v>
      </c>
      <c r="N1414" t="str" cm="1">
        <f t="array" ref="N1414">IFERROR(_xlfn.XLOOKUP(C1414&amp;A1414, RYOE!A:A&amp;RYOE!F:F, RYOE!E:E), "N/A")</f>
        <v>N/A</v>
      </c>
    </row>
    <row r="1415" spans="1:14" ht="15" customHeight="1" x14ac:dyDescent="0.45">
      <c r="A1415" s="8">
        <v>2018</v>
      </c>
      <c r="B1415" s="6" t="s">
        <v>705</v>
      </c>
      <c r="C1415" s="2" t="str">
        <f t="shared" si="44"/>
        <v>Christine Michael</v>
      </c>
      <c r="D1415" s="2" t="str">
        <f t="shared" si="45"/>
        <v>IND</v>
      </c>
      <c r="E1415" s="2">
        <v>2</v>
      </c>
      <c r="F1415" s="2">
        <v>9</v>
      </c>
      <c r="G1415" s="2">
        <v>4.5</v>
      </c>
      <c r="H1415" s="2">
        <v>0</v>
      </c>
      <c r="I1415">
        <v>0</v>
      </c>
      <c r="J1415">
        <v>1</v>
      </c>
      <c r="K1415" t="str" cm="1">
        <f t="array" ref="K1415">IFERROR(_xlfn.XLOOKUP(D1415&amp;A1415, RBWR!A:A&amp;RBWR!C:C, RBWR!B:B), "N/A")</f>
        <v>N/A</v>
      </c>
      <c r="L1415" t="str" cm="1">
        <f t="array" ref="L1415">IFERROR(_xlfn.XLOOKUP(C1415&amp;A1415, RYOE!A:A&amp;RYOE!F:F, RYOE!C:C), "N/A")</f>
        <v>N/A</v>
      </c>
      <c r="M1415" t="str" cm="1">
        <f t="array" ref="M1415">IFERROR(_xlfn.XLOOKUP(C1415&amp;A1415, RYOE!A:A&amp;RYOE!F:F, RYOE!D:D), "N/A")</f>
        <v>N/A</v>
      </c>
      <c r="N1415" t="str" cm="1">
        <f t="array" ref="N1415">IFERROR(_xlfn.XLOOKUP(C1415&amp;A1415, RYOE!A:A&amp;RYOE!F:F, RYOE!E:E), "N/A")</f>
        <v>N/A</v>
      </c>
    </row>
    <row r="1416" spans="1:14" ht="15" customHeight="1" x14ac:dyDescent="0.45">
      <c r="A1416" s="7">
        <v>2018</v>
      </c>
      <c r="B1416" s="5" t="s">
        <v>588</v>
      </c>
      <c r="C1416" s="1" t="str">
        <f t="shared" si="44"/>
        <v>Ameer Abdullah</v>
      </c>
      <c r="D1416" s="1" t="str">
        <f t="shared" si="45"/>
        <v>MIN</v>
      </c>
      <c r="E1416" s="1">
        <v>1</v>
      </c>
      <c r="F1416" s="1">
        <v>1</v>
      </c>
      <c r="G1416" s="1">
        <v>1</v>
      </c>
      <c r="H1416" s="1">
        <v>0</v>
      </c>
      <c r="I1416">
        <v>1</v>
      </c>
      <c r="J1416">
        <v>10</v>
      </c>
      <c r="K1416" t="str" cm="1">
        <f t="array" ref="K1416">IFERROR(_xlfn.XLOOKUP(D1416&amp;A1416, RBWR!A:A&amp;RBWR!C:C, RBWR!B:B), "N/A")</f>
        <v>N/A</v>
      </c>
      <c r="L1416" t="str" cm="1">
        <f t="array" ref="L1416">IFERROR(_xlfn.XLOOKUP(C1416&amp;A1416, RYOE!A:A&amp;RYOE!F:F, RYOE!C:C), "N/A")</f>
        <v>N/A</v>
      </c>
      <c r="M1416" t="str" cm="1">
        <f t="array" ref="M1416">IFERROR(_xlfn.XLOOKUP(C1416&amp;A1416, RYOE!A:A&amp;RYOE!F:F, RYOE!D:D), "N/A")</f>
        <v>N/A</v>
      </c>
      <c r="N1416" t="str" cm="1">
        <f t="array" ref="N1416">IFERROR(_xlfn.XLOOKUP(C1416&amp;A1416, RYOE!A:A&amp;RYOE!F:F, RYOE!E:E), "N/A")</f>
        <v>N/A</v>
      </c>
    </row>
    <row r="1417" spans="1:14" ht="15" customHeight="1" x14ac:dyDescent="0.45">
      <c r="A1417" s="8">
        <v>2018</v>
      </c>
      <c r="B1417" s="6" t="s">
        <v>778</v>
      </c>
      <c r="C1417" s="2" t="str">
        <f t="shared" si="44"/>
        <v>Robert Kelley</v>
      </c>
      <c r="D1417" s="2" t="str">
        <f t="shared" si="45"/>
        <v>WAS</v>
      </c>
      <c r="E1417" s="2">
        <v>4</v>
      </c>
      <c r="F1417" s="2">
        <v>8</v>
      </c>
      <c r="G1417" s="2">
        <v>2</v>
      </c>
      <c r="H1417" s="2">
        <v>0</v>
      </c>
      <c r="I1417">
        <v>0</v>
      </c>
      <c r="J1417">
        <v>2</v>
      </c>
      <c r="K1417" t="str" cm="1">
        <f t="array" ref="K1417">IFERROR(_xlfn.XLOOKUP(D1417&amp;A1417, RBWR!A:A&amp;RBWR!C:C, RBWR!B:B), "N/A")</f>
        <v>N/A</v>
      </c>
      <c r="L1417" t="str" cm="1">
        <f t="array" ref="L1417">IFERROR(_xlfn.XLOOKUP(C1417&amp;A1417, RYOE!A:A&amp;RYOE!F:F, RYOE!C:C), "N/A")</f>
        <v>N/A</v>
      </c>
      <c r="M1417" t="str" cm="1">
        <f t="array" ref="M1417">IFERROR(_xlfn.XLOOKUP(C1417&amp;A1417, RYOE!A:A&amp;RYOE!F:F, RYOE!D:D), "N/A")</f>
        <v>N/A</v>
      </c>
      <c r="N1417" t="str" cm="1">
        <f t="array" ref="N1417">IFERROR(_xlfn.XLOOKUP(C1417&amp;A1417, RYOE!A:A&amp;RYOE!F:F, RYOE!E:E), "N/A")</f>
        <v>N/A</v>
      </c>
    </row>
    <row r="1418" spans="1:14" ht="15" customHeight="1" x14ac:dyDescent="0.45">
      <c r="A1418" s="7">
        <v>2018</v>
      </c>
      <c r="B1418" s="5" t="s">
        <v>779</v>
      </c>
      <c r="C1418" s="1" t="str">
        <f t="shared" si="44"/>
        <v>J.D. McKissic</v>
      </c>
      <c r="D1418" s="1" t="str">
        <f t="shared" si="45"/>
        <v>SEA</v>
      </c>
      <c r="E1418" s="1">
        <v>3</v>
      </c>
      <c r="F1418" s="1">
        <v>8</v>
      </c>
      <c r="G1418" s="1">
        <v>2.7</v>
      </c>
      <c r="H1418" s="1">
        <v>0</v>
      </c>
      <c r="I1418">
        <v>0</v>
      </c>
      <c r="J1418">
        <v>5</v>
      </c>
      <c r="K1418" t="str" cm="1">
        <f t="array" ref="K1418">IFERROR(_xlfn.XLOOKUP(D1418&amp;A1418, RBWR!A:A&amp;RBWR!C:C, RBWR!B:B), "N/A")</f>
        <v>N/A</v>
      </c>
      <c r="L1418" t="str" cm="1">
        <f t="array" ref="L1418">IFERROR(_xlfn.XLOOKUP(C1418&amp;A1418, RYOE!A:A&amp;RYOE!F:F, RYOE!C:C), "N/A")</f>
        <v>N/A</v>
      </c>
      <c r="M1418" t="str" cm="1">
        <f t="array" ref="M1418">IFERROR(_xlfn.XLOOKUP(C1418&amp;A1418, RYOE!A:A&amp;RYOE!F:F, RYOE!D:D), "N/A")</f>
        <v>N/A</v>
      </c>
      <c r="N1418" t="str" cm="1">
        <f t="array" ref="N1418">IFERROR(_xlfn.XLOOKUP(C1418&amp;A1418, RYOE!A:A&amp;RYOE!F:F, RYOE!E:E), "N/A")</f>
        <v>N/A</v>
      </c>
    </row>
    <row r="1419" spans="1:14" ht="15" customHeight="1" x14ac:dyDescent="0.45">
      <c r="A1419" s="8">
        <v>2018</v>
      </c>
      <c r="B1419" s="6" t="s">
        <v>780</v>
      </c>
      <c r="C1419" s="2" t="str">
        <f t="shared" si="44"/>
        <v>Michael Burton</v>
      </c>
      <c r="D1419" s="2" t="str">
        <f t="shared" si="45"/>
        <v>CHI</v>
      </c>
      <c r="E1419" s="2">
        <v>0</v>
      </c>
      <c r="F1419" s="2">
        <v>0</v>
      </c>
      <c r="G1419" s="2">
        <v>0</v>
      </c>
      <c r="H1419" s="2">
        <v>0</v>
      </c>
      <c r="I1419">
        <v>0</v>
      </c>
      <c r="J1419">
        <v>8</v>
      </c>
      <c r="K1419" t="str" cm="1">
        <f t="array" ref="K1419">IFERROR(_xlfn.XLOOKUP(D1419&amp;A1419, RBWR!A:A&amp;RBWR!C:C, RBWR!B:B), "N/A")</f>
        <v>N/A</v>
      </c>
      <c r="L1419" t="str" cm="1">
        <f t="array" ref="L1419">IFERROR(_xlfn.XLOOKUP(C1419&amp;A1419, RYOE!A:A&amp;RYOE!F:F, RYOE!C:C), "N/A")</f>
        <v>N/A</v>
      </c>
      <c r="M1419" t="str" cm="1">
        <f t="array" ref="M1419">IFERROR(_xlfn.XLOOKUP(C1419&amp;A1419, RYOE!A:A&amp;RYOE!F:F, RYOE!D:D), "N/A")</f>
        <v>N/A</v>
      </c>
      <c r="N1419" t="str" cm="1">
        <f t="array" ref="N1419">IFERROR(_xlfn.XLOOKUP(C1419&amp;A1419, RYOE!A:A&amp;RYOE!F:F, RYOE!E:E), "N/A")</f>
        <v>N/A</v>
      </c>
    </row>
    <row r="1420" spans="1:14" ht="15" customHeight="1" x14ac:dyDescent="0.45">
      <c r="A1420" s="7">
        <v>2018</v>
      </c>
      <c r="B1420" s="5" t="s">
        <v>781</v>
      </c>
      <c r="C1420" s="1" t="str">
        <f t="shared" si="44"/>
        <v>Jeremy McNichols</v>
      </c>
      <c r="D1420" s="1" t="str">
        <f t="shared" si="45"/>
        <v>IND</v>
      </c>
      <c r="E1420" s="1">
        <v>2</v>
      </c>
      <c r="F1420" s="1">
        <v>4</v>
      </c>
      <c r="G1420" s="1">
        <v>2</v>
      </c>
      <c r="H1420" s="1">
        <v>0</v>
      </c>
      <c r="I1420">
        <v>0</v>
      </c>
      <c r="J1420">
        <v>1</v>
      </c>
      <c r="K1420" t="str" cm="1">
        <f t="array" ref="K1420">IFERROR(_xlfn.XLOOKUP(D1420&amp;A1420, RBWR!A:A&amp;RBWR!C:C, RBWR!B:B), "N/A")</f>
        <v>N/A</v>
      </c>
      <c r="L1420" t="str" cm="1">
        <f t="array" ref="L1420">IFERROR(_xlfn.XLOOKUP(C1420&amp;A1420, RYOE!A:A&amp;RYOE!F:F, RYOE!C:C), "N/A")</f>
        <v>N/A</v>
      </c>
      <c r="M1420" t="str" cm="1">
        <f t="array" ref="M1420">IFERROR(_xlfn.XLOOKUP(C1420&amp;A1420, RYOE!A:A&amp;RYOE!F:F, RYOE!D:D), "N/A")</f>
        <v>N/A</v>
      </c>
      <c r="N1420" t="str" cm="1">
        <f t="array" ref="N1420">IFERROR(_xlfn.XLOOKUP(C1420&amp;A1420, RYOE!A:A&amp;RYOE!F:F, RYOE!E:E), "N/A")</f>
        <v>N/A</v>
      </c>
    </row>
    <row r="1421" spans="1:14" ht="15" customHeight="1" x14ac:dyDescent="0.45">
      <c r="A1421" s="8">
        <v>2018</v>
      </c>
      <c r="B1421" s="6" t="s">
        <v>666</v>
      </c>
      <c r="C1421" s="2" t="str">
        <f t="shared" si="44"/>
        <v>Danny Vitale</v>
      </c>
      <c r="D1421" s="2" t="str">
        <f t="shared" si="45"/>
        <v>GB</v>
      </c>
      <c r="E1421" s="2">
        <v>0</v>
      </c>
      <c r="F1421" s="2">
        <v>0</v>
      </c>
      <c r="G1421" s="2">
        <v>0</v>
      </c>
      <c r="H1421" s="2">
        <v>0</v>
      </c>
      <c r="I1421">
        <v>0</v>
      </c>
      <c r="J1421">
        <v>5</v>
      </c>
      <c r="K1421" t="str" cm="1">
        <f t="array" ref="K1421">IFERROR(_xlfn.XLOOKUP(D1421&amp;A1421, RBWR!A:A&amp;RBWR!C:C, RBWR!B:B), "N/A")</f>
        <v>N/A</v>
      </c>
      <c r="L1421" t="str" cm="1">
        <f t="array" ref="L1421">IFERROR(_xlfn.XLOOKUP(C1421&amp;A1421, RYOE!A:A&amp;RYOE!F:F, RYOE!C:C), "N/A")</f>
        <v>N/A</v>
      </c>
      <c r="M1421" t="str" cm="1">
        <f t="array" ref="M1421">IFERROR(_xlfn.XLOOKUP(C1421&amp;A1421, RYOE!A:A&amp;RYOE!F:F, RYOE!D:D), "N/A")</f>
        <v>N/A</v>
      </c>
      <c r="N1421" t="str" cm="1">
        <f t="array" ref="N1421">IFERROR(_xlfn.XLOOKUP(C1421&amp;A1421, RYOE!A:A&amp;RYOE!F:F, RYOE!E:E), "N/A")</f>
        <v>N/A</v>
      </c>
    </row>
    <row r="1422" spans="1:14" ht="15" customHeight="1" x14ac:dyDescent="0.45">
      <c r="A1422" s="7">
        <v>2018</v>
      </c>
      <c r="B1422" s="5" t="s">
        <v>782</v>
      </c>
      <c r="C1422" s="1" t="str">
        <f t="shared" si="44"/>
        <v>Jonathan Williams</v>
      </c>
      <c r="D1422" s="1" t="str">
        <f t="shared" si="45"/>
        <v>NO</v>
      </c>
      <c r="E1422" s="1">
        <v>3</v>
      </c>
      <c r="F1422" s="1">
        <v>0</v>
      </c>
      <c r="G1422" s="1">
        <v>0</v>
      </c>
      <c r="H1422" s="1">
        <v>0</v>
      </c>
      <c r="I1422">
        <v>0</v>
      </c>
      <c r="J1422">
        <v>3</v>
      </c>
      <c r="K1422" t="str" cm="1">
        <f t="array" ref="K1422">IFERROR(_xlfn.XLOOKUP(D1422&amp;A1422, RBWR!A:A&amp;RBWR!C:C, RBWR!B:B), "N/A")</f>
        <v>N/A</v>
      </c>
      <c r="L1422" t="str" cm="1">
        <f t="array" ref="L1422">IFERROR(_xlfn.XLOOKUP(C1422&amp;A1422, RYOE!A:A&amp;RYOE!F:F, RYOE!C:C), "N/A")</f>
        <v>N/A</v>
      </c>
      <c r="M1422" t="str" cm="1">
        <f t="array" ref="M1422">IFERROR(_xlfn.XLOOKUP(C1422&amp;A1422, RYOE!A:A&amp;RYOE!F:F, RYOE!D:D), "N/A")</f>
        <v>N/A</v>
      </c>
      <c r="N1422" t="str" cm="1">
        <f t="array" ref="N1422">IFERROR(_xlfn.XLOOKUP(C1422&amp;A1422, RYOE!A:A&amp;RYOE!F:F, RYOE!E:E), "N/A")</f>
        <v>N/A</v>
      </c>
    </row>
    <row r="1423" spans="1:14" ht="15" customHeight="1" x14ac:dyDescent="0.45">
      <c r="A1423" s="8">
        <v>2018</v>
      </c>
      <c r="B1423" s="6" t="s">
        <v>451</v>
      </c>
      <c r="C1423" s="2" t="str">
        <f t="shared" si="44"/>
        <v>Taiwan Jones</v>
      </c>
      <c r="D1423" s="2" t="str">
        <f t="shared" si="45"/>
        <v>BUF</v>
      </c>
      <c r="E1423" s="2">
        <v>0</v>
      </c>
      <c r="F1423" s="2">
        <v>0</v>
      </c>
      <c r="G1423" s="2">
        <v>0</v>
      </c>
      <c r="H1423" s="2">
        <v>0</v>
      </c>
      <c r="I1423">
        <v>0</v>
      </c>
      <c r="J1423">
        <v>6</v>
      </c>
      <c r="K1423" t="str" cm="1">
        <f t="array" ref="K1423">IFERROR(_xlfn.XLOOKUP(D1423&amp;A1423, RBWR!A:A&amp;RBWR!C:C, RBWR!B:B), "N/A")</f>
        <v>N/A</v>
      </c>
      <c r="L1423" t="str" cm="1">
        <f t="array" ref="L1423">IFERROR(_xlfn.XLOOKUP(C1423&amp;A1423, RYOE!A:A&amp;RYOE!F:F, RYOE!C:C), "N/A")</f>
        <v>N/A</v>
      </c>
      <c r="M1423" t="str" cm="1">
        <f t="array" ref="M1423">IFERROR(_xlfn.XLOOKUP(C1423&amp;A1423, RYOE!A:A&amp;RYOE!F:F, RYOE!D:D), "N/A")</f>
        <v>N/A</v>
      </c>
      <c r="N1423" t="str" cm="1">
        <f t="array" ref="N1423">IFERROR(_xlfn.XLOOKUP(C1423&amp;A1423, RYOE!A:A&amp;RYOE!F:F, RYOE!E:E), "N/A")</f>
        <v>N/A</v>
      </c>
    </row>
    <row r="1424" spans="1:14" ht="15" customHeight="1" x14ac:dyDescent="0.45">
      <c r="A1424" s="7">
        <v>2018</v>
      </c>
      <c r="B1424" s="5" t="s">
        <v>783</v>
      </c>
      <c r="C1424" s="1" t="str">
        <f t="shared" si="44"/>
        <v>Senorise Perry</v>
      </c>
      <c r="D1424" s="1" t="str">
        <f t="shared" si="45"/>
        <v>MIA</v>
      </c>
      <c r="E1424" s="1">
        <v>0</v>
      </c>
      <c r="F1424" s="1">
        <v>0</v>
      </c>
      <c r="G1424" s="1">
        <v>0</v>
      </c>
      <c r="H1424" s="1">
        <v>0</v>
      </c>
      <c r="I1424">
        <v>0</v>
      </c>
      <c r="J1424">
        <v>16</v>
      </c>
      <c r="K1424" t="str" cm="1">
        <f t="array" ref="K1424">IFERROR(_xlfn.XLOOKUP(D1424&amp;A1424, RBWR!A:A&amp;RBWR!C:C, RBWR!B:B), "N/A")</f>
        <v>N/A</v>
      </c>
      <c r="L1424" t="str" cm="1">
        <f t="array" ref="L1424">IFERROR(_xlfn.XLOOKUP(C1424&amp;A1424, RYOE!A:A&amp;RYOE!F:F, RYOE!C:C), "N/A")</f>
        <v>N/A</v>
      </c>
      <c r="M1424" t="str" cm="1">
        <f t="array" ref="M1424">IFERROR(_xlfn.XLOOKUP(C1424&amp;A1424, RYOE!A:A&amp;RYOE!F:F, RYOE!D:D), "N/A")</f>
        <v>N/A</v>
      </c>
      <c r="N1424" t="str" cm="1">
        <f t="array" ref="N1424">IFERROR(_xlfn.XLOOKUP(C1424&amp;A1424, RYOE!A:A&amp;RYOE!F:F, RYOE!E:E), "N/A")</f>
        <v>N/A</v>
      </c>
    </row>
    <row r="1425" spans="1:14" ht="15" customHeight="1" x14ac:dyDescent="0.45">
      <c r="A1425" s="8">
        <v>2018</v>
      </c>
      <c r="B1425" s="6" t="s">
        <v>784</v>
      </c>
      <c r="C1425" s="2" t="str">
        <f t="shared" si="44"/>
        <v>Thomas Rawls</v>
      </c>
      <c r="D1425" s="2" t="str">
        <f t="shared" si="45"/>
        <v>CIN</v>
      </c>
      <c r="E1425" s="2">
        <v>0</v>
      </c>
      <c r="F1425" s="2">
        <v>0</v>
      </c>
      <c r="G1425" s="2">
        <v>0</v>
      </c>
      <c r="H1425" s="2">
        <v>0</v>
      </c>
      <c r="I1425">
        <v>0</v>
      </c>
      <c r="J1425">
        <v>1</v>
      </c>
      <c r="K1425" t="str" cm="1">
        <f t="array" ref="K1425">IFERROR(_xlfn.XLOOKUP(D1425&amp;A1425, RBWR!A:A&amp;RBWR!C:C, RBWR!B:B), "N/A")</f>
        <v>N/A</v>
      </c>
      <c r="L1425" t="str" cm="1">
        <f t="array" ref="L1425">IFERROR(_xlfn.XLOOKUP(C1425&amp;A1425, RYOE!A:A&amp;RYOE!F:F, RYOE!C:C), "N/A")</f>
        <v>N/A</v>
      </c>
      <c r="M1425" t="str" cm="1">
        <f t="array" ref="M1425">IFERROR(_xlfn.XLOOKUP(C1425&amp;A1425, RYOE!A:A&amp;RYOE!F:F, RYOE!D:D), "N/A")</f>
        <v>N/A</v>
      </c>
      <c r="N1425" t="str" cm="1">
        <f t="array" ref="N1425">IFERROR(_xlfn.XLOOKUP(C1425&amp;A1425, RYOE!A:A&amp;RYOE!F:F, RYOE!E:E), "N/A")</f>
        <v>N/A</v>
      </c>
    </row>
    <row r="1426" spans="1:14" ht="15" customHeight="1" x14ac:dyDescent="0.45">
      <c r="A1426" s="7">
        <v>2018</v>
      </c>
      <c r="B1426" s="5" t="s">
        <v>785</v>
      </c>
      <c r="C1426" s="1" t="str">
        <f t="shared" si="44"/>
        <v>Tra Carson</v>
      </c>
      <c r="D1426" s="1" t="str">
        <f t="shared" si="45"/>
        <v>GB</v>
      </c>
      <c r="E1426" s="1">
        <v>0</v>
      </c>
      <c r="F1426" s="1">
        <v>0</v>
      </c>
      <c r="G1426" s="1">
        <v>0</v>
      </c>
      <c r="H1426" s="1">
        <v>0</v>
      </c>
      <c r="I1426">
        <v>0</v>
      </c>
      <c r="J1426">
        <v>6</v>
      </c>
      <c r="K1426" t="str" cm="1">
        <f t="array" ref="K1426">IFERROR(_xlfn.XLOOKUP(D1426&amp;A1426, RBWR!A:A&amp;RBWR!C:C, RBWR!B:B), "N/A")</f>
        <v>N/A</v>
      </c>
      <c r="L1426" t="str" cm="1">
        <f t="array" ref="L1426">IFERROR(_xlfn.XLOOKUP(C1426&amp;A1426, RYOE!A:A&amp;RYOE!F:F, RYOE!C:C), "N/A")</f>
        <v>N/A</v>
      </c>
      <c r="M1426" t="str" cm="1">
        <f t="array" ref="M1426">IFERROR(_xlfn.XLOOKUP(C1426&amp;A1426, RYOE!A:A&amp;RYOE!F:F, RYOE!D:D), "N/A")</f>
        <v>N/A</v>
      </c>
      <c r="N1426" t="str" cm="1">
        <f t="array" ref="N1426">IFERROR(_xlfn.XLOOKUP(C1426&amp;A1426, RYOE!A:A&amp;RYOE!F:F, RYOE!E:E), "N/A")</f>
        <v>N/A</v>
      </c>
    </row>
    <row r="1427" spans="1:14" ht="15" customHeight="1" x14ac:dyDescent="0.45">
      <c r="A1427" s="8">
        <v>2018</v>
      </c>
      <c r="B1427" s="6" t="s">
        <v>718</v>
      </c>
      <c r="C1427" s="2" t="str">
        <f t="shared" si="44"/>
        <v>Joe Williams</v>
      </c>
      <c r="D1427" s="2" t="str">
        <f t="shared" si="45"/>
        <v>NO</v>
      </c>
      <c r="E1427" s="2">
        <v>0</v>
      </c>
      <c r="F1427" s="2">
        <v>0</v>
      </c>
      <c r="G1427" s="2">
        <v>0</v>
      </c>
      <c r="H1427" s="2">
        <v>0</v>
      </c>
      <c r="I1427">
        <v>0</v>
      </c>
      <c r="J1427">
        <v>3</v>
      </c>
      <c r="K1427" t="str" cm="1">
        <f t="array" ref="K1427">IFERROR(_xlfn.XLOOKUP(D1427&amp;A1427, RBWR!A:A&amp;RBWR!C:C, RBWR!B:B), "N/A")</f>
        <v>N/A</v>
      </c>
      <c r="L1427" t="str" cm="1">
        <f t="array" ref="L1427">IFERROR(_xlfn.XLOOKUP(C1427&amp;A1427, RYOE!A:A&amp;RYOE!F:F, RYOE!C:C), "N/A")</f>
        <v>N/A</v>
      </c>
      <c r="M1427" t="str" cm="1">
        <f t="array" ref="M1427">IFERROR(_xlfn.XLOOKUP(C1427&amp;A1427, RYOE!A:A&amp;RYOE!F:F, RYOE!D:D), "N/A")</f>
        <v>N/A</v>
      </c>
      <c r="N1427" t="str" cm="1">
        <f t="array" ref="N1427">IFERROR(_xlfn.XLOOKUP(C1427&amp;A1427, RYOE!A:A&amp;RYOE!F:F, RYOE!E:E), "N/A")</f>
        <v>N/A</v>
      </c>
    </row>
    <row r="1428" spans="1:14" ht="15" customHeight="1" x14ac:dyDescent="0.45">
      <c r="A1428" s="7">
        <v>2018</v>
      </c>
      <c r="B1428" s="5" t="s">
        <v>786</v>
      </c>
      <c r="C1428" s="1" t="str">
        <f t="shared" si="44"/>
        <v>Matt Dayes</v>
      </c>
      <c r="D1428" s="1" t="str">
        <f t="shared" si="45"/>
        <v>SF</v>
      </c>
      <c r="E1428" s="1">
        <v>0</v>
      </c>
      <c r="F1428" s="1">
        <v>0</v>
      </c>
      <c r="G1428" s="1">
        <v>0</v>
      </c>
      <c r="H1428" s="1">
        <v>0</v>
      </c>
      <c r="I1428">
        <v>0</v>
      </c>
      <c r="J1428">
        <v>7</v>
      </c>
      <c r="K1428" t="str" cm="1">
        <f t="array" ref="K1428">IFERROR(_xlfn.XLOOKUP(D1428&amp;A1428, RBWR!A:A&amp;RBWR!C:C, RBWR!B:B), "N/A")</f>
        <v>N/A</v>
      </c>
      <c r="L1428" t="str" cm="1">
        <f t="array" ref="L1428">IFERROR(_xlfn.XLOOKUP(C1428&amp;A1428, RYOE!A:A&amp;RYOE!F:F, RYOE!C:C), "N/A")</f>
        <v>N/A</v>
      </c>
      <c r="M1428" t="str" cm="1">
        <f t="array" ref="M1428">IFERROR(_xlfn.XLOOKUP(C1428&amp;A1428, RYOE!A:A&amp;RYOE!F:F, RYOE!D:D), "N/A")</f>
        <v>N/A</v>
      </c>
      <c r="N1428" t="str" cm="1">
        <f t="array" ref="N1428">IFERROR(_xlfn.XLOOKUP(C1428&amp;A1428, RYOE!A:A&amp;RYOE!F:F, RYOE!E:E), "N/A")</f>
        <v>N/A</v>
      </c>
    </row>
    <row r="1429" spans="1:14" ht="15" customHeight="1" x14ac:dyDescent="0.45">
      <c r="A1429" s="8">
        <v>2018</v>
      </c>
      <c r="B1429" s="6" t="s">
        <v>650</v>
      </c>
      <c r="C1429" s="2" t="str">
        <f t="shared" si="44"/>
        <v>Dare Ogunbowale</v>
      </c>
      <c r="D1429" s="2" t="str">
        <f t="shared" si="45"/>
        <v>TB</v>
      </c>
      <c r="E1429" s="2">
        <v>0</v>
      </c>
      <c r="F1429" s="2">
        <v>0</v>
      </c>
      <c r="G1429" s="2">
        <v>0</v>
      </c>
      <c r="H1429" s="2">
        <v>0</v>
      </c>
      <c r="I1429">
        <v>0</v>
      </c>
      <c r="J1429">
        <v>2</v>
      </c>
      <c r="K1429" t="str" cm="1">
        <f t="array" ref="K1429">IFERROR(_xlfn.XLOOKUP(D1429&amp;A1429, RBWR!A:A&amp;RBWR!C:C, RBWR!B:B), "N/A")</f>
        <v>N/A</v>
      </c>
      <c r="L1429" t="str" cm="1">
        <f t="array" ref="L1429">IFERROR(_xlfn.XLOOKUP(C1429&amp;A1429, RYOE!A:A&amp;RYOE!F:F, RYOE!C:C), "N/A")</f>
        <v>N/A</v>
      </c>
      <c r="M1429" t="str" cm="1">
        <f t="array" ref="M1429">IFERROR(_xlfn.XLOOKUP(C1429&amp;A1429, RYOE!A:A&amp;RYOE!F:F, RYOE!D:D), "N/A")</f>
        <v>N/A</v>
      </c>
      <c r="N1429" t="str" cm="1">
        <f t="array" ref="N1429">IFERROR(_xlfn.XLOOKUP(C1429&amp;A1429, RYOE!A:A&amp;RYOE!F:F, RYOE!E:E), "N/A")</f>
        <v>N/A</v>
      </c>
    </row>
    <row r="1430" spans="1:14" ht="15" customHeight="1" x14ac:dyDescent="0.45">
      <c r="A1430" s="7">
        <v>2018</v>
      </c>
      <c r="B1430" s="5" t="s">
        <v>787</v>
      </c>
      <c r="C1430" s="1" t="str">
        <f t="shared" si="44"/>
        <v>Shane Smith</v>
      </c>
      <c r="D1430" s="1" t="str">
        <f t="shared" si="45"/>
        <v>NYG</v>
      </c>
      <c r="E1430" s="1">
        <v>0</v>
      </c>
      <c r="F1430" s="1">
        <v>0</v>
      </c>
      <c r="G1430" s="1">
        <v>0</v>
      </c>
      <c r="H1430" s="1">
        <v>0</v>
      </c>
      <c r="I1430">
        <v>0</v>
      </c>
      <c r="J1430">
        <v>2</v>
      </c>
      <c r="K1430" t="str" cm="1">
        <f t="array" ref="K1430">IFERROR(_xlfn.XLOOKUP(D1430&amp;A1430, RBWR!A:A&amp;RBWR!C:C, RBWR!B:B), "N/A")</f>
        <v>N/A</v>
      </c>
      <c r="L1430" t="str" cm="1">
        <f t="array" ref="L1430">IFERROR(_xlfn.XLOOKUP(C1430&amp;A1430, RYOE!A:A&amp;RYOE!F:F, RYOE!C:C), "N/A")</f>
        <v>N/A</v>
      </c>
      <c r="M1430" t="str" cm="1">
        <f t="array" ref="M1430">IFERROR(_xlfn.XLOOKUP(C1430&amp;A1430, RYOE!A:A&amp;RYOE!F:F, RYOE!D:D), "N/A")</f>
        <v>N/A</v>
      </c>
      <c r="N1430" t="str" cm="1">
        <f t="array" ref="N1430">IFERROR(_xlfn.XLOOKUP(C1430&amp;A1430, RYOE!A:A&amp;RYOE!F:F, RYOE!E:E), "N/A")</f>
        <v>N/A</v>
      </c>
    </row>
    <row r="1431" spans="1:14" ht="15" customHeight="1" x14ac:dyDescent="0.45">
      <c r="A1431" s="8">
        <v>2018</v>
      </c>
      <c r="B1431" s="6" t="s">
        <v>173</v>
      </c>
      <c r="C1431" s="2" t="str">
        <f t="shared" si="44"/>
        <v>Patrick Ricard</v>
      </c>
      <c r="D1431" s="2" t="str">
        <f t="shared" si="45"/>
        <v>BAL</v>
      </c>
      <c r="E1431" s="2">
        <v>0</v>
      </c>
      <c r="F1431" s="2">
        <v>0</v>
      </c>
      <c r="G1431" s="2">
        <v>0</v>
      </c>
      <c r="H1431" s="2">
        <v>0</v>
      </c>
      <c r="I1431">
        <v>0</v>
      </c>
      <c r="J1431">
        <v>10</v>
      </c>
      <c r="K1431" t="str" cm="1">
        <f t="array" ref="K1431">IFERROR(_xlfn.XLOOKUP(D1431&amp;A1431, RBWR!A:A&amp;RBWR!C:C, RBWR!B:B), "N/A")</f>
        <v>N/A</v>
      </c>
      <c r="L1431" t="str" cm="1">
        <f t="array" ref="L1431">IFERROR(_xlfn.XLOOKUP(C1431&amp;A1431, RYOE!A:A&amp;RYOE!F:F, RYOE!C:C), "N/A")</f>
        <v>N/A</v>
      </c>
      <c r="M1431" t="str" cm="1">
        <f t="array" ref="M1431">IFERROR(_xlfn.XLOOKUP(C1431&amp;A1431, RYOE!A:A&amp;RYOE!F:F, RYOE!D:D), "N/A")</f>
        <v>N/A</v>
      </c>
      <c r="N1431" t="str" cm="1">
        <f t="array" ref="N1431">IFERROR(_xlfn.XLOOKUP(C1431&amp;A1431, RYOE!A:A&amp;RYOE!F:F, RYOE!E:E), "N/A")</f>
        <v>N/A</v>
      </c>
    </row>
    <row r="1432" spans="1:14" ht="15" customHeight="1" x14ac:dyDescent="0.45">
      <c r="A1432" s="7">
        <v>2018</v>
      </c>
      <c r="B1432" s="5" t="s">
        <v>536</v>
      </c>
      <c r="C1432" s="1" t="str">
        <f t="shared" si="44"/>
        <v>Trey Edmunds</v>
      </c>
      <c r="D1432" s="1" t="str">
        <f t="shared" si="45"/>
        <v>PIT</v>
      </c>
      <c r="E1432" s="1">
        <v>0</v>
      </c>
      <c r="F1432" s="1">
        <v>0</v>
      </c>
      <c r="G1432" s="1">
        <v>0</v>
      </c>
      <c r="H1432" s="1">
        <v>0</v>
      </c>
      <c r="I1432">
        <v>0</v>
      </c>
      <c r="J1432">
        <v>4</v>
      </c>
      <c r="K1432" t="str" cm="1">
        <f t="array" ref="K1432">IFERROR(_xlfn.XLOOKUP(D1432&amp;A1432, RBWR!A:A&amp;RBWR!C:C, RBWR!B:B), "N/A")</f>
        <v>N/A</v>
      </c>
      <c r="L1432" t="str" cm="1">
        <f t="array" ref="L1432">IFERROR(_xlfn.XLOOKUP(C1432&amp;A1432, RYOE!A:A&amp;RYOE!F:F, RYOE!C:C), "N/A")</f>
        <v>N/A</v>
      </c>
      <c r="M1432" t="str" cm="1">
        <f t="array" ref="M1432">IFERROR(_xlfn.XLOOKUP(C1432&amp;A1432, RYOE!A:A&amp;RYOE!F:F, RYOE!D:D), "N/A")</f>
        <v>N/A</v>
      </c>
      <c r="N1432" t="str" cm="1">
        <f t="array" ref="N1432">IFERROR(_xlfn.XLOOKUP(C1432&amp;A1432, RYOE!A:A&amp;RYOE!F:F, RYOE!E:E), "N/A")</f>
        <v>N/A</v>
      </c>
    </row>
    <row r="1433" spans="1:14" ht="15" customHeight="1" x14ac:dyDescent="0.45">
      <c r="A1433" s="8">
        <v>2018</v>
      </c>
      <c r="B1433" s="6" t="s">
        <v>720</v>
      </c>
      <c r="C1433" s="2" t="str">
        <f t="shared" si="44"/>
        <v>Lavon Coleman</v>
      </c>
      <c r="D1433" s="2" t="str">
        <f t="shared" si="45"/>
        <v>GB</v>
      </c>
      <c r="E1433" s="2">
        <v>0</v>
      </c>
      <c r="F1433" s="2">
        <v>0</v>
      </c>
      <c r="G1433" s="2">
        <v>0</v>
      </c>
      <c r="H1433" s="2">
        <v>0</v>
      </c>
      <c r="I1433">
        <v>0</v>
      </c>
      <c r="J1433">
        <v>1</v>
      </c>
      <c r="K1433" t="str" cm="1">
        <f t="array" ref="K1433">IFERROR(_xlfn.XLOOKUP(D1433&amp;A1433, RBWR!A:A&amp;RBWR!C:C, RBWR!B:B), "N/A")</f>
        <v>N/A</v>
      </c>
      <c r="L1433" t="str" cm="1">
        <f t="array" ref="L1433">IFERROR(_xlfn.XLOOKUP(C1433&amp;A1433, RYOE!A:A&amp;RYOE!F:F, RYOE!C:C), "N/A")</f>
        <v>N/A</v>
      </c>
      <c r="M1433" t="str" cm="1">
        <f t="array" ref="M1433">IFERROR(_xlfn.XLOOKUP(C1433&amp;A1433, RYOE!A:A&amp;RYOE!F:F, RYOE!D:D), "N/A")</f>
        <v>N/A</v>
      </c>
      <c r="N1433" t="str" cm="1">
        <f t="array" ref="N1433">IFERROR(_xlfn.XLOOKUP(C1433&amp;A1433, RYOE!A:A&amp;RYOE!F:F, RYOE!E:E), "N/A")</f>
        <v>N/A</v>
      </c>
    </row>
    <row r="1434" spans="1:14" ht="15" customHeight="1" x14ac:dyDescent="0.45">
      <c r="A1434" s="7">
        <v>2018</v>
      </c>
      <c r="B1434" s="5" t="s">
        <v>788</v>
      </c>
      <c r="C1434" s="1" t="str">
        <f t="shared" si="44"/>
        <v>Godwin Igwebuike</v>
      </c>
      <c r="D1434" s="1" t="str">
        <f t="shared" si="45"/>
        <v>SF</v>
      </c>
      <c r="E1434" s="1">
        <v>0</v>
      </c>
      <c r="F1434" s="1">
        <v>0</v>
      </c>
      <c r="G1434" s="1">
        <v>0</v>
      </c>
      <c r="H1434" s="1">
        <v>0</v>
      </c>
      <c r="I1434">
        <v>0</v>
      </c>
      <c r="J1434">
        <v>6</v>
      </c>
      <c r="K1434" t="str" cm="1">
        <f t="array" ref="K1434">IFERROR(_xlfn.XLOOKUP(D1434&amp;A1434, RBWR!A:A&amp;RBWR!C:C, RBWR!B:B), "N/A")</f>
        <v>N/A</v>
      </c>
      <c r="L1434" t="str" cm="1">
        <f t="array" ref="L1434">IFERROR(_xlfn.XLOOKUP(C1434&amp;A1434, RYOE!A:A&amp;RYOE!F:F, RYOE!C:C), "N/A")</f>
        <v>N/A</v>
      </c>
      <c r="M1434" t="str" cm="1">
        <f t="array" ref="M1434">IFERROR(_xlfn.XLOOKUP(C1434&amp;A1434, RYOE!A:A&amp;RYOE!F:F, RYOE!D:D), "N/A")</f>
        <v>N/A</v>
      </c>
      <c r="N1434" t="str" cm="1">
        <f t="array" ref="N1434">IFERROR(_xlfn.XLOOKUP(C1434&amp;A1434, RYOE!A:A&amp;RYOE!F:F, RYOE!E:E), "N/A")</f>
        <v>N/A</v>
      </c>
    </row>
    <row r="1435" spans="1:14" ht="15" customHeight="1" x14ac:dyDescent="0.45">
      <c r="A1435" s="8">
        <v>2018</v>
      </c>
      <c r="B1435" s="6" t="s">
        <v>789</v>
      </c>
      <c r="C1435" s="2" t="str">
        <f t="shared" si="44"/>
        <v>Jason Cabinda</v>
      </c>
      <c r="D1435" s="2" t="str">
        <f t="shared" si="45"/>
        <v>OAK</v>
      </c>
      <c r="E1435" s="2">
        <v>0</v>
      </c>
      <c r="F1435" s="2">
        <v>0</v>
      </c>
      <c r="G1435" s="2">
        <v>0</v>
      </c>
      <c r="H1435" s="2">
        <v>0</v>
      </c>
      <c r="I1435">
        <v>0</v>
      </c>
      <c r="J1435">
        <v>10</v>
      </c>
      <c r="K1435" t="str" cm="1">
        <f t="array" ref="K1435">IFERROR(_xlfn.XLOOKUP(D1435&amp;A1435, RBWR!A:A&amp;RBWR!C:C, RBWR!B:B), "N/A")</f>
        <v>N/A</v>
      </c>
      <c r="L1435" t="str" cm="1">
        <f t="array" ref="L1435">IFERROR(_xlfn.XLOOKUP(C1435&amp;A1435, RYOE!A:A&amp;RYOE!F:F, RYOE!C:C), "N/A")</f>
        <v>N/A</v>
      </c>
      <c r="M1435" t="str" cm="1">
        <f t="array" ref="M1435">IFERROR(_xlfn.XLOOKUP(C1435&amp;A1435, RYOE!A:A&amp;RYOE!F:F, RYOE!D:D), "N/A")</f>
        <v>N/A</v>
      </c>
      <c r="N1435" t="str" cm="1">
        <f t="array" ref="N1435">IFERROR(_xlfn.XLOOKUP(C1435&amp;A1435, RYOE!A:A&amp;RYOE!F:F, RYOE!E:E), "N/A")</f>
        <v>N/A</v>
      </c>
    </row>
    <row r="1436" spans="1:14" ht="15" customHeight="1" x14ac:dyDescent="0.45">
      <c r="A1436" s="7">
        <v>2018</v>
      </c>
      <c r="B1436" s="5" t="s">
        <v>317</v>
      </c>
      <c r="C1436" s="1" t="str">
        <f t="shared" si="44"/>
        <v>Boston Scott</v>
      </c>
      <c r="D1436" s="1" t="str">
        <f t="shared" si="45"/>
        <v>PHI</v>
      </c>
      <c r="E1436" s="1">
        <v>0</v>
      </c>
      <c r="F1436" s="1">
        <v>0</v>
      </c>
      <c r="G1436" s="1">
        <v>0</v>
      </c>
      <c r="H1436" s="1">
        <v>0</v>
      </c>
      <c r="I1436">
        <v>0</v>
      </c>
      <c r="J1436">
        <v>2</v>
      </c>
      <c r="K1436" t="str" cm="1">
        <f t="array" ref="K1436">IFERROR(_xlfn.XLOOKUP(D1436&amp;A1436, RBWR!A:A&amp;RBWR!C:C, RBWR!B:B), "N/A")</f>
        <v>N/A</v>
      </c>
      <c r="L1436" t="str" cm="1">
        <f t="array" ref="L1436">IFERROR(_xlfn.XLOOKUP(C1436&amp;A1436, RYOE!A:A&amp;RYOE!F:F, RYOE!C:C), "N/A")</f>
        <v>N/A</v>
      </c>
      <c r="M1436" t="str" cm="1">
        <f t="array" ref="M1436">IFERROR(_xlfn.XLOOKUP(C1436&amp;A1436, RYOE!A:A&amp;RYOE!F:F, RYOE!D:D), "N/A")</f>
        <v>N/A</v>
      </c>
      <c r="N1436" t="str" cm="1">
        <f t="array" ref="N1436">IFERROR(_xlfn.XLOOKUP(C1436&amp;A1436, RYOE!A:A&amp;RYOE!F:F, RYOE!E:E), "N/A")</f>
        <v>N/A</v>
      </c>
    </row>
    <row r="1437" spans="1:14" ht="15" customHeight="1" x14ac:dyDescent="0.45">
      <c r="A1437" s="8">
        <v>2018</v>
      </c>
      <c r="B1437" s="6" t="s">
        <v>600</v>
      </c>
      <c r="C1437" s="2" t="str">
        <f t="shared" si="44"/>
        <v>Buddy Howell</v>
      </c>
      <c r="D1437" s="2" t="str">
        <f t="shared" si="45"/>
        <v>HOU</v>
      </c>
      <c r="E1437" s="2">
        <v>0</v>
      </c>
      <c r="F1437" s="2">
        <v>0</v>
      </c>
      <c r="G1437" s="2">
        <v>0</v>
      </c>
      <c r="H1437" s="2">
        <v>0</v>
      </c>
      <c r="I1437">
        <v>0</v>
      </c>
      <c r="J1437">
        <v>15</v>
      </c>
      <c r="K1437" t="str" cm="1">
        <f t="array" ref="K1437">IFERROR(_xlfn.XLOOKUP(D1437&amp;A1437, RBWR!A:A&amp;RBWR!C:C, RBWR!B:B), "N/A")</f>
        <v>N/A</v>
      </c>
      <c r="L1437" t="str" cm="1">
        <f t="array" ref="L1437">IFERROR(_xlfn.XLOOKUP(C1437&amp;A1437, RYOE!A:A&amp;RYOE!F:F, RYOE!C:C), "N/A")</f>
        <v>N/A</v>
      </c>
      <c r="M1437" t="str" cm="1">
        <f t="array" ref="M1437">IFERROR(_xlfn.XLOOKUP(C1437&amp;A1437, RYOE!A:A&amp;RYOE!F:F, RYOE!D:D), "N/A")</f>
        <v>N/A</v>
      </c>
      <c r="N1437" t="str" cm="1">
        <f t="array" ref="N1437">IFERROR(_xlfn.XLOOKUP(C1437&amp;A1437, RYOE!A:A&amp;RYOE!F:F, RYOE!E:E), "N/A")</f>
        <v>N/A</v>
      </c>
    </row>
    <row r="1438" spans="1:14" ht="15" customHeight="1" x14ac:dyDescent="0.45">
      <c r="A1438" s="7">
        <v>2018</v>
      </c>
      <c r="B1438" s="5" t="s">
        <v>724</v>
      </c>
      <c r="C1438" s="1" t="str">
        <f t="shared" si="44"/>
        <v>Donnie Ernsberger</v>
      </c>
      <c r="D1438" s="1" t="str">
        <f t="shared" si="45"/>
        <v>TB</v>
      </c>
      <c r="E1438" s="1">
        <v>0</v>
      </c>
      <c r="F1438" s="1">
        <v>0</v>
      </c>
      <c r="G1438" s="1">
        <v>0</v>
      </c>
      <c r="H1438" s="1">
        <v>0</v>
      </c>
      <c r="I1438">
        <v>0</v>
      </c>
      <c r="J1438">
        <v>2</v>
      </c>
      <c r="K1438" t="str" cm="1">
        <f t="array" ref="K1438">IFERROR(_xlfn.XLOOKUP(D1438&amp;A1438, RBWR!A:A&amp;RBWR!C:C, RBWR!B:B), "N/A")</f>
        <v>N/A</v>
      </c>
      <c r="L1438" t="str" cm="1">
        <f t="array" ref="L1438">IFERROR(_xlfn.XLOOKUP(C1438&amp;A1438, RYOE!A:A&amp;RYOE!F:F, RYOE!C:C), "N/A")</f>
        <v>N/A</v>
      </c>
      <c r="M1438" t="str" cm="1">
        <f t="array" ref="M1438">IFERROR(_xlfn.XLOOKUP(C1438&amp;A1438, RYOE!A:A&amp;RYOE!F:F, RYOE!D:D), "N/A")</f>
        <v>N/A</v>
      </c>
      <c r="N1438" t="str" cm="1">
        <f t="array" ref="N1438">IFERROR(_xlfn.XLOOKUP(C1438&amp;A1438, RYOE!A:A&amp;RYOE!F:F, RYOE!E:E), "N/A")</f>
        <v>N/A</v>
      </c>
    </row>
    <row r="1439" spans="1:14" ht="15" customHeight="1" x14ac:dyDescent="0.45">
      <c r="A1439" s="8">
        <v>2018</v>
      </c>
      <c r="B1439" s="6" t="s">
        <v>679</v>
      </c>
      <c r="C1439" s="2" t="str">
        <f t="shared" si="44"/>
        <v>Dalyn Dawkins</v>
      </c>
      <c r="D1439" s="2" t="str">
        <f t="shared" si="45"/>
        <v>TEN</v>
      </c>
      <c r="E1439" s="2">
        <v>0</v>
      </c>
      <c r="F1439" s="2">
        <v>0</v>
      </c>
      <c r="G1439" s="2">
        <v>0</v>
      </c>
      <c r="H1439" s="2">
        <v>0</v>
      </c>
      <c r="I1439">
        <v>0</v>
      </c>
      <c r="J1439">
        <v>2</v>
      </c>
      <c r="K1439" t="str" cm="1">
        <f t="array" ref="K1439">IFERROR(_xlfn.XLOOKUP(D1439&amp;A1439, RBWR!A:A&amp;RBWR!C:C, RBWR!B:B), "N/A")</f>
        <v>N/A</v>
      </c>
      <c r="L1439" t="str" cm="1">
        <f t="array" ref="L1439">IFERROR(_xlfn.XLOOKUP(C1439&amp;A1439, RYOE!A:A&amp;RYOE!F:F, RYOE!C:C), "N/A")</f>
        <v>N/A</v>
      </c>
      <c r="M1439" t="str" cm="1">
        <f t="array" ref="M1439">IFERROR(_xlfn.XLOOKUP(C1439&amp;A1439, RYOE!A:A&amp;RYOE!F:F, RYOE!D:D), "N/A")</f>
        <v>N/A</v>
      </c>
      <c r="N1439" t="str" cm="1">
        <f t="array" ref="N1439">IFERROR(_xlfn.XLOOKUP(C1439&amp;A1439, RYOE!A:A&amp;RYOE!F:F, RYOE!E:E), "N/A")</f>
        <v>N/A</v>
      </c>
    </row>
    <row r="1440" spans="1:14" ht="15" customHeight="1" x14ac:dyDescent="0.45">
      <c r="A1440" s="7">
        <v>2018</v>
      </c>
      <c r="B1440" s="5" t="s">
        <v>790</v>
      </c>
      <c r="C1440" s="1" t="str">
        <f t="shared" si="44"/>
        <v>De'Angelo Henderson Sr.</v>
      </c>
      <c r="D1440" s="1" t="str">
        <f t="shared" si="45"/>
        <v>NYJ</v>
      </c>
      <c r="E1440" s="1">
        <v>2</v>
      </c>
      <c r="F1440" s="1">
        <v>19</v>
      </c>
      <c r="G1440" s="1">
        <v>9.5</v>
      </c>
      <c r="H1440" s="1">
        <v>0</v>
      </c>
      <c r="I1440">
        <v>1</v>
      </c>
      <c r="J1440">
        <v>3</v>
      </c>
      <c r="K1440" t="str" cm="1">
        <f t="array" ref="K1440">IFERROR(_xlfn.XLOOKUP(D1440&amp;A1440, RBWR!A:A&amp;RBWR!C:C, RBWR!B:B), "N/A")</f>
        <v>N/A</v>
      </c>
      <c r="L1440" t="str" cm="1">
        <f t="array" ref="L1440">IFERROR(_xlfn.XLOOKUP(C1440&amp;A1440, RYOE!A:A&amp;RYOE!F:F, RYOE!C:C), "N/A")</f>
        <v>N/A</v>
      </c>
      <c r="M1440" t="str" cm="1">
        <f t="array" ref="M1440">IFERROR(_xlfn.XLOOKUP(C1440&amp;A1440, RYOE!A:A&amp;RYOE!F:F, RYOE!D:D), "N/A")</f>
        <v>N/A</v>
      </c>
      <c r="N1440" t="str" cm="1">
        <f t="array" ref="N1440">IFERROR(_xlfn.XLOOKUP(C1440&amp;A1440, RYOE!A:A&amp;RYOE!F:F, RYOE!E:E), "N/A")</f>
        <v>N/A</v>
      </c>
    </row>
    <row r="1441" spans="1:14" ht="15" customHeight="1" x14ac:dyDescent="0.45">
      <c r="A1441" s="8">
        <v>2018</v>
      </c>
      <c r="B1441" s="6" t="s">
        <v>791</v>
      </c>
      <c r="C1441" s="2" t="str">
        <f t="shared" si="44"/>
        <v>Robert Turbin</v>
      </c>
      <c r="D1441" s="2" t="str">
        <f t="shared" si="45"/>
        <v>IND</v>
      </c>
      <c r="E1441" s="2">
        <v>4</v>
      </c>
      <c r="F1441" s="2">
        <v>10</v>
      </c>
      <c r="G1441" s="2">
        <v>2.5</v>
      </c>
      <c r="H1441" s="2">
        <v>0</v>
      </c>
      <c r="I1441">
        <v>1</v>
      </c>
      <c r="J1441">
        <v>2</v>
      </c>
      <c r="K1441" t="str" cm="1">
        <f t="array" ref="K1441">IFERROR(_xlfn.XLOOKUP(D1441&amp;A1441, RBWR!A:A&amp;RBWR!C:C, RBWR!B:B), "N/A")</f>
        <v>N/A</v>
      </c>
      <c r="L1441" t="str" cm="1">
        <f t="array" ref="L1441">IFERROR(_xlfn.XLOOKUP(C1441&amp;A1441, RYOE!A:A&amp;RYOE!F:F, RYOE!C:C), "N/A")</f>
        <v>N/A</v>
      </c>
      <c r="M1441" t="str" cm="1">
        <f t="array" ref="M1441">IFERROR(_xlfn.XLOOKUP(C1441&amp;A1441, RYOE!A:A&amp;RYOE!F:F, RYOE!D:D), "N/A")</f>
        <v>N/A</v>
      </c>
      <c r="N1441" t="str" cm="1">
        <f t="array" ref="N1441">IFERROR(_xlfn.XLOOKUP(C1441&amp;A1441, RYOE!A:A&amp;RYOE!F:F, RYOE!E:E), "N/A")</f>
        <v>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D531-DD13-47A4-9106-73871A84B071}">
  <dimension ref="A1:F406"/>
  <sheetViews>
    <sheetView workbookViewId="0">
      <selection activeCell="A2" sqref="A2"/>
    </sheetView>
  </sheetViews>
  <sheetFormatPr defaultRowHeight="14.25" x14ac:dyDescent="0.45"/>
  <cols>
    <col min="1" max="1" width="19.6640625" customWidth="1"/>
  </cols>
  <sheetData>
    <row r="1" spans="1:6" x14ac:dyDescent="0.45">
      <c r="A1" t="s">
        <v>1</v>
      </c>
      <c r="B1" t="s">
        <v>2</v>
      </c>
      <c r="C1" t="s">
        <v>804</v>
      </c>
      <c r="D1" t="s">
        <v>805</v>
      </c>
      <c r="E1" t="s">
        <v>806</v>
      </c>
      <c r="F1" t="s">
        <v>0</v>
      </c>
    </row>
    <row r="2" spans="1:6" x14ac:dyDescent="0.45">
      <c r="A2" s="11" t="s">
        <v>807</v>
      </c>
      <c r="B2" s="12" t="s">
        <v>26</v>
      </c>
      <c r="C2" s="12">
        <v>128</v>
      </c>
      <c r="D2" s="12">
        <v>0.57999999999999996</v>
      </c>
      <c r="E2" s="12">
        <v>48.6</v>
      </c>
      <c r="F2" s="13">
        <v>2025</v>
      </c>
    </row>
    <row r="3" spans="1:6" x14ac:dyDescent="0.45">
      <c r="A3" s="11" t="s">
        <v>938</v>
      </c>
      <c r="B3" s="14" t="s">
        <v>24</v>
      </c>
      <c r="C3" s="14">
        <v>358</v>
      </c>
      <c r="D3" s="14">
        <v>1.17</v>
      </c>
      <c r="E3" s="14">
        <v>46.9</v>
      </c>
      <c r="F3" s="13">
        <v>2025</v>
      </c>
    </row>
    <row r="4" spans="1:6" x14ac:dyDescent="0.45">
      <c r="A4" s="11" t="s">
        <v>808</v>
      </c>
      <c r="B4" s="12" t="s">
        <v>10</v>
      </c>
      <c r="C4" s="12">
        <v>43</v>
      </c>
      <c r="D4" s="12">
        <v>0.43</v>
      </c>
      <c r="E4" s="12">
        <v>46</v>
      </c>
      <c r="F4" s="13">
        <v>2025</v>
      </c>
    </row>
    <row r="5" spans="1:6" x14ac:dyDescent="0.45">
      <c r="A5" s="11" t="s">
        <v>945</v>
      </c>
      <c r="B5" s="14" t="s">
        <v>7</v>
      </c>
      <c r="C5" s="14">
        <v>78</v>
      </c>
      <c r="D5" s="14">
        <v>0.7</v>
      </c>
      <c r="E5" s="14">
        <v>45.5</v>
      </c>
      <c r="F5" s="13">
        <v>2025</v>
      </c>
    </row>
    <row r="6" spans="1:6" x14ac:dyDescent="0.45">
      <c r="A6" s="11" t="s">
        <v>809</v>
      </c>
      <c r="B6" s="12" t="s">
        <v>19</v>
      </c>
      <c r="C6" s="12">
        <v>145</v>
      </c>
      <c r="D6" s="12">
        <v>0.56999999999999995</v>
      </c>
      <c r="E6" s="12">
        <v>45.5</v>
      </c>
      <c r="F6" s="13">
        <v>2025</v>
      </c>
    </row>
    <row r="7" spans="1:6" x14ac:dyDescent="0.45">
      <c r="A7" s="11" t="s">
        <v>810</v>
      </c>
      <c r="B7" s="14" t="s">
        <v>23</v>
      </c>
      <c r="C7" s="14">
        <v>78</v>
      </c>
      <c r="D7" s="14">
        <v>0.34</v>
      </c>
      <c r="E7" s="14">
        <v>45.3</v>
      </c>
      <c r="F7" s="13">
        <v>2025</v>
      </c>
    </row>
    <row r="8" spans="1:6" x14ac:dyDescent="0.45">
      <c r="A8" s="11" t="s">
        <v>811</v>
      </c>
      <c r="B8" s="12" t="s">
        <v>15</v>
      </c>
      <c r="C8" s="12">
        <v>82</v>
      </c>
      <c r="D8" s="12">
        <v>0.66</v>
      </c>
      <c r="E8" s="12">
        <v>45.2</v>
      </c>
      <c r="F8" s="13">
        <v>2025</v>
      </c>
    </row>
    <row r="9" spans="1:6" x14ac:dyDescent="0.45">
      <c r="A9" s="11" t="s">
        <v>812</v>
      </c>
      <c r="B9" s="14" t="s">
        <v>25</v>
      </c>
      <c r="C9" s="14">
        <v>156</v>
      </c>
      <c r="D9" s="14">
        <v>0.62</v>
      </c>
      <c r="E9" s="14">
        <v>45</v>
      </c>
      <c r="F9" s="13">
        <v>2025</v>
      </c>
    </row>
    <row r="10" spans="1:6" x14ac:dyDescent="0.45">
      <c r="A10" s="11" t="s">
        <v>813</v>
      </c>
      <c r="B10" s="12" t="s">
        <v>14</v>
      </c>
      <c r="C10" s="12">
        <v>161</v>
      </c>
      <c r="D10" s="12">
        <v>1.08</v>
      </c>
      <c r="E10" s="12">
        <v>45</v>
      </c>
      <c r="F10" s="13">
        <v>2025</v>
      </c>
    </row>
    <row r="11" spans="1:6" x14ac:dyDescent="0.45">
      <c r="A11" s="11" t="s">
        <v>814</v>
      </c>
      <c r="B11" s="14" t="s">
        <v>797</v>
      </c>
      <c r="C11" s="14">
        <v>176</v>
      </c>
      <c r="D11" s="14">
        <v>1.36</v>
      </c>
      <c r="E11" s="14">
        <v>45</v>
      </c>
      <c r="F11" s="13">
        <v>2025</v>
      </c>
    </row>
    <row r="12" spans="1:6" x14ac:dyDescent="0.45">
      <c r="A12" s="11" t="s">
        <v>815</v>
      </c>
      <c r="B12" s="12" t="s">
        <v>795</v>
      </c>
      <c r="C12" s="12">
        <v>18</v>
      </c>
      <c r="D12" s="12">
        <v>0.11</v>
      </c>
      <c r="E12" s="12">
        <v>44.7</v>
      </c>
      <c r="F12" s="13">
        <v>2025</v>
      </c>
    </row>
    <row r="13" spans="1:6" x14ac:dyDescent="0.45">
      <c r="A13" s="11" t="s">
        <v>816</v>
      </c>
      <c r="B13" s="14" t="s">
        <v>16</v>
      </c>
      <c r="C13" s="14">
        <v>181</v>
      </c>
      <c r="D13" s="14">
        <v>0.86</v>
      </c>
      <c r="E13" s="14">
        <v>44.5</v>
      </c>
      <c r="F13" s="13">
        <v>2025</v>
      </c>
    </row>
    <row r="14" spans="1:6" x14ac:dyDescent="0.45">
      <c r="A14" s="11" t="s">
        <v>817</v>
      </c>
      <c r="B14" s="12" t="s">
        <v>17</v>
      </c>
      <c r="C14" s="12">
        <v>257</v>
      </c>
      <c r="D14" s="12">
        <v>0.91</v>
      </c>
      <c r="E14" s="12">
        <v>44.2</v>
      </c>
      <c r="F14" s="13">
        <v>2025</v>
      </c>
    </row>
    <row r="15" spans="1:6" x14ac:dyDescent="0.45">
      <c r="A15" s="11" t="s">
        <v>818</v>
      </c>
      <c r="B15" s="14" t="s">
        <v>3</v>
      </c>
      <c r="C15" s="14">
        <v>158</v>
      </c>
      <c r="D15" s="14">
        <v>1.02</v>
      </c>
      <c r="E15" s="14">
        <v>43.9</v>
      </c>
      <c r="F15" s="13">
        <v>2025</v>
      </c>
    </row>
    <row r="16" spans="1:6" x14ac:dyDescent="0.45">
      <c r="A16" s="11" t="s">
        <v>819</v>
      </c>
      <c r="B16" s="12" t="s">
        <v>19</v>
      </c>
      <c r="C16" s="12">
        <v>123</v>
      </c>
      <c r="D16" s="12">
        <v>0.85</v>
      </c>
      <c r="E16" s="12">
        <v>43.8</v>
      </c>
      <c r="F16" s="13">
        <v>2025</v>
      </c>
    </row>
    <row r="17" spans="1:6" x14ac:dyDescent="0.45">
      <c r="A17" s="11" t="s">
        <v>820</v>
      </c>
      <c r="B17" s="14" t="s">
        <v>13</v>
      </c>
      <c r="C17" s="14">
        <v>146</v>
      </c>
      <c r="D17" s="14">
        <v>0.63</v>
      </c>
      <c r="E17" s="14">
        <v>43.5</v>
      </c>
      <c r="F17" s="13">
        <v>2025</v>
      </c>
    </row>
    <row r="18" spans="1:6" x14ac:dyDescent="0.45">
      <c r="A18" s="11" t="s">
        <v>944</v>
      </c>
      <c r="B18" s="12" t="s">
        <v>16</v>
      </c>
      <c r="C18" s="12">
        <v>63</v>
      </c>
      <c r="D18" s="12">
        <v>0.57999999999999996</v>
      </c>
      <c r="E18" s="12">
        <v>42.6</v>
      </c>
      <c r="F18" s="13">
        <v>2025</v>
      </c>
    </row>
    <row r="19" spans="1:6" x14ac:dyDescent="0.45">
      <c r="A19" s="11" t="s">
        <v>821</v>
      </c>
      <c r="B19" s="14" t="s">
        <v>18</v>
      </c>
      <c r="C19" s="14">
        <v>142</v>
      </c>
      <c r="D19" s="14">
        <v>0.59</v>
      </c>
      <c r="E19" s="14">
        <v>42.1</v>
      </c>
      <c r="F19" s="13">
        <v>2025</v>
      </c>
    </row>
    <row r="20" spans="1:6" x14ac:dyDescent="0.45">
      <c r="A20" s="11" t="s">
        <v>822</v>
      </c>
      <c r="B20" s="12" t="s">
        <v>9</v>
      </c>
      <c r="C20" s="12">
        <v>338</v>
      </c>
      <c r="D20" s="12">
        <v>1.1100000000000001</v>
      </c>
      <c r="E20" s="12">
        <v>42.1</v>
      </c>
      <c r="F20" s="13">
        <v>2025</v>
      </c>
    </row>
    <row r="21" spans="1:6" x14ac:dyDescent="0.45">
      <c r="A21" s="11" t="s">
        <v>823</v>
      </c>
      <c r="B21" s="14" t="s">
        <v>5</v>
      </c>
      <c r="C21" s="14">
        <v>59</v>
      </c>
      <c r="D21" s="14">
        <v>0.33</v>
      </c>
      <c r="E21" s="14">
        <v>41.3</v>
      </c>
      <c r="F21" s="13">
        <v>2025</v>
      </c>
    </row>
    <row r="22" spans="1:6" x14ac:dyDescent="0.45">
      <c r="A22" s="11" t="s">
        <v>824</v>
      </c>
      <c r="B22" s="12" t="s">
        <v>26</v>
      </c>
      <c r="C22" s="12">
        <v>47</v>
      </c>
      <c r="D22" s="12">
        <v>0.28999999999999998</v>
      </c>
      <c r="E22" s="12">
        <v>40.9</v>
      </c>
      <c r="F22" s="13">
        <v>2025</v>
      </c>
    </row>
    <row r="23" spans="1:6" x14ac:dyDescent="0.45">
      <c r="A23" s="11" t="s">
        <v>825</v>
      </c>
      <c r="B23" s="14" t="s">
        <v>17</v>
      </c>
      <c r="C23" s="14">
        <v>-25</v>
      </c>
      <c r="D23" s="14">
        <v>-0.18</v>
      </c>
      <c r="E23" s="14">
        <v>40.799999999999997</v>
      </c>
      <c r="F23" s="13">
        <v>2025</v>
      </c>
    </row>
    <row r="24" spans="1:6" x14ac:dyDescent="0.45">
      <c r="A24" s="11" t="s">
        <v>826</v>
      </c>
      <c r="B24" s="12" t="s">
        <v>793</v>
      </c>
      <c r="C24" s="12">
        <v>-7</v>
      </c>
      <c r="D24" s="12">
        <v>-0.03</v>
      </c>
      <c r="E24" s="12">
        <v>40.299999999999997</v>
      </c>
      <c r="F24" s="13">
        <v>2025</v>
      </c>
    </row>
    <row r="25" spans="1:6" x14ac:dyDescent="0.45">
      <c r="A25" s="11" t="s">
        <v>827</v>
      </c>
      <c r="B25" s="14" t="s">
        <v>4</v>
      </c>
      <c r="C25" s="14">
        <v>113</v>
      </c>
      <c r="D25" s="14">
        <v>0.47</v>
      </c>
      <c r="E25" s="14">
        <v>40.200000000000003</v>
      </c>
      <c r="F25" s="13">
        <v>2025</v>
      </c>
    </row>
    <row r="26" spans="1:6" x14ac:dyDescent="0.45">
      <c r="A26" s="11" t="s">
        <v>828</v>
      </c>
      <c r="B26" s="12" t="s">
        <v>21</v>
      </c>
      <c r="C26" s="12">
        <v>31</v>
      </c>
      <c r="D26" s="12">
        <v>0.16</v>
      </c>
      <c r="E26" s="12">
        <v>40.1</v>
      </c>
      <c r="F26" s="13">
        <v>2025</v>
      </c>
    </row>
    <row r="27" spans="1:6" x14ac:dyDescent="0.45">
      <c r="A27" s="11" t="s">
        <v>829</v>
      </c>
      <c r="B27" s="14" t="s">
        <v>797</v>
      </c>
      <c r="C27" s="14">
        <v>149</v>
      </c>
      <c r="D27" s="14">
        <v>0.85</v>
      </c>
      <c r="E27" s="14">
        <v>39.799999999999997</v>
      </c>
      <c r="F27" s="13">
        <v>2025</v>
      </c>
    </row>
    <row r="28" spans="1:6" x14ac:dyDescent="0.45">
      <c r="A28" s="11" t="s">
        <v>830</v>
      </c>
      <c r="B28" s="12" t="s">
        <v>21</v>
      </c>
      <c r="C28" s="12">
        <v>64</v>
      </c>
      <c r="D28" s="12">
        <v>0.54</v>
      </c>
      <c r="E28" s="12">
        <v>39.200000000000003</v>
      </c>
      <c r="F28" s="13">
        <v>2025</v>
      </c>
    </row>
    <row r="29" spans="1:6" x14ac:dyDescent="0.45">
      <c r="A29" s="11" t="s">
        <v>941</v>
      </c>
      <c r="B29" s="14" t="s">
        <v>10</v>
      </c>
      <c r="C29" s="14">
        <v>15</v>
      </c>
      <c r="D29" s="14">
        <v>0.09</v>
      </c>
      <c r="E29" s="14">
        <v>38.799999999999997</v>
      </c>
      <c r="F29" s="13">
        <v>2025</v>
      </c>
    </row>
    <row r="30" spans="1:6" x14ac:dyDescent="0.45">
      <c r="A30" s="11" t="s">
        <v>831</v>
      </c>
      <c r="B30" s="12" t="s">
        <v>795</v>
      </c>
      <c r="C30" s="12">
        <v>-48</v>
      </c>
      <c r="D30" s="12">
        <v>-0.41</v>
      </c>
      <c r="E30" s="12">
        <v>38.799999999999997</v>
      </c>
      <c r="F30" s="13">
        <v>2025</v>
      </c>
    </row>
    <row r="31" spans="1:6" x14ac:dyDescent="0.45">
      <c r="A31" s="11" t="s">
        <v>832</v>
      </c>
      <c r="B31" s="14" t="s">
        <v>13</v>
      </c>
      <c r="C31" s="14">
        <v>-39</v>
      </c>
      <c r="D31" s="14">
        <v>-0.3</v>
      </c>
      <c r="E31" s="14">
        <v>38.6</v>
      </c>
      <c r="F31" s="13">
        <v>2025</v>
      </c>
    </row>
    <row r="32" spans="1:6" x14ac:dyDescent="0.45">
      <c r="A32" s="11" t="s">
        <v>833</v>
      </c>
      <c r="B32" s="12" t="s">
        <v>22</v>
      </c>
      <c r="C32" s="12">
        <v>69</v>
      </c>
      <c r="D32" s="12">
        <v>0.3</v>
      </c>
      <c r="E32" s="12">
        <v>38.5</v>
      </c>
      <c r="F32" s="13">
        <v>2025</v>
      </c>
    </row>
    <row r="33" spans="1:6" x14ac:dyDescent="0.45">
      <c r="A33" s="11" t="s">
        <v>946</v>
      </c>
      <c r="B33" s="14" t="s">
        <v>799</v>
      </c>
      <c r="C33" s="14">
        <v>-6</v>
      </c>
      <c r="D33" s="14">
        <v>-0.06</v>
      </c>
      <c r="E33" s="14">
        <v>38.5</v>
      </c>
      <c r="F33" s="13">
        <v>2025</v>
      </c>
    </row>
    <row r="34" spans="1:6" x14ac:dyDescent="0.45">
      <c r="A34" s="11" t="s">
        <v>834</v>
      </c>
      <c r="B34" s="12" t="s">
        <v>793</v>
      </c>
      <c r="C34" s="12">
        <v>-27</v>
      </c>
      <c r="D34" s="12">
        <v>-0.21</v>
      </c>
      <c r="E34" s="12">
        <v>38.4</v>
      </c>
      <c r="F34" s="13">
        <v>2025</v>
      </c>
    </row>
    <row r="35" spans="1:6" x14ac:dyDescent="0.45">
      <c r="A35" s="11" t="s">
        <v>835</v>
      </c>
      <c r="B35" s="14" t="s">
        <v>7</v>
      </c>
      <c r="C35" s="14">
        <v>138</v>
      </c>
      <c r="D35" s="14">
        <v>0.79</v>
      </c>
      <c r="E35" s="14">
        <v>38.299999999999997</v>
      </c>
      <c r="F35" s="13">
        <v>2025</v>
      </c>
    </row>
    <row r="36" spans="1:6" x14ac:dyDescent="0.45">
      <c r="A36" s="11" t="s">
        <v>836</v>
      </c>
      <c r="B36" s="12" t="s">
        <v>8</v>
      </c>
      <c r="C36" s="12">
        <v>76</v>
      </c>
      <c r="D36" s="12">
        <v>0.28000000000000003</v>
      </c>
      <c r="E36" s="12">
        <v>38.200000000000003</v>
      </c>
      <c r="F36" s="13">
        <v>2025</v>
      </c>
    </row>
    <row r="37" spans="1:6" x14ac:dyDescent="0.45">
      <c r="A37" s="11" t="s">
        <v>939</v>
      </c>
      <c r="B37" s="14" t="s">
        <v>20</v>
      </c>
      <c r="C37" s="14">
        <v>242</v>
      </c>
      <c r="D37" s="14">
        <v>1.03</v>
      </c>
      <c r="E37" s="14">
        <v>37.9</v>
      </c>
      <c r="F37" s="13">
        <v>2025</v>
      </c>
    </row>
    <row r="38" spans="1:6" x14ac:dyDescent="0.45">
      <c r="A38" s="11" t="s">
        <v>940</v>
      </c>
      <c r="B38" s="12" t="s">
        <v>837</v>
      </c>
      <c r="C38" s="12">
        <v>44</v>
      </c>
      <c r="D38" s="12">
        <v>0.17</v>
      </c>
      <c r="E38" s="12">
        <v>37.799999999999997</v>
      </c>
      <c r="F38" s="13">
        <v>2025</v>
      </c>
    </row>
    <row r="39" spans="1:6" x14ac:dyDescent="0.45">
      <c r="A39" s="11" t="s">
        <v>838</v>
      </c>
      <c r="B39" s="14" t="s">
        <v>6</v>
      </c>
      <c r="C39" s="14">
        <v>125</v>
      </c>
      <c r="D39" s="14">
        <v>0.8</v>
      </c>
      <c r="E39" s="14">
        <v>37.6</v>
      </c>
      <c r="F39" s="13">
        <v>2025</v>
      </c>
    </row>
    <row r="40" spans="1:6" x14ac:dyDescent="0.45">
      <c r="A40" s="11" t="s">
        <v>839</v>
      </c>
      <c r="B40" s="12" t="s">
        <v>12</v>
      </c>
      <c r="C40" s="12">
        <v>195</v>
      </c>
      <c r="D40" s="12">
        <v>0.61</v>
      </c>
      <c r="E40" s="12">
        <v>37.4</v>
      </c>
      <c r="F40" s="13">
        <v>2025</v>
      </c>
    </row>
    <row r="41" spans="1:6" x14ac:dyDescent="0.45">
      <c r="A41" s="11" t="s">
        <v>840</v>
      </c>
      <c r="B41" s="14" t="s">
        <v>5</v>
      </c>
      <c r="C41" s="14">
        <v>39</v>
      </c>
      <c r="D41" s="14">
        <v>0.18</v>
      </c>
      <c r="E41" s="14">
        <v>37.4</v>
      </c>
      <c r="F41" s="13">
        <v>2025</v>
      </c>
    </row>
    <row r="42" spans="1:6" x14ac:dyDescent="0.45">
      <c r="A42" s="11" t="s">
        <v>841</v>
      </c>
      <c r="B42" s="12" t="s">
        <v>10</v>
      </c>
      <c r="C42" s="12">
        <v>-21</v>
      </c>
      <c r="D42" s="12">
        <v>-0.18</v>
      </c>
      <c r="E42" s="12">
        <v>37.299999999999997</v>
      </c>
      <c r="F42" s="13">
        <v>2025</v>
      </c>
    </row>
    <row r="43" spans="1:6" x14ac:dyDescent="0.45">
      <c r="A43" s="11" t="s">
        <v>842</v>
      </c>
      <c r="B43" s="14" t="s">
        <v>800</v>
      </c>
      <c r="C43" s="14">
        <v>-126</v>
      </c>
      <c r="D43" s="14">
        <v>-0.74</v>
      </c>
      <c r="E43" s="14">
        <v>37.1</v>
      </c>
      <c r="F43" s="13">
        <v>2025</v>
      </c>
    </row>
    <row r="44" spans="1:6" x14ac:dyDescent="0.45">
      <c r="A44" s="11" t="s">
        <v>843</v>
      </c>
      <c r="B44" s="12" t="s">
        <v>6</v>
      </c>
      <c r="C44" s="12">
        <v>167</v>
      </c>
      <c r="D44" s="12">
        <v>0.7</v>
      </c>
      <c r="E44" s="12">
        <v>36.299999999999997</v>
      </c>
      <c r="F44" s="13">
        <v>2025</v>
      </c>
    </row>
    <row r="45" spans="1:6" x14ac:dyDescent="0.45">
      <c r="A45" s="11" t="s">
        <v>844</v>
      </c>
      <c r="B45" s="14" t="s">
        <v>15</v>
      </c>
      <c r="C45" s="14">
        <v>75</v>
      </c>
      <c r="D45" s="14">
        <v>0.5</v>
      </c>
      <c r="E45" s="14">
        <v>36</v>
      </c>
      <c r="F45" s="13">
        <v>2025</v>
      </c>
    </row>
    <row r="46" spans="1:6" x14ac:dyDescent="0.45">
      <c r="A46" s="11" t="s">
        <v>942</v>
      </c>
      <c r="B46" s="12" t="s">
        <v>3</v>
      </c>
      <c r="C46" s="12">
        <v>-15</v>
      </c>
      <c r="D46" s="12">
        <v>-0.12</v>
      </c>
      <c r="E46" s="12">
        <v>35.700000000000003</v>
      </c>
      <c r="F46" s="13">
        <v>2025</v>
      </c>
    </row>
    <row r="47" spans="1:6" x14ac:dyDescent="0.45">
      <c r="A47" s="11" t="s">
        <v>845</v>
      </c>
      <c r="B47" s="14" t="s">
        <v>800</v>
      </c>
      <c r="C47" s="14">
        <v>-28</v>
      </c>
      <c r="D47" s="14">
        <v>-0.22</v>
      </c>
      <c r="E47" s="14">
        <v>35.4</v>
      </c>
      <c r="F47" s="13">
        <v>2025</v>
      </c>
    </row>
    <row r="48" spans="1:6" x14ac:dyDescent="0.45">
      <c r="A48" s="11" t="s">
        <v>846</v>
      </c>
      <c r="B48" s="12" t="s">
        <v>796</v>
      </c>
      <c r="C48" s="12">
        <v>-51</v>
      </c>
      <c r="D48" s="12">
        <v>-0.19</v>
      </c>
      <c r="E48" s="12">
        <v>34.9</v>
      </c>
      <c r="F48" s="13">
        <v>2025</v>
      </c>
    </row>
    <row r="49" spans="1:6" x14ac:dyDescent="0.45">
      <c r="A49" s="11" t="s">
        <v>847</v>
      </c>
      <c r="B49" s="14" t="s">
        <v>799</v>
      </c>
      <c r="C49" s="14">
        <v>-166</v>
      </c>
      <c r="D49" s="14">
        <v>-0.54</v>
      </c>
      <c r="E49" s="14">
        <v>34.4</v>
      </c>
      <c r="F49" s="13">
        <v>2025</v>
      </c>
    </row>
    <row r="50" spans="1:6" x14ac:dyDescent="0.45">
      <c r="A50" s="11" t="s">
        <v>943</v>
      </c>
      <c r="B50" s="12" t="s">
        <v>14</v>
      </c>
      <c r="C50" s="12">
        <v>-91</v>
      </c>
      <c r="D50" s="12">
        <v>-0.64</v>
      </c>
      <c r="E50" s="12">
        <v>31.2</v>
      </c>
      <c r="F50" s="13">
        <v>2025</v>
      </c>
    </row>
    <row r="51" spans="1:6" x14ac:dyDescent="0.45">
      <c r="A51" s="11" t="s">
        <v>848</v>
      </c>
      <c r="B51" s="14" t="s">
        <v>798</v>
      </c>
      <c r="C51" s="14">
        <v>-95</v>
      </c>
      <c r="D51" s="14">
        <v>-0.73</v>
      </c>
      <c r="E51" s="14">
        <v>30</v>
      </c>
      <c r="F51" s="13">
        <v>2025</v>
      </c>
    </row>
    <row r="52" spans="1:6" x14ac:dyDescent="0.45">
      <c r="A52" s="11" t="s">
        <v>849</v>
      </c>
      <c r="B52" s="15" t="s">
        <v>850</v>
      </c>
      <c r="C52" s="15">
        <v>-68</v>
      </c>
      <c r="D52" s="15">
        <v>-0.76</v>
      </c>
      <c r="E52" s="15">
        <v>28.9</v>
      </c>
      <c r="F52" s="13">
        <v>2025</v>
      </c>
    </row>
    <row r="53" spans="1:6" x14ac:dyDescent="0.45">
      <c r="A53" s="16" t="s">
        <v>836</v>
      </c>
      <c r="B53" s="12" t="s">
        <v>8</v>
      </c>
      <c r="C53" s="12">
        <v>546</v>
      </c>
      <c r="D53" s="12">
        <v>1.61</v>
      </c>
      <c r="E53" s="12">
        <v>44</v>
      </c>
      <c r="F53" s="13">
        <v>2024</v>
      </c>
    </row>
    <row r="54" spans="1:6" x14ac:dyDescent="0.45">
      <c r="A54" s="17" t="s">
        <v>822</v>
      </c>
      <c r="B54" s="14" t="s">
        <v>9</v>
      </c>
      <c r="C54" s="14">
        <v>562</v>
      </c>
      <c r="D54" s="14">
        <v>1.77</v>
      </c>
      <c r="E54" s="14">
        <v>46.9</v>
      </c>
      <c r="F54" s="13">
        <v>2024</v>
      </c>
    </row>
    <row r="55" spans="1:6" x14ac:dyDescent="0.45">
      <c r="A55" s="16" t="s">
        <v>817</v>
      </c>
      <c r="B55" s="12" t="s">
        <v>17</v>
      </c>
      <c r="C55" s="12">
        <v>199</v>
      </c>
      <c r="D55" s="12">
        <v>0.68</v>
      </c>
      <c r="E55" s="12">
        <v>48.3</v>
      </c>
      <c r="F55" s="13">
        <v>2024</v>
      </c>
    </row>
    <row r="56" spans="1:6" x14ac:dyDescent="0.45">
      <c r="A56" s="17" t="s">
        <v>839</v>
      </c>
      <c r="B56" s="14" t="s">
        <v>12</v>
      </c>
      <c r="C56" s="14">
        <v>194</v>
      </c>
      <c r="D56" s="14">
        <v>0.65</v>
      </c>
      <c r="E56" s="14">
        <v>39</v>
      </c>
      <c r="F56" s="13">
        <v>2024</v>
      </c>
    </row>
    <row r="57" spans="1:6" x14ac:dyDescent="0.45">
      <c r="A57" s="16" t="s">
        <v>843</v>
      </c>
      <c r="B57" s="12" t="s">
        <v>6</v>
      </c>
      <c r="C57" s="12">
        <v>218</v>
      </c>
      <c r="D57" s="12">
        <v>0.88</v>
      </c>
      <c r="E57" s="12">
        <v>39.799999999999997</v>
      </c>
      <c r="F57" s="13">
        <v>2024</v>
      </c>
    </row>
    <row r="58" spans="1:6" x14ac:dyDescent="0.45">
      <c r="A58" s="17" t="s">
        <v>826</v>
      </c>
      <c r="B58" s="14" t="s">
        <v>793</v>
      </c>
      <c r="C58" s="14">
        <v>217</v>
      </c>
      <c r="D58" s="14">
        <v>0.73</v>
      </c>
      <c r="E58" s="14">
        <v>48.8</v>
      </c>
      <c r="F58" s="13">
        <v>2024</v>
      </c>
    </row>
    <row r="59" spans="1:6" x14ac:dyDescent="0.45">
      <c r="A59" s="16" t="s">
        <v>809</v>
      </c>
      <c r="B59" s="12" t="s">
        <v>19</v>
      </c>
      <c r="C59" s="12">
        <v>0</v>
      </c>
      <c r="D59" s="12">
        <v>0</v>
      </c>
      <c r="E59" s="12">
        <v>39</v>
      </c>
      <c r="F59" s="13">
        <v>2024</v>
      </c>
    </row>
    <row r="60" spans="1:6" x14ac:dyDescent="0.45">
      <c r="A60" s="17" t="s">
        <v>832</v>
      </c>
      <c r="B60" s="14" t="s">
        <v>13</v>
      </c>
      <c r="C60" s="14">
        <v>270</v>
      </c>
      <c r="D60" s="14">
        <v>1.1100000000000001</v>
      </c>
      <c r="E60" s="14">
        <v>51</v>
      </c>
      <c r="F60" s="13">
        <v>2024</v>
      </c>
    </row>
    <row r="61" spans="1:6" x14ac:dyDescent="0.45">
      <c r="A61" s="16" t="s">
        <v>942</v>
      </c>
      <c r="B61" s="12" t="s">
        <v>3</v>
      </c>
      <c r="C61" s="12">
        <v>42</v>
      </c>
      <c r="D61" s="12">
        <v>0.17</v>
      </c>
      <c r="E61" s="12">
        <v>40.6</v>
      </c>
      <c r="F61" s="13">
        <v>2024</v>
      </c>
    </row>
    <row r="62" spans="1:6" x14ac:dyDescent="0.45">
      <c r="A62" s="17" t="s">
        <v>842</v>
      </c>
      <c r="B62" s="14" t="s">
        <v>800</v>
      </c>
      <c r="C62" s="14">
        <v>186</v>
      </c>
      <c r="D62" s="14">
        <v>0.94</v>
      </c>
      <c r="E62" s="14">
        <v>41.9</v>
      </c>
      <c r="F62" s="13">
        <v>2024</v>
      </c>
    </row>
    <row r="63" spans="1:6" x14ac:dyDescent="0.45">
      <c r="A63" s="16" t="s">
        <v>851</v>
      </c>
      <c r="B63" s="12" t="s">
        <v>850</v>
      </c>
      <c r="C63" s="12">
        <v>110</v>
      </c>
      <c r="D63" s="12">
        <v>0.48</v>
      </c>
      <c r="E63" s="12">
        <v>39.6</v>
      </c>
      <c r="F63" s="13">
        <v>2024</v>
      </c>
    </row>
    <row r="64" spans="1:6" x14ac:dyDescent="0.45">
      <c r="A64" s="17" t="s">
        <v>827</v>
      </c>
      <c r="B64" s="14" t="s">
        <v>4</v>
      </c>
      <c r="C64" s="14">
        <v>12</v>
      </c>
      <c r="D64" s="14">
        <v>0.05</v>
      </c>
      <c r="E64" s="14">
        <v>38.200000000000003</v>
      </c>
      <c r="F64" s="13">
        <v>2024</v>
      </c>
    </row>
    <row r="65" spans="1:6" x14ac:dyDescent="0.45">
      <c r="A65" s="16" t="s">
        <v>820</v>
      </c>
      <c r="B65" s="12" t="s">
        <v>25</v>
      </c>
      <c r="C65" s="12">
        <v>60</v>
      </c>
      <c r="D65" s="12">
        <v>0.26</v>
      </c>
      <c r="E65" s="12">
        <v>41.5</v>
      </c>
      <c r="F65" s="13">
        <v>2024</v>
      </c>
    </row>
    <row r="66" spans="1:6" x14ac:dyDescent="0.45">
      <c r="A66" s="17" t="s">
        <v>852</v>
      </c>
      <c r="B66" s="14" t="s">
        <v>16</v>
      </c>
      <c r="C66" s="14">
        <v>-3</v>
      </c>
      <c r="D66" s="14">
        <v>-0.01</v>
      </c>
      <c r="E66" s="14">
        <v>35.4</v>
      </c>
      <c r="F66" s="13">
        <v>2024</v>
      </c>
    </row>
    <row r="67" spans="1:6" x14ac:dyDescent="0.45">
      <c r="A67" s="16" t="s">
        <v>853</v>
      </c>
      <c r="B67" s="12" t="s">
        <v>21</v>
      </c>
      <c r="C67" s="12">
        <v>80</v>
      </c>
      <c r="D67" s="12">
        <v>0.33</v>
      </c>
      <c r="E67" s="12">
        <v>38.200000000000003</v>
      </c>
      <c r="F67" s="13">
        <v>2024</v>
      </c>
    </row>
    <row r="68" spans="1:6" x14ac:dyDescent="0.45">
      <c r="A68" s="17" t="s">
        <v>938</v>
      </c>
      <c r="B68" s="14" t="s">
        <v>24</v>
      </c>
      <c r="C68" s="14">
        <v>167</v>
      </c>
      <c r="D68" s="14">
        <v>0.82</v>
      </c>
      <c r="E68" s="14">
        <v>37.700000000000003</v>
      </c>
      <c r="F68" s="13">
        <v>2024</v>
      </c>
    </row>
    <row r="69" spans="1:6" x14ac:dyDescent="0.45">
      <c r="A69" s="16" t="s">
        <v>810</v>
      </c>
      <c r="B69" s="12" t="s">
        <v>23</v>
      </c>
      <c r="C69" s="12">
        <v>67</v>
      </c>
      <c r="D69" s="12">
        <v>0.3</v>
      </c>
      <c r="E69" s="12">
        <v>39.299999999999997</v>
      </c>
      <c r="F69" s="13">
        <v>2024</v>
      </c>
    </row>
    <row r="70" spans="1:6" x14ac:dyDescent="0.45">
      <c r="A70" s="17" t="s">
        <v>807</v>
      </c>
      <c r="B70" s="14" t="s">
        <v>26</v>
      </c>
      <c r="C70" s="14">
        <v>-174</v>
      </c>
      <c r="D70" s="14">
        <v>-0.69</v>
      </c>
      <c r="E70" s="14">
        <v>28.8</v>
      </c>
      <c r="F70" s="13">
        <v>2024</v>
      </c>
    </row>
    <row r="71" spans="1:6" x14ac:dyDescent="0.45">
      <c r="A71" s="16" t="s">
        <v>848</v>
      </c>
      <c r="B71" s="12" t="s">
        <v>798</v>
      </c>
      <c r="C71" s="12">
        <v>-35</v>
      </c>
      <c r="D71" s="12">
        <v>-0.15</v>
      </c>
      <c r="E71" s="12">
        <v>38.1</v>
      </c>
      <c r="F71" s="13">
        <v>2024</v>
      </c>
    </row>
    <row r="72" spans="1:6" x14ac:dyDescent="0.45">
      <c r="A72" s="17" t="s">
        <v>939</v>
      </c>
      <c r="B72" s="14" t="s">
        <v>20</v>
      </c>
      <c r="C72" s="14">
        <v>-96</v>
      </c>
      <c r="D72" s="14">
        <v>-0.49</v>
      </c>
      <c r="E72" s="14">
        <v>30.1</v>
      </c>
      <c r="F72" s="13">
        <v>2024</v>
      </c>
    </row>
    <row r="73" spans="1:6" x14ac:dyDescent="0.45">
      <c r="A73" s="16" t="s">
        <v>813</v>
      </c>
      <c r="B73" s="12" t="s">
        <v>15</v>
      </c>
      <c r="C73" s="12">
        <v>115</v>
      </c>
      <c r="D73" s="12">
        <v>0.6</v>
      </c>
      <c r="E73" s="12">
        <v>34.4</v>
      </c>
      <c r="F73" s="13">
        <v>2024</v>
      </c>
    </row>
    <row r="74" spans="1:6" x14ac:dyDescent="0.45">
      <c r="A74" s="17" t="s">
        <v>821</v>
      </c>
      <c r="B74" s="14" t="s">
        <v>18</v>
      </c>
      <c r="C74" s="14">
        <v>2</v>
      </c>
      <c r="D74" s="14">
        <v>0.01</v>
      </c>
      <c r="E74" s="14">
        <v>38.5</v>
      </c>
      <c r="F74" s="13">
        <v>2024</v>
      </c>
    </row>
    <row r="75" spans="1:6" x14ac:dyDescent="0.45">
      <c r="A75" s="16" t="s">
        <v>941</v>
      </c>
      <c r="B75" s="12" t="s">
        <v>10</v>
      </c>
      <c r="C75" s="12">
        <v>-18</v>
      </c>
      <c r="D75" s="12">
        <v>-0.1</v>
      </c>
      <c r="E75" s="12">
        <v>30.3</v>
      </c>
      <c r="F75" s="13">
        <v>2024</v>
      </c>
    </row>
    <row r="76" spans="1:6" x14ac:dyDescent="0.45">
      <c r="A76" s="17" t="s">
        <v>814</v>
      </c>
      <c r="B76" s="14" t="s">
        <v>797</v>
      </c>
      <c r="C76" s="14">
        <v>35</v>
      </c>
      <c r="D76" s="14">
        <v>0.18</v>
      </c>
      <c r="E76" s="14">
        <v>41.6</v>
      </c>
      <c r="F76" s="13">
        <v>2024</v>
      </c>
    </row>
    <row r="77" spans="1:6" x14ac:dyDescent="0.45">
      <c r="A77" s="16" t="s">
        <v>946</v>
      </c>
      <c r="B77" s="12" t="s">
        <v>7</v>
      </c>
      <c r="C77" s="12">
        <v>25</v>
      </c>
      <c r="D77" s="12">
        <v>0.14000000000000001</v>
      </c>
      <c r="E77" s="12">
        <v>35.1</v>
      </c>
      <c r="F77" s="13">
        <v>2024</v>
      </c>
    </row>
    <row r="78" spans="1:6" x14ac:dyDescent="0.45">
      <c r="A78" s="17" t="s">
        <v>818</v>
      </c>
      <c r="B78" s="14" t="s">
        <v>799</v>
      </c>
      <c r="C78" s="14">
        <v>207</v>
      </c>
      <c r="D78" s="14">
        <v>1.38</v>
      </c>
      <c r="E78" s="14">
        <v>48.7</v>
      </c>
      <c r="F78" s="13">
        <v>2024</v>
      </c>
    </row>
    <row r="79" spans="1:6" x14ac:dyDescent="0.45">
      <c r="A79" s="16" t="s">
        <v>838</v>
      </c>
      <c r="B79" s="12" t="s">
        <v>6</v>
      </c>
      <c r="C79" s="12">
        <v>-4</v>
      </c>
      <c r="D79" s="12">
        <v>-0.02</v>
      </c>
      <c r="E79" s="12">
        <v>42</v>
      </c>
      <c r="F79" s="13">
        <v>2024</v>
      </c>
    </row>
    <row r="80" spans="1:6" x14ac:dyDescent="0.45">
      <c r="A80" s="17" t="s">
        <v>854</v>
      </c>
      <c r="B80" s="14" t="s">
        <v>837</v>
      </c>
      <c r="C80" s="14">
        <v>124</v>
      </c>
      <c r="D80" s="14">
        <v>0.74</v>
      </c>
      <c r="E80" s="14">
        <v>38.9</v>
      </c>
      <c r="F80" s="13">
        <v>2024</v>
      </c>
    </row>
    <row r="81" spans="1:6" x14ac:dyDescent="0.45">
      <c r="A81" s="16" t="s">
        <v>815</v>
      </c>
      <c r="B81" s="12" t="s">
        <v>795</v>
      </c>
      <c r="C81" s="12">
        <v>-112</v>
      </c>
      <c r="D81" s="12">
        <v>-0.56999999999999995</v>
      </c>
      <c r="E81" s="12">
        <v>34.200000000000003</v>
      </c>
      <c r="F81" s="13">
        <v>2024</v>
      </c>
    </row>
    <row r="82" spans="1:6" x14ac:dyDescent="0.45">
      <c r="A82" s="17" t="s">
        <v>825</v>
      </c>
      <c r="B82" s="14" t="s">
        <v>17</v>
      </c>
      <c r="C82" s="14">
        <v>84</v>
      </c>
      <c r="D82" s="14">
        <v>0.61</v>
      </c>
      <c r="E82" s="14">
        <v>50.4</v>
      </c>
      <c r="F82" s="13">
        <v>2024</v>
      </c>
    </row>
    <row r="83" spans="1:6" x14ac:dyDescent="0.45">
      <c r="A83" s="16" t="s">
        <v>845</v>
      </c>
      <c r="B83" s="12" t="s">
        <v>800</v>
      </c>
      <c r="C83" s="12">
        <v>48</v>
      </c>
      <c r="D83" s="12">
        <v>0.34</v>
      </c>
      <c r="E83" s="12">
        <v>40.299999999999997</v>
      </c>
      <c r="F83" s="13">
        <v>2024</v>
      </c>
    </row>
    <row r="84" spans="1:6" x14ac:dyDescent="0.45">
      <c r="A84" s="17" t="s">
        <v>840</v>
      </c>
      <c r="B84" s="14" t="s">
        <v>5</v>
      </c>
      <c r="C84" s="14">
        <v>-16</v>
      </c>
      <c r="D84" s="14">
        <v>-0.1</v>
      </c>
      <c r="E84" s="14">
        <v>40.4</v>
      </c>
      <c r="F84" s="13">
        <v>2024</v>
      </c>
    </row>
    <row r="85" spans="1:6" x14ac:dyDescent="0.45">
      <c r="A85" s="16" t="s">
        <v>823</v>
      </c>
      <c r="B85" s="12" t="s">
        <v>5</v>
      </c>
      <c r="C85" s="12">
        <v>73</v>
      </c>
      <c r="D85" s="12">
        <v>0.56000000000000005</v>
      </c>
      <c r="E85" s="12">
        <v>40.200000000000003</v>
      </c>
      <c r="F85" s="13">
        <v>2024</v>
      </c>
    </row>
    <row r="86" spans="1:6" x14ac:dyDescent="0.45">
      <c r="A86" s="17" t="s">
        <v>855</v>
      </c>
      <c r="B86" s="14" t="s">
        <v>22</v>
      </c>
      <c r="C86" s="14">
        <v>114</v>
      </c>
      <c r="D86" s="14">
        <v>1.1000000000000001</v>
      </c>
      <c r="E86" s="14">
        <v>39.799999999999997</v>
      </c>
      <c r="F86" s="13">
        <v>2024</v>
      </c>
    </row>
    <row r="87" spans="1:6" x14ac:dyDescent="0.45">
      <c r="A87" s="16" t="s">
        <v>940</v>
      </c>
      <c r="B87" s="12" t="s">
        <v>837</v>
      </c>
      <c r="C87" s="12">
        <v>-43</v>
      </c>
      <c r="D87" s="12">
        <v>-0.28999999999999998</v>
      </c>
      <c r="E87" s="12">
        <v>30.4</v>
      </c>
      <c r="F87" s="13">
        <v>2024</v>
      </c>
    </row>
    <row r="88" spans="1:6" x14ac:dyDescent="0.45">
      <c r="A88" s="17" t="s">
        <v>856</v>
      </c>
      <c r="B88" s="14" t="s">
        <v>797</v>
      </c>
      <c r="C88" s="14">
        <v>83</v>
      </c>
      <c r="D88" s="14">
        <v>0.7</v>
      </c>
      <c r="E88" s="14">
        <v>45.4</v>
      </c>
      <c r="F88" s="13">
        <v>2024</v>
      </c>
    </row>
    <row r="89" spans="1:6" x14ac:dyDescent="0.45">
      <c r="A89" s="16" t="s">
        <v>812</v>
      </c>
      <c r="B89" s="12" t="s">
        <v>14</v>
      </c>
      <c r="C89" s="12">
        <v>-83</v>
      </c>
      <c r="D89" s="12">
        <v>-0.6</v>
      </c>
      <c r="E89" s="12">
        <v>30.4</v>
      </c>
      <c r="F89" s="13">
        <v>2024</v>
      </c>
    </row>
    <row r="90" spans="1:6" x14ac:dyDescent="0.45">
      <c r="A90" s="17" t="s">
        <v>816</v>
      </c>
      <c r="B90" s="14" t="s">
        <v>16</v>
      </c>
      <c r="C90" s="14">
        <v>-14</v>
      </c>
      <c r="D90" s="14">
        <v>-0.11</v>
      </c>
      <c r="E90" s="14">
        <v>37.5</v>
      </c>
      <c r="F90" s="13">
        <v>2024</v>
      </c>
    </row>
    <row r="91" spans="1:6" x14ac:dyDescent="0.45">
      <c r="A91" s="16" t="s">
        <v>834</v>
      </c>
      <c r="B91" s="12" t="s">
        <v>793</v>
      </c>
      <c r="C91" s="12">
        <v>74</v>
      </c>
      <c r="D91" s="12">
        <v>0.73</v>
      </c>
      <c r="E91" s="12">
        <v>43.1</v>
      </c>
      <c r="F91" s="13">
        <v>2024</v>
      </c>
    </row>
    <row r="92" spans="1:6" x14ac:dyDescent="0.45">
      <c r="A92" s="17" t="s">
        <v>857</v>
      </c>
      <c r="B92" s="14" t="s">
        <v>14</v>
      </c>
      <c r="C92" s="14">
        <v>-41</v>
      </c>
      <c r="D92" s="14">
        <v>-0.36</v>
      </c>
      <c r="E92" s="14">
        <v>38.1</v>
      </c>
      <c r="F92" s="13">
        <v>2024</v>
      </c>
    </row>
    <row r="93" spans="1:6" x14ac:dyDescent="0.45">
      <c r="A93" s="16" t="s">
        <v>858</v>
      </c>
      <c r="B93" s="12" t="s">
        <v>3</v>
      </c>
      <c r="C93" s="12">
        <v>-6</v>
      </c>
      <c r="D93" s="12">
        <v>-0.06</v>
      </c>
      <c r="E93" s="12">
        <v>31.1</v>
      </c>
      <c r="F93" s="13">
        <v>2024</v>
      </c>
    </row>
    <row r="94" spans="1:6" x14ac:dyDescent="0.45">
      <c r="A94" s="17" t="s">
        <v>859</v>
      </c>
      <c r="B94" s="14" t="s">
        <v>24</v>
      </c>
      <c r="C94" s="14">
        <v>9</v>
      </c>
      <c r="D94" s="14">
        <v>0.08</v>
      </c>
      <c r="E94" s="14">
        <v>42.5</v>
      </c>
      <c r="F94" s="13">
        <v>2024</v>
      </c>
    </row>
    <row r="95" spans="1:6" x14ac:dyDescent="0.45">
      <c r="A95" s="16" t="s">
        <v>841</v>
      </c>
      <c r="B95" s="12" t="s">
        <v>10</v>
      </c>
      <c r="C95" s="12">
        <v>-54</v>
      </c>
      <c r="D95" s="12">
        <v>-0.48</v>
      </c>
      <c r="E95" s="12">
        <v>33.9</v>
      </c>
      <c r="F95" s="13">
        <v>2024</v>
      </c>
    </row>
    <row r="96" spans="1:6" x14ac:dyDescent="0.45">
      <c r="A96" s="17" t="s">
        <v>860</v>
      </c>
      <c r="B96" s="14" t="s">
        <v>796</v>
      </c>
      <c r="C96" s="14">
        <v>-77</v>
      </c>
      <c r="D96" s="14">
        <v>-0.59</v>
      </c>
      <c r="E96" s="14">
        <v>31.8</v>
      </c>
      <c r="F96" s="13">
        <v>2024</v>
      </c>
    </row>
    <row r="97" spans="1:6" x14ac:dyDescent="0.45">
      <c r="A97" s="16" t="s">
        <v>861</v>
      </c>
      <c r="B97" s="12" t="s">
        <v>15</v>
      </c>
      <c r="C97" s="12">
        <v>-50</v>
      </c>
      <c r="D97" s="12">
        <v>-0.5</v>
      </c>
      <c r="E97" s="12">
        <v>33.700000000000003</v>
      </c>
      <c r="F97" s="13">
        <v>2024</v>
      </c>
    </row>
    <row r="98" spans="1:6" x14ac:dyDescent="0.45">
      <c r="A98" s="17" t="s">
        <v>862</v>
      </c>
      <c r="B98" s="14" t="s">
        <v>18</v>
      </c>
      <c r="C98" s="14">
        <v>-58</v>
      </c>
      <c r="D98" s="14">
        <v>-0.64</v>
      </c>
      <c r="E98" s="14">
        <v>31.1</v>
      </c>
      <c r="F98" s="13">
        <v>2024</v>
      </c>
    </row>
    <row r="99" spans="1:6" x14ac:dyDescent="0.45">
      <c r="A99" s="18" t="s">
        <v>830</v>
      </c>
      <c r="B99" s="15" t="s">
        <v>22</v>
      </c>
      <c r="C99" s="15">
        <v>-25</v>
      </c>
      <c r="D99" s="15">
        <v>-0.25</v>
      </c>
      <c r="E99" s="15">
        <v>42</v>
      </c>
      <c r="F99" s="13">
        <v>2024</v>
      </c>
    </row>
    <row r="100" spans="1:6" x14ac:dyDescent="0.45">
      <c r="A100" s="16" t="s">
        <v>847</v>
      </c>
      <c r="B100" s="12" t="s">
        <v>799</v>
      </c>
      <c r="C100" s="12">
        <v>355</v>
      </c>
      <c r="D100" s="12">
        <v>1.34</v>
      </c>
      <c r="E100" s="12">
        <v>46.8</v>
      </c>
      <c r="F100" s="11">
        <v>2023</v>
      </c>
    </row>
    <row r="101" spans="1:6" x14ac:dyDescent="0.45">
      <c r="A101" s="17" t="s">
        <v>822</v>
      </c>
      <c r="B101" s="14" t="s">
        <v>4</v>
      </c>
      <c r="C101" s="14">
        <v>84</v>
      </c>
      <c r="D101" s="14">
        <v>0.31</v>
      </c>
      <c r="E101" s="14">
        <v>40.1</v>
      </c>
      <c r="F101" s="11">
        <v>2023</v>
      </c>
    </row>
    <row r="102" spans="1:6" x14ac:dyDescent="0.45">
      <c r="A102" s="16" t="s">
        <v>809</v>
      </c>
      <c r="B102" s="12" t="s">
        <v>19</v>
      </c>
      <c r="C102" s="12">
        <v>147</v>
      </c>
      <c r="D102" s="12">
        <v>0.65</v>
      </c>
      <c r="E102" s="12">
        <v>42.7</v>
      </c>
      <c r="F102" s="11">
        <v>2023</v>
      </c>
    </row>
    <row r="103" spans="1:6" x14ac:dyDescent="0.45">
      <c r="A103" s="17" t="s">
        <v>938</v>
      </c>
      <c r="B103" s="14" t="s">
        <v>24</v>
      </c>
      <c r="C103" s="14">
        <v>105</v>
      </c>
      <c r="D103" s="14">
        <v>0.45</v>
      </c>
      <c r="E103" s="14">
        <v>42.7</v>
      </c>
      <c r="F103" s="11">
        <v>2023</v>
      </c>
    </row>
    <row r="104" spans="1:6" x14ac:dyDescent="0.45">
      <c r="A104" s="16" t="s">
        <v>807</v>
      </c>
      <c r="B104" s="12" t="s">
        <v>8</v>
      </c>
      <c r="C104" s="12">
        <v>-65</v>
      </c>
      <c r="D104" s="12">
        <v>-0.28999999999999998</v>
      </c>
      <c r="E104" s="12">
        <v>36.9</v>
      </c>
      <c r="F104" s="11">
        <v>2023</v>
      </c>
    </row>
    <row r="105" spans="1:6" x14ac:dyDescent="0.45">
      <c r="A105" s="17" t="s">
        <v>851</v>
      </c>
      <c r="B105" s="14" t="s">
        <v>850</v>
      </c>
      <c r="C105" s="14">
        <v>211</v>
      </c>
      <c r="D105" s="14">
        <v>1.02</v>
      </c>
      <c r="E105" s="14">
        <v>43</v>
      </c>
      <c r="F105" s="11">
        <v>2023</v>
      </c>
    </row>
    <row r="106" spans="1:6" x14ac:dyDescent="0.45">
      <c r="A106" s="16" t="s">
        <v>852</v>
      </c>
      <c r="B106" s="12" t="s">
        <v>16</v>
      </c>
      <c r="C106" s="12">
        <v>79</v>
      </c>
      <c r="D106" s="12">
        <v>0.31</v>
      </c>
      <c r="E106" s="12">
        <v>41.9</v>
      </c>
      <c r="F106" s="11">
        <v>2023</v>
      </c>
    </row>
    <row r="107" spans="1:6" x14ac:dyDescent="0.45">
      <c r="A107" s="17" t="s">
        <v>853</v>
      </c>
      <c r="B107" s="14" t="s">
        <v>23</v>
      </c>
      <c r="C107" s="14">
        <v>6</v>
      </c>
      <c r="D107" s="14">
        <v>0.02</v>
      </c>
      <c r="E107" s="14">
        <v>41</v>
      </c>
      <c r="F107" s="11">
        <v>2023</v>
      </c>
    </row>
    <row r="108" spans="1:6" x14ac:dyDescent="0.45">
      <c r="A108" s="16" t="s">
        <v>838</v>
      </c>
      <c r="B108" s="12" t="s">
        <v>6</v>
      </c>
      <c r="C108" s="12">
        <v>62</v>
      </c>
      <c r="D108" s="12">
        <v>0.28999999999999998</v>
      </c>
      <c r="E108" s="12">
        <v>44.2</v>
      </c>
      <c r="F108" s="11">
        <v>2023</v>
      </c>
    </row>
    <row r="109" spans="1:6" x14ac:dyDescent="0.45">
      <c r="A109" s="17" t="s">
        <v>863</v>
      </c>
      <c r="B109" s="14" t="s">
        <v>20</v>
      </c>
      <c r="C109" s="14">
        <v>126</v>
      </c>
      <c r="D109" s="14">
        <v>0.61</v>
      </c>
      <c r="E109" s="14">
        <v>38.5</v>
      </c>
      <c r="F109" s="11">
        <v>2023</v>
      </c>
    </row>
    <row r="110" spans="1:6" x14ac:dyDescent="0.45">
      <c r="A110" s="16" t="s">
        <v>940</v>
      </c>
      <c r="B110" s="12" t="s">
        <v>837</v>
      </c>
      <c r="C110" s="12">
        <v>-77</v>
      </c>
      <c r="D110" s="12">
        <v>-0.28999999999999998</v>
      </c>
      <c r="E110" s="12">
        <v>36.6</v>
      </c>
      <c r="F110" s="11">
        <v>2023</v>
      </c>
    </row>
    <row r="111" spans="1:6" x14ac:dyDescent="0.45">
      <c r="A111" s="17" t="s">
        <v>827</v>
      </c>
      <c r="B111" s="14" t="s">
        <v>25</v>
      </c>
      <c r="C111" s="14">
        <v>-34</v>
      </c>
      <c r="D111" s="14">
        <v>-0.14000000000000001</v>
      </c>
      <c r="E111" s="14">
        <v>36.5</v>
      </c>
      <c r="F111" s="11">
        <v>2023</v>
      </c>
    </row>
    <row r="112" spans="1:6" x14ac:dyDescent="0.45">
      <c r="A112" s="16" t="s">
        <v>821</v>
      </c>
      <c r="B112" s="12" t="s">
        <v>18</v>
      </c>
      <c r="C112" s="12">
        <v>146</v>
      </c>
      <c r="D112" s="12">
        <v>0.67</v>
      </c>
      <c r="E112" s="12">
        <v>33.9</v>
      </c>
      <c r="F112" s="11">
        <v>2023</v>
      </c>
    </row>
    <row r="113" spans="1:6" x14ac:dyDescent="0.45">
      <c r="A113" s="17" t="s">
        <v>845</v>
      </c>
      <c r="B113" s="14" t="s">
        <v>800</v>
      </c>
      <c r="C113" s="14">
        <v>-115</v>
      </c>
      <c r="D113" s="14">
        <v>-0.43</v>
      </c>
      <c r="E113" s="14">
        <v>36.700000000000003</v>
      </c>
      <c r="F113" s="11">
        <v>2023</v>
      </c>
    </row>
    <row r="114" spans="1:6" x14ac:dyDescent="0.45">
      <c r="A114" s="16" t="s">
        <v>817</v>
      </c>
      <c r="B114" s="12" t="s">
        <v>17</v>
      </c>
      <c r="C114" s="12">
        <v>82</v>
      </c>
      <c r="D114" s="12">
        <v>0.39</v>
      </c>
      <c r="E114" s="12">
        <v>38.299999999999997</v>
      </c>
      <c r="F114" s="11">
        <v>2023</v>
      </c>
    </row>
    <row r="115" spans="1:6" x14ac:dyDescent="0.45">
      <c r="A115" s="17" t="s">
        <v>836</v>
      </c>
      <c r="B115" s="14" t="s">
        <v>10</v>
      </c>
      <c r="C115" s="14">
        <v>93</v>
      </c>
      <c r="D115" s="14">
        <v>0.39</v>
      </c>
      <c r="E115" s="14">
        <v>37.1</v>
      </c>
      <c r="F115" s="11">
        <v>2023</v>
      </c>
    </row>
    <row r="116" spans="1:6" x14ac:dyDescent="0.45">
      <c r="A116" s="16" t="s">
        <v>843</v>
      </c>
      <c r="B116" s="12" t="s">
        <v>6</v>
      </c>
      <c r="C116" s="12">
        <v>72</v>
      </c>
      <c r="D116" s="12">
        <v>0.4</v>
      </c>
      <c r="E116" s="12">
        <v>33.700000000000003</v>
      </c>
      <c r="F116" s="11">
        <v>2023</v>
      </c>
    </row>
    <row r="117" spans="1:6" x14ac:dyDescent="0.45">
      <c r="A117" s="17" t="s">
        <v>831</v>
      </c>
      <c r="B117" s="14" t="s">
        <v>795</v>
      </c>
      <c r="C117" s="14">
        <v>91</v>
      </c>
      <c r="D117" s="14">
        <v>0.45</v>
      </c>
      <c r="E117" s="14">
        <v>40</v>
      </c>
      <c r="F117" s="11">
        <v>2023</v>
      </c>
    </row>
    <row r="118" spans="1:6" x14ac:dyDescent="0.45">
      <c r="A118" s="16" t="s">
        <v>948</v>
      </c>
      <c r="B118" s="12" t="s">
        <v>5</v>
      </c>
      <c r="C118" s="12">
        <v>-27</v>
      </c>
      <c r="D118" s="12">
        <v>-0.13</v>
      </c>
      <c r="E118" s="12">
        <v>31.9</v>
      </c>
      <c r="F118" s="11">
        <v>2023</v>
      </c>
    </row>
    <row r="119" spans="1:6" x14ac:dyDescent="0.45">
      <c r="A119" s="17" t="s">
        <v>832</v>
      </c>
      <c r="B119" s="14" t="s">
        <v>13</v>
      </c>
      <c r="C119" s="14">
        <v>46</v>
      </c>
      <c r="D119" s="14">
        <v>0.19</v>
      </c>
      <c r="E119" s="14">
        <v>44.5</v>
      </c>
      <c r="F119" s="11">
        <v>2023</v>
      </c>
    </row>
    <row r="120" spans="1:6" x14ac:dyDescent="0.45">
      <c r="A120" s="16" t="s">
        <v>841</v>
      </c>
      <c r="B120" s="12" t="s">
        <v>21</v>
      </c>
      <c r="C120" s="12">
        <v>33</v>
      </c>
      <c r="D120" s="12">
        <v>0.15</v>
      </c>
      <c r="E120" s="12">
        <v>37.4</v>
      </c>
      <c r="F120" s="11">
        <v>2023</v>
      </c>
    </row>
    <row r="121" spans="1:6" x14ac:dyDescent="0.45">
      <c r="A121" s="17" t="s">
        <v>855</v>
      </c>
      <c r="B121" s="14" t="s">
        <v>22</v>
      </c>
      <c r="C121" s="14">
        <v>-4</v>
      </c>
      <c r="D121" s="14">
        <v>-0.02</v>
      </c>
      <c r="E121" s="14">
        <v>35.200000000000003</v>
      </c>
      <c r="F121" s="11">
        <v>2023</v>
      </c>
    </row>
    <row r="122" spans="1:6" x14ac:dyDescent="0.45">
      <c r="A122" s="16" t="s">
        <v>861</v>
      </c>
      <c r="B122" s="12" t="s">
        <v>9</v>
      </c>
      <c r="C122" s="12">
        <v>51</v>
      </c>
      <c r="D122" s="12">
        <v>0.26</v>
      </c>
      <c r="E122" s="12">
        <v>40.200000000000003</v>
      </c>
      <c r="F122" s="11">
        <v>2023</v>
      </c>
    </row>
    <row r="123" spans="1:6" x14ac:dyDescent="0.45">
      <c r="A123" s="17" t="s">
        <v>826</v>
      </c>
      <c r="B123" s="14" t="s">
        <v>796</v>
      </c>
      <c r="C123" s="14">
        <v>-86</v>
      </c>
      <c r="D123" s="14">
        <v>-0.37</v>
      </c>
      <c r="E123" s="14">
        <v>34.6</v>
      </c>
      <c r="F123" s="11">
        <v>2023</v>
      </c>
    </row>
    <row r="124" spans="1:6" x14ac:dyDescent="0.45">
      <c r="A124" s="16" t="s">
        <v>939</v>
      </c>
      <c r="B124" s="12" t="s">
        <v>20</v>
      </c>
      <c r="C124" s="12">
        <v>269</v>
      </c>
      <c r="D124" s="12">
        <v>2.75</v>
      </c>
      <c r="E124" s="12">
        <v>46.9</v>
      </c>
      <c r="F124" s="11">
        <v>2023</v>
      </c>
    </row>
    <row r="125" spans="1:6" x14ac:dyDescent="0.45">
      <c r="A125" s="17" t="s">
        <v>864</v>
      </c>
      <c r="B125" s="14" t="s">
        <v>12</v>
      </c>
      <c r="C125" s="14">
        <v>129</v>
      </c>
      <c r="D125" s="14">
        <v>0.71</v>
      </c>
      <c r="E125" s="14">
        <v>41.8</v>
      </c>
      <c r="F125" s="11">
        <v>2023</v>
      </c>
    </row>
    <row r="126" spans="1:6" x14ac:dyDescent="0.45">
      <c r="A126" s="16" t="s">
        <v>816</v>
      </c>
      <c r="B126" s="12" t="s">
        <v>16</v>
      </c>
      <c r="C126" s="12">
        <v>148</v>
      </c>
      <c r="D126" s="12">
        <v>1</v>
      </c>
      <c r="E126" s="12">
        <v>39.5</v>
      </c>
      <c r="F126" s="11">
        <v>2023</v>
      </c>
    </row>
    <row r="127" spans="1:6" x14ac:dyDescent="0.45">
      <c r="A127" s="17" t="s">
        <v>812</v>
      </c>
      <c r="B127" s="14" t="s">
        <v>14</v>
      </c>
      <c r="C127" s="14">
        <v>-83</v>
      </c>
      <c r="D127" s="14">
        <v>-0.38</v>
      </c>
      <c r="E127" s="14">
        <v>39.4</v>
      </c>
      <c r="F127" s="11">
        <v>2023</v>
      </c>
    </row>
    <row r="128" spans="1:6" x14ac:dyDescent="0.45">
      <c r="A128" s="16" t="s">
        <v>839</v>
      </c>
      <c r="B128" s="12" t="s">
        <v>12</v>
      </c>
      <c r="C128" s="12">
        <v>54</v>
      </c>
      <c r="D128" s="12">
        <v>0.32</v>
      </c>
      <c r="E128" s="12">
        <v>33.5</v>
      </c>
      <c r="F128" s="11">
        <v>2023</v>
      </c>
    </row>
    <row r="129" spans="1:6" x14ac:dyDescent="0.45">
      <c r="A129" s="17" t="s">
        <v>946</v>
      </c>
      <c r="B129" s="14" t="s">
        <v>7</v>
      </c>
      <c r="C129" s="14">
        <v>38</v>
      </c>
      <c r="D129" s="14">
        <v>0.22</v>
      </c>
      <c r="E129" s="14">
        <v>40.9</v>
      </c>
      <c r="F129" s="11">
        <v>2023</v>
      </c>
    </row>
    <row r="130" spans="1:6" x14ac:dyDescent="0.45">
      <c r="A130" s="16" t="s">
        <v>860</v>
      </c>
      <c r="B130" s="12" t="s">
        <v>3</v>
      </c>
      <c r="C130" s="12">
        <v>-45</v>
      </c>
      <c r="D130" s="12">
        <v>-0.25</v>
      </c>
      <c r="E130" s="12">
        <v>39.700000000000003</v>
      </c>
      <c r="F130" s="11">
        <v>2023</v>
      </c>
    </row>
    <row r="131" spans="1:6" x14ac:dyDescent="0.45">
      <c r="A131" s="17" t="s">
        <v>848</v>
      </c>
      <c r="B131" s="14" t="s">
        <v>798</v>
      </c>
      <c r="C131" s="14">
        <v>-99</v>
      </c>
      <c r="D131" s="14">
        <v>-0.56000000000000005</v>
      </c>
      <c r="E131" s="14">
        <v>33.1</v>
      </c>
      <c r="F131" s="11">
        <v>2023</v>
      </c>
    </row>
    <row r="132" spans="1:6" x14ac:dyDescent="0.45">
      <c r="A132" s="16" t="s">
        <v>825</v>
      </c>
      <c r="B132" s="12" t="s">
        <v>17</v>
      </c>
      <c r="C132" s="12">
        <v>-60</v>
      </c>
      <c r="D132" s="12">
        <v>-0.33</v>
      </c>
      <c r="E132" s="12">
        <v>39.200000000000003</v>
      </c>
      <c r="F132" s="11">
        <v>2023</v>
      </c>
    </row>
    <row r="133" spans="1:6" x14ac:dyDescent="0.45">
      <c r="A133" s="17" t="s">
        <v>942</v>
      </c>
      <c r="B133" s="14" t="s">
        <v>793</v>
      </c>
      <c r="C133" s="14">
        <v>16</v>
      </c>
      <c r="D133" s="14">
        <v>0.12</v>
      </c>
      <c r="E133" s="14">
        <v>39.4</v>
      </c>
      <c r="F133" s="11">
        <v>2023</v>
      </c>
    </row>
    <row r="134" spans="1:6" x14ac:dyDescent="0.45">
      <c r="A134" s="16" t="s">
        <v>865</v>
      </c>
      <c r="B134" s="12" t="s">
        <v>797</v>
      </c>
      <c r="C134" s="12">
        <v>-71</v>
      </c>
      <c r="D134" s="12">
        <v>-0.39</v>
      </c>
      <c r="E134" s="12">
        <v>41.8</v>
      </c>
      <c r="F134" s="11">
        <v>2023</v>
      </c>
    </row>
    <row r="135" spans="1:6" x14ac:dyDescent="0.45">
      <c r="A135" s="17" t="s">
        <v>866</v>
      </c>
      <c r="B135" s="14" t="s">
        <v>15</v>
      </c>
      <c r="C135" s="14">
        <v>-48</v>
      </c>
      <c r="D135" s="14">
        <v>-0.27</v>
      </c>
      <c r="E135" s="14">
        <v>35</v>
      </c>
      <c r="F135" s="11">
        <v>2023</v>
      </c>
    </row>
    <row r="136" spans="1:6" x14ac:dyDescent="0.45">
      <c r="A136" s="16" t="s">
        <v>814</v>
      </c>
      <c r="B136" s="12" t="s">
        <v>797</v>
      </c>
      <c r="C136" s="12">
        <v>-18</v>
      </c>
      <c r="D136" s="12">
        <v>-0.12</v>
      </c>
      <c r="E136" s="12">
        <v>37.299999999999997</v>
      </c>
      <c r="F136" s="11">
        <v>2023</v>
      </c>
    </row>
    <row r="137" spans="1:6" x14ac:dyDescent="0.45">
      <c r="A137" s="17" t="s">
        <v>947</v>
      </c>
      <c r="B137" s="14" t="s">
        <v>793</v>
      </c>
      <c r="C137" s="14">
        <v>-64</v>
      </c>
      <c r="D137" s="14">
        <v>-0.36</v>
      </c>
      <c r="E137" s="14">
        <v>36.9</v>
      </c>
      <c r="F137" s="11">
        <v>2023</v>
      </c>
    </row>
    <row r="138" spans="1:6" x14ac:dyDescent="0.45">
      <c r="A138" s="16" t="s">
        <v>867</v>
      </c>
      <c r="B138" s="12" t="s">
        <v>26</v>
      </c>
      <c r="C138" s="12">
        <v>38</v>
      </c>
      <c r="D138" s="12">
        <v>0.28999999999999998</v>
      </c>
      <c r="E138" s="12">
        <v>41.9</v>
      </c>
      <c r="F138" s="11">
        <v>2023</v>
      </c>
    </row>
    <row r="139" spans="1:6" x14ac:dyDescent="0.45">
      <c r="A139" s="17" t="s">
        <v>823</v>
      </c>
      <c r="B139" s="14" t="s">
        <v>5</v>
      </c>
      <c r="C139" s="14">
        <v>19</v>
      </c>
      <c r="D139" s="14">
        <v>0.18</v>
      </c>
      <c r="E139" s="14">
        <v>40.6</v>
      </c>
      <c r="F139" s="11">
        <v>2023</v>
      </c>
    </row>
    <row r="140" spans="1:6" x14ac:dyDescent="0.45">
      <c r="A140" s="16" t="s">
        <v>868</v>
      </c>
      <c r="B140" s="12" t="s">
        <v>4</v>
      </c>
      <c r="C140" s="12">
        <v>-14</v>
      </c>
      <c r="D140" s="12">
        <v>-0.15</v>
      </c>
      <c r="E140" s="12">
        <v>33</v>
      </c>
      <c r="F140" s="11">
        <v>2023</v>
      </c>
    </row>
    <row r="141" spans="1:6" x14ac:dyDescent="0.45">
      <c r="A141" s="17" t="s">
        <v>869</v>
      </c>
      <c r="B141" s="14" t="s">
        <v>796</v>
      </c>
      <c r="C141" s="14">
        <v>34</v>
      </c>
      <c r="D141" s="14">
        <v>0.33</v>
      </c>
      <c r="E141" s="14">
        <v>46.6</v>
      </c>
      <c r="F141" s="11">
        <v>2023</v>
      </c>
    </row>
    <row r="142" spans="1:6" x14ac:dyDescent="0.45">
      <c r="A142" s="16" t="s">
        <v>870</v>
      </c>
      <c r="B142" s="12" t="s">
        <v>13</v>
      </c>
      <c r="C142" s="12">
        <v>-54</v>
      </c>
      <c r="D142" s="12">
        <v>-0.42</v>
      </c>
      <c r="E142" s="12">
        <v>28.1</v>
      </c>
      <c r="F142" s="11">
        <v>2023</v>
      </c>
    </row>
    <row r="143" spans="1:6" x14ac:dyDescent="0.45">
      <c r="A143" s="17" t="s">
        <v>871</v>
      </c>
      <c r="B143" s="14" t="s">
        <v>26</v>
      </c>
      <c r="C143" s="14">
        <v>-11</v>
      </c>
      <c r="D143" s="14">
        <v>-0.1</v>
      </c>
      <c r="E143" s="14">
        <v>42.6</v>
      </c>
      <c r="F143" s="11">
        <v>2023</v>
      </c>
    </row>
    <row r="144" spans="1:6" x14ac:dyDescent="0.45">
      <c r="A144" s="18" t="s">
        <v>872</v>
      </c>
      <c r="B144" s="12" t="s">
        <v>21</v>
      </c>
      <c r="C144" s="12">
        <v>-83</v>
      </c>
      <c r="D144" s="12">
        <v>-0.59</v>
      </c>
      <c r="E144" s="12">
        <v>32.6</v>
      </c>
      <c r="F144" s="11">
        <v>2023</v>
      </c>
    </row>
    <row r="145" spans="1:6" x14ac:dyDescent="0.45">
      <c r="A145" s="17" t="s">
        <v>873</v>
      </c>
      <c r="B145" s="14" t="s">
        <v>3</v>
      </c>
      <c r="C145" s="14">
        <v>-14</v>
      </c>
      <c r="D145" s="14">
        <v>-0.14000000000000001</v>
      </c>
      <c r="E145" s="14">
        <v>41.4</v>
      </c>
      <c r="F145" s="11">
        <v>2023</v>
      </c>
    </row>
    <row r="146" spans="1:6" x14ac:dyDescent="0.45">
      <c r="A146" s="16" t="s">
        <v>815</v>
      </c>
      <c r="B146" s="12" t="s">
        <v>22</v>
      </c>
      <c r="C146" s="12">
        <v>-101</v>
      </c>
      <c r="D146" s="12">
        <v>-0.75</v>
      </c>
      <c r="E146" s="12">
        <v>35.1</v>
      </c>
      <c r="F146" s="11">
        <v>2023</v>
      </c>
    </row>
    <row r="147" spans="1:6" x14ac:dyDescent="0.45">
      <c r="A147" s="17" t="s">
        <v>874</v>
      </c>
      <c r="B147" s="14" t="s">
        <v>15</v>
      </c>
      <c r="C147" s="14">
        <v>-25</v>
      </c>
      <c r="D147" s="14">
        <v>-0.24</v>
      </c>
      <c r="E147" s="14">
        <v>30.5</v>
      </c>
      <c r="F147" s="11">
        <v>2023</v>
      </c>
    </row>
    <row r="148" spans="1:6" x14ac:dyDescent="0.45">
      <c r="A148" s="16" t="s">
        <v>875</v>
      </c>
      <c r="B148" s="15" t="s">
        <v>798</v>
      </c>
      <c r="C148" s="15">
        <v>-102</v>
      </c>
      <c r="D148" s="15">
        <v>-0.98</v>
      </c>
      <c r="E148" s="15">
        <v>28.8</v>
      </c>
      <c r="F148" s="11">
        <v>2023</v>
      </c>
    </row>
    <row r="149" spans="1:6" x14ac:dyDescent="0.45">
      <c r="A149" s="16" t="s">
        <v>826</v>
      </c>
      <c r="B149" s="12" t="s">
        <v>796</v>
      </c>
      <c r="C149" s="12">
        <v>158</v>
      </c>
      <c r="D149" s="12">
        <v>0.47</v>
      </c>
      <c r="E149" s="12">
        <v>39.799999999999997</v>
      </c>
      <c r="F149" s="11">
        <v>2022</v>
      </c>
    </row>
    <row r="150" spans="1:6" x14ac:dyDescent="0.45">
      <c r="A150" s="17" t="s">
        <v>822</v>
      </c>
      <c r="B150" s="14" t="s">
        <v>4</v>
      </c>
      <c r="C150" s="14">
        <v>92</v>
      </c>
      <c r="D150" s="14">
        <v>0.27</v>
      </c>
      <c r="E150" s="14">
        <v>40.5</v>
      </c>
      <c r="F150" s="11">
        <v>2022</v>
      </c>
    </row>
    <row r="151" spans="1:6" x14ac:dyDescent="0.45">
      <c r="A151" s="16" t="s">
        <v>830</v>
      </c>
      <c r="B151" s="12" t="s">
        <v>22</v>
      </c>
      <c r="C151" s="12">
        <v>284</v>
      </c>
      <c r="D151" s="12">
        <v>0.94</v>
      </c>
      <c r="E151" s="12">
        <v>41.9</v>
      </c>
      <c r="F151" s="11">
        <v>2022</v>
      </c>
    </row>
    <row r="152" spans="1:6" x14ac:dyDescent="0.45">
      <c r="A152" s="17" t="s">
        <v>836</v>
      </c>
      <c r="B152" s="14" t="s">
        <v>10</v>
      </c>
      <c r="C152" s="14">
        <v>115</v>
      </c>
      <c r="D152" s="14">
        <v>0.4</v>
      </c>
      <c r="E152" s="14">
        <v>33.799999999999997</v>
      </c>
      <c r="F152" s="11">
        <v>2022</v>
      </c>
    </row>
    <row r="153" spans="1:6" x14ac:dyDescent="0.45">
      <c r="A153" s="16" t="s">
        <v>870</v>
      </c>
      <c r="B153" s="12" t="s">
        <v>8</v>
      </c>
      <c r="C153" s="12">
        <v>94</v>
      </c>
      <c r="D153" s="12">
        <v>0.37</v>
      </c>
      <c r="E153" s="12">
        <v>42.8</v>
      </c>
      <c r="F153" s="11">
        <v>2022</v>
      </c>
    </row>
    <row r="154" spans="1:6" x14ac:dyDescent="0.45">
      <c r="A154" s="17" t="s">
        <v>876</v>
      </c>
      <c r="B154" s="14" t="s">
        <v>3</v>
      </c>
      <c r="C154" s="14">
        <v>-21</v>
      </c>
      <c r="D154" s="14">
        <v>-0.08</v>
      </c>
      <c r="E154" s="14">
        <v>32.200000000000003</v>
      </c>
      <c r="F154" s="11">
        <v>2022</v>
      </c>
    </row>
    <row r="155" spans="1:6" x14ac:dyDescent="0.45">
      <c r="A155" s="16" t="s">
        <v>847</v>
      </c>
      <c r="B155" s="12" t="s">
        <v>799</v>
      </c>
      <c r="C155" s="12">
        <v>47</v>
      </c>
      <c r="D155" s="12">
        <v>0.2</v>
      </c>
      <c r="E155" s="12">
        <v>36.700000000000003</v>
      </c>
      <c r="F155" s="11">
        <v>2022</v>
      </c>
    </row>
    <row r="156" spans="1:6" x14ac:dyDescent="0.45">
      <c r="A156" s="17" t="s">
        <v>940</v>
      </c>
      <c r="B156" s="14" t="s">
        <v>837</v>
      </c>
      <c r="C156" s="14">
        <v>231</v>
      </c>
      <c r="D156" s="14">
        <v>1.06</v>
      </c>
      <c r="E156" s="14">
        <v>47</v>
      </c>
      <c r="F156" s="11">
        <v>2022</v>
      </c>
    </row>
    <row r="157" spans="1:6" x14ac:dyDescent="0.45">
      <c r="A157" s="16" t="s">
        <v>942</v>
      </c>
      <c r="B157" s="12" t="s">
        <v>793</v>
      </c>
      <c r="C157" s="12">
        <v>88</v>
      </c>
      <c r="D157" s="12">
        <v>0.43</v>
      </c>
      <c r="E157" s="12">
        <v>42.4</v>
      </c>
      <c r="F157" s="11">
        <v>2022</v>
      </c>
    </row>
    <row r="158" spans="1:6" x14ac:dyDescent="0.45">
      <c r="A158" s="17" t="s">
        <v>875</v>
      </c>
      <c r="B158" s="14" t="s">
        <v>6</v>
      </c>
      <c r="C158" s="14">
        <v>-11</v>
      </c>
      <c r="D158" s="14">
        <v>-0.04</v>
      </c>
      <c r="E158" s="14">
        <v>34.799999999999997</v>
      </c>
      <c r="F158" s="11">
        <v>2022</v>
      </c>
    </row>
    <row r="159" spans="1:6" x14ac:dyDescent="0.45">
      <c r="A159" s="16" t="s">
        <v>840</v>
      </c>
      <c r="B159" s="12" t="s">
        <v>5</v>
      </c>
      <c r="C159" s="12">
        <v>96</v>
      </c>
      <c r="D159" s="12">
        <v>0.43</v>
      </c>
      <c r="E159" s="12">
        <v>34.700000000000003</v>
      </c>
      <c r="F159" s="11">
        <v>2022</v>
      </c>
    </row>
    <row r="160" spans="1:6" x14ac:dyDescent="0.45">
      <c r="A160" s="17" t="s">
        <v>814</v>
      </c>
      <c r="B160" s="14" t="s">
        <v>797</v>
      </c>
      <c r="C160" s="14">
        <v>118</v>
      </c>
      <c r="D160" s="14">
        <v>0.57999999999999996</v>
      </c>
      <c r="E160" s="14">
        <v>37.299999999999997</v>
      </c>
      <c r="F160" s="11">
        <v>2022</v>
      </c>
    </row>
    <row r="161" spans="1:6" x14ac:dyDescent="0.45">
      <c r="A161" s="16" t="s">
        <v>825</v>
      </c>
      <c r="B161" s="12" t="s">
        <v>17</v>
      </c>
      <c r="C161" s="12">
        <v>134</v>
      </c>
      <c r="D161" s="12">
        <v>0.65</v>
      </c>
      <c r="E161" s="12">
        <v>44.7</v>
      </c>
      <c r="F161" s="11">
        <v>2022</v>
      </c>
    </row>
    <row r="162" spans="1:6" x14ac:dyDescent="0.45">
      <c r="A162" s="17" t="s">
        <v>852</v>
      </c>
      <c r="B162" s="14" t="s">
        <v>16</v>
      </c>
      <c r="C162" s="14">
        <v>-116</v>
      </c>
      <c r="D162" s="14">
        <v>-0.43</v>
      </c>
      <c r="E162" s="14">
        <v>38</v>
      </c>
      <c r="F162" s="11">
        <v>2022</v>
      </c>
    </row>
    <row r="163" spans="1:6" x14ac:dyDescent="0.45">
      <c r="A163" s="16" t="s">
        <v>827</v>
      </c>
      <c r="B163" s="12" t="s">
        <v>25</v>
      </c>
      <c r="C163" s="12">
        <v>226</v>
      </c>
      <c r="D163" s="12">
        <v>1.17</v>
      </c>
      <c r="E163" s="12">
        <v>40.9</v>
      </c>
      <c r="F163" s="11">
        <v>2022</v>
      </c>
    </row>
    <row r="164" spans="1:6" x14ac:dyDescent="0.45">
      <c r="A164" s="17" t="s">
        <v>872</v>
      </c>
      <c r="B164" s="14" t="s">
        <v>21</v>
      </c>
      <c r="C164" s="14">
        <v>45</v>
      </c>
      <c r="D164" s="14">
        <v>0.2</v>
      </c>
      <c r="E164" s="14">
        <v>37.299999999999997</v>
      </c>
      <c r="F164" s="11">
        <v>2022</v>
      </c>
    </row>
    <row r="165" spans="1:6" x14ac:dyDescent="0.45">
      <c r="A165" s="16" t="s">
        <v>866</v>
      </c>
      <c r="B165" s="12" t="s">
        <v>15</v>
      </c>
      <c r="C165" s="12">
        <v>83</v>
      </c>
      <c r="D165" s="12">
        <v>0.42</v>
      </c>
      <c r="E165" s="12">
        <v>37.200000000000003</v>
      </c>
      <c r="F165" s="11">
        <v>2022</v>
      </c>
    </row>
    <row r="166" spans="1:6" x14ac:dyDescent="0.45">
      <c r="A166" s="17" t="s">
        <v>871</v>
      </c>
      <c r="B166" s="14" t="s">
        <v>13</v>
      </c>
      <c r="C166" s="14">
        <v>122</v>
      </c>
      <c r="D166" s="14">
        <v>0.61</v>
      </c>
      <c r="E166" s="14">
        <v>47.5</v>
      </c>
      <c r="F166" s="11">
        <v>2022</v>
      </c>
    </row>
    <row r="167" spans="1:6" x14ac:dyDescent="0.45">
      <c r="A167" s="16" t="s">
        <v>848</v>
      </c>
      <c r="B167" s="12" t="s">
        <v>798</v>
      </c>
      <c r="C167" s="12">
        <v>-38</v>
      </c>
      <c r="D167" s="12">
        <v>-0.17</v>
      </c>
      <c r="E167" s="12">
        <v>39</v>
      </c>
      <c r="F167" s="11">
        <v>2022</v>
      </c>
    </row>
    <row r="168" spans="1:6" x14ac:dyDescent="0.45">
      <c r="A168" s="17" t="s">
        <v>863</v>
      </c>
      <c r="B168" s="14" t="s">
        <v>20</v>
      </c>
      <c r="C168" s="14">
        <v>-18</v>
      </c>
      <c r="D168" s="14">
        <v>-0.1</v>
      </c>
      <c r="E168" s="14">
        <v>34.4</v>
      </c>
      <c r="F168" s="11">
        <v>2022</v>
      </c>
    </row>
    <row r="169" spans="1:6" x14ac:dyDescent="0.45">
      <c r="A169" s="16" t="s">
        <v>865</v>
      </c>
      <c r="B169" s="12" t="s">
        <v>25</v>
      </c>
      <c r="C169" s="12">
        <v>-77</v>
      </c>
      <c r="D169" s="12">
        <v>-0.34</v>
      </c>
      <c r="E169" s="12">
        <v>38.6</v>
      </c>
      <c r="F169" s="11">
        <v>2022</v>
      </c>
    </row>
    <row r="170" spans="1:6" x14ac:dyDescent="0.45">
      <c r="A170" s="17" t="s">
        <v>839</v>
      </c>
      <c r="B170" s="14" t="s">
        <v>12</v>
      </c>
      <c r="C170" s="14">
        <v>126</v>
      </c>
      <c r="D170" s="14">
        <v>0.66</v>
      </c>
      <c r="E170" s="14">
        <v>42.6</v>
      </c>
      <c r="F170" s="11">
        <v>2022</v>
      </c>
    </row>
    <row r="171" spans="1:6" x14ac:dyDescent="0.45">
      <c r="A171" s="16" t="s">
        <v>949</v>
      </c>
      <c r="B171" s="12" t="s">
        <v>20</v>
      </c>
      <c r="C171" s="12">
        <v>69</v>
      </c>
      <c r="D171" s="12">
        <v>0.4</v>
      </c>
      <c r="E171" s="12">
        <v>34.9</v>
      </c>
      <c r="F171" s="11">
        <v>2022</v>
      </c>
    </row>
    <row r="172" spans="1:6" x14ac:dyDescent="0.45">
      <c r="A172" s="17" t="s">
        <v>831</v>
      </c>
      <c r="B172" s="14" t="s">
        <v>795</v>
      </c>
      <c r="C172" s="14">
        <v>72</v>
      </c>
      <c r="D172" s="14">
        <v>0.43</v>
      </c>
      <c r="E172" s="14">
        <v>41.1</v>
      </c>
      <c r="F172" s="11">
        <v>2022</v>
      </c>
    </row>
    <row r="173" spans="1:6" x14ac:dyDescent="0.45">
      <c r="A173" s="16" t="s">
        <v>841</v>
      </c>
      <c r="B173" s="12" t="s">
        <v>24</v>
      </c>
      <c r="C173" s="12">
        <v>28</v>
      </c>
      <c r="D173" s="12">
        <v>0.16</v>
      </c>
      <c r="E173" s="12">
        <v>38</v>
      </c>
      <c r="F173" s="11">
        <v>2022</v>
      </c>
    </row>
    <row r="174" spans="1:6" x14ac:dyDescent="0.45">
      <c r="A174" s="17" t="s">
        <v>853</v>
      </c>
      <c r="B174" s="14" t="s">
        <v>23</v>
      </c>
      <c r="C174" s="14">
        <v>43</v>
      </c>
      <c r="D174" s="14">
        <v>0.21</v>
      </c>
      <c r="E174" s="14">
        <v>41.7</v>
      </c>
      <c r="F174" s="11">
        <v>2022</v>
      </c>
    </row>
    <row r="175" spans="1:6" x14ac:dyDescent="0.45">
      <c r="A175" s="16" t="s">
        <v>838</v>
      </c>
      <c r="B175" s="12" t="s">
        <v>26</v>
      </c>
      <c r="C175" s="12">
        <v>-53</v>
      </c>
      <c r="D175" s="12">
        <v>-0.26</v>
      </c>
      <c r="E175" s="12">
        <v>37.700000000000003</v>
      </c>
      <c r="F175" s="11">
        <v>2022</v>
      </c>
    </row>
    <row r="176" spans="1:6" x14ac:dyDescent="0.45">
      <c r="A176" s="17" t="s">
        <v>946</v>
      </c>
      <c r="B176" s="14" t="s">
        <v>7</v>
      </c>
      <c r="C176" s="14">
        <v>13</v>
      </c>
      <c r="D176" s="14">
        <v>0.06</v>
      </c>
      <c r="E176" s="14">
        <v>41.5</v>
      </c>
      <c r="F176" s="11">
        <v>2022</v>
      </c>
    </row>
    <row r="177" spans="1:6" x14ac:dyDescent="0.45">
      <c r="A177" s="16" t="s">
        <v>858</v>
      </c>
      <c r="B177" s="12" t="s">
        <v>19</v>
      </c>
      <c r="C177" s="12">
        <v>-14</v>
      </c>
      <c r="D177" s="12">
        <v>-0.08</v>
      </c>
      <c r="E177" s="12">
        <v>35.799999999999997</v>
      </c>
      <c r="F177" s="11">
        <v>2022</v>
      </c>
    </row>
    <row r="178" spans="1:6" x14ac:dyDescent="0.45">
      <c r="A178" s="17" t="s">
        <v>851</v>
      </c>
      <c r="B178" s="14" t="s">
        <v>850</v>
      </c>
      <c r="C178" s="14">
        <v>-1</v>
      </c>
      <c r="D178" s="14">
        <v>0</v>
      </c>
      <c r="E178" s="14">
        <v>41.2</v>
      </c>
      <c r="F178" s="11">
        <v>2022</v>
      </c>
    </row>
    <row r="179" spans="1:6" x14ac:dyDescent="0.45">
      <c r="A179" s="16" t="s">
        <v>947</v>
      </c>
      <c r="B179" s="12" t="s">
        <v>793</v>
      </c>
      <c r="C179" s="12">
        <v>-35</v>
      </c>
      <c r="D179" s="12">
        <v>-0.19</v>
      </c>
      <c r="E179" s="12">
        <v>40.200000000000003</v>
      </c>
      <c r="F179" s="11">
        <v>2022</v>
      </c>
    </row>
    <row r="180" spans="1:6" x14ac:dyDescent="0.45">
      <c r="A180" s="17" t="s">
        <v>877</v>
      </c>
      <c r="B180" s="14" t="s">
        <v>14</v>
      </c>
      <c r="C180" s="14">
        <v>-11</v>
      </c>
      <c r="D180" s="14">
        <v>-7.0000000000000007E-2</v>
      </c>
      <c r="E180" s="14">
        <v>35.1</v>
      </c>
      <c r="F180" s="11">
        <v>2022</v>
      </c>
    </row>
    <row r="181" spans="1:6" x14ac:dyDescent="0.45">
      <c r="A181" s="16" t="s">
        <v>867</v>
      </c>
      <c r="B181" s="12" t="s">
        <v>26</v>
      </c>
      <c r="C181" s="12">
        <v>165</v>
      </c>
      <c r="D181" s="12">
        <v>1.29</v>
      </c>
      <c r="E181" s="12">
        <v>46.9</v>
      </c>
      <c r="F181" s="11">
        <v>2022</v>
      </c>
    </row>
    <row r="182" spans="1:6" x14ac:dyDescent="0.45">
      <c r="A182" s="17" t="s">
        <v>878</v>
      </c>
      <c r="B182" s="14" t="s">
        <v>17</v>
      </c>
      <c r="C182" s="14">
        <v>87</v>
      </c>
      <c r="D182" s="14">
        <v>0.62</v>
      </c>
      <c r="E182" s="14">
        <v>45.3</v>
      </c>
      <c r="F182" s="11">
        <v>2022</v>
      </c>
    </row>
    <row r="183" spans="1:6" x14ac:dyDescent="0.45">
      <c r="A183" s="16" t="s">
        <v>879</v>
      </c>
      <c r="B183" s="12" t="s">
        <v>800</v>
      </c>
      <c r="C183" s="12">
        <v>-135</v>
      </c>
      <c r="D183" s="12">
        <v>-0.72</v>
      </c>
      <c r="E183" s="12">
        <v>35.299999999999997</v>
      </c>
      <c r="F183" s="11">
        <v>2022</v>
      </c>
    </row>
    <row r="184" spans="1:6" x14ac:dyDescent="0.45">
      <c r="A184" s="17" t="s">
        <v>856</v>
      </c>
      <c r="B184" s="14" t="s">
        <v>7</v>
      </c>
      <c r="C184" s="14">
        <v>-28</v>
      </c>
      <c r="D184" s="14">
        <v>-0.19</v>
      </c>
      <c r="E184" s="14">
        <v>39.5</v>
      </c>
      <c r="F184" s="11">
        <v>2022</v>
      </c>
    </row>
    <row r="185" spans="1:6" x14ac:dyDescent="0.45">
      <c r="A185" s="16" t="s">
        <v>807</v>
      </c>
      <c r="B185" s="12" t="s">
        <v>6</v>
      </c>
      <c r="C185" s="12">
        <v>37</v>
      </c>
      <c r="D185" s="12">
        <v>0.38</v>
      </c>
      <c r="E185" s="12">
        <v>37.5</v>
      </c>
      <c r="F185" s="11">
        <v>2022</v>
      </c>
    </row>
    <row r="186" spans="1:6" x14ac:dyDescent="0.45">
      <c r="A186" s="17" t="s">
        <v>813</v>
      </c>
      <c r="B186" s="14" t="s">
        <v>9</v>
      </c>
      <c r="C186" s="14">
        <v>95</v>
      </c>
      <c r="D186" s="14">
        <v>1.05</v>
      </c>
      <c r="E186" s="14">
        <v>43.3</v>
      </c>
      <c r="F186" s="11">
        <v>2022</v>
      </c>
    </row>
    <row r="187" spans="1:6" x14ac:dyDescent="0.45">
      <c r="A187" s="16" t="s">
        <v>880</v>
      </c>
      <c r="B187" s="12" t="s">
        <v>9</v>
      </c>
      <c r="C187" s="12">
        <v>12</v>
      </c>
      <c r="D187" s="12">
        <v>0.11</v>
      </c>
      <c r="E187" s="12">
        <v>29.6</v>
      </c>
      <c r="F187" s="11">
        <v>2022</v>
      </c>
    </row>
    <row r="188" spans="1:6" x14ac:dyDescent="0.45">
      <c r="A188" s="17" t="s">
        <v>845</v>
      </c>
      <c r="B188" s="14" t="s">
        <v>800</v>
      </c>
      <c r="C188" s="14">
        <v>-30</v>
      </c>
      <c r="D188" s="14">
        <v>-0.23</v>
      </c>
      <c r="E188" s="14">
        <v>34.1</v>
      </c>
      <c r="F188" s="11">
        <v>2022</v>
      </c>
    </row>
    <row r="189" spans="1:6" x14ac:dyDescent="0.45">
      <c r="A189" s="16" t="s">
        <v>815</v>
      </c>
      <c r="B189" s="12" t="s">
        <v>22</v>
      </c>
      <c r="C189" s="12">
        <v>-10</v>
      </c>
      <c r="D189" s="12">
        <v>-0.08</v>
      </c>
      <c r="E189" s="12">
        <v>41</v>
      </c>
      <c r="F189" s="11">
        <v>2022</v>
      </c>
    </row>
    <row r="190" spans="1:6" x14ac:dyDescent="0.45">
      <c r="A190" s="17" t="s">
        <v>832</v>
      </c>
      <c r="B190" s="14" t="s">
        <v>13</v>
      </c>
      <c r="C190" s="14">
        <v>35</v>
      </c>
      <c r="D190" s="14">
        <v>0.37</v>
      </c>
      <c r="E190" s="14">
        <v>37.9</v>
      </c>
      <c r="F190" s="11">
        <v>2022</v>
      </c>
    </row>
    <row r="191" spans="1:6" x14ac:dyDescent="0.45">
      <c r="A191" s="16" t="s">
        <v>881</v>
      </c>
      <c r="B191" s="12" t="s">
        <v>797</v>
      </c>
      <c r="C191" s="12">
        <v>33</v>
      </c>
      <c r="D191" s="12">
        <v>0.32</v>
      </c>
      <c r="E191" s="12">
        <v>47.2</v>
      </c>
      <c r="F191" s="11">
        <v>2022</v>
      </c>
    </row>
    <row r="192" spans="1:6" x14ac:dyDescent="0.45">
      <c r="A192" s="17" t="s">
        <v>864</v>
      </c>
      <c r="B192" s="14" t="s">
        <v>12</v>
      </c>
      <c r="C192" s="14">
        <v>26</v>
      </c>
      <c r="D192" s="14">
        <v>0.28000000000000003</v>
      </c>
      <c r="E192" s="14">
        <v>40.9</v>
      </c>
      <c r="F192" s="11">
        <v>2022</v>
      </c>
    </row>
    <row r="193" spans="1:6" x14ac:dyDescent="0.45">
      <c r="A193" s="16" t="s">
        <v>882</v>
      </c>
      <c r="B193" s="12" t="s">
        <v>18</v>
      </c>
      <c r="C193" s="12">
        <v>-45</v>
      </c>
      <c r="D193" s="12">
        <v>-0.41</v>
      </c>
      <c r="E193" s="12">
        <v>25</v>
      </c>
      <c r="F193" s="11">
        <v>2022</v>
      </c>
    </row>
    <row r="194" spans="1:6" x14ac:dyDescent="0.45">
      <c r="A194" s="17" t="s">
        <v>849</v>
      </c>
      <c r="B194" s="14" t="s">
        <v>18</v>
      </c>
      <c r="C194" s="14">
        <v>-64</v>
      </c>
      <c r="D194" s="14">
        <v>-0.59</v>
      </c>
      <c r="E194" s="14">
        <v>30</v>
      </c>
      <c r="F194" s="11">
        <v>2022</v>
      </c>
    </row>
    <row r="195" spans="1:6" x14ac:dyDescent="0.45">
      <c r="A195" s="16" t="s">
        <v>883</v>
      </c>
      <c r="B195" s="12" t="s">
        <v>23</v>
      </c>
      <c r="C195" s="12">
        <v>-21</v>
      </c>
      <c r="D195" s="12">
        <v>-0.22</v>
      </c>
      <c r="E195" s="12">
        <v>43.6</v>
      </c>
      <c r="F195" s="11">
        <v>2022</v>
      </c>
    </row>
    <row r="196" spans="1:6" x14ac:dyDescent="0.45">
      <c r="A196" s="18" t="s">
        <v>950</v>
      </c>
      <c r="B196" s="15" t="s">
        <v>795</v>
      </c>
      <c r="C196" s="15">
        <v>-67</v>
      </c>
      <c r="D196" s="15">
        <v>-0.76</v>
      </c>
      <c r="E196" s="15">
        <v>35.200000000000003</v>
      </c>
      <c r="F196" s="11">
        <v>2022</v>
      </c>
    </row>
    <row r="197" spans="1:6" x14ac:dyDescent="0.45">
      <c r="A197" s="16" t="s">
        <v>839</v>
      </c>
      <c r="B197" s="12" t="s">
        <v>12</v>
      </c>
      <c r="C197" s="12">
        <v>390</v>
      </c>
      <c r="D197" s="12">
        <v>1.19</v>
      </c>
      <c r="E197" s="12">
        <v>41.9</v>
      </c>
      <c r="F197" s="12">
        <v>2021</v>
      </c>
    </row>
    <row r="198" spans="1:6" x14ac:dyDescent="0.45">
      <c r="A198" s="17" t="s">
        <v>830</v>
      </c>
      <c r="B198" s="14" t="s">
        <v>22</v>
      </c>
      <c r="C198" s="14">
        <v>255</v>
      </c>
      <c r="D198" s="14">
        <v>1.1299999999999999</v>
      </c>
      <c r="E198" s="14">
        <v>42</v>
      </c>
      <c r="F198" s="12">
        <v>2021</v>
      </c>
    </row>
    <row r="199" spans="1:6" x14ac:dyDescent="0.45">
      <c r="A199" s="16" t="s">
        <v>853</v>
      </c>
      <c r="B199" s="12" t="s">
        <v>23</v>
      </c>
      <c r="C199" s="12">
        <v>-21</v>
      </c>
      <c r="D199" s="12">
        <v>-7.0000000000000007E-2</v>
      </c>
      <c r="E199" s="12">
        <v>35.9</v>
      </c>
      <c r="F199" s="12">
        <v>2021</v>
      </c>
    </row>
    <row r="200" spans="1:6" x14ac:dyDescent="0.45">
      <c r="A200" s="17" t="s">
        <v>852</v>
      </c>
      <c r="B200" s="14" t="s">
        <v>16</v>
      </c>
      <c r="C200" s="14">
        <v>-81</v>
      </c>
      <c r="D200" s="14">
        <v>-0.27</v>
      </c>
      <c r="E200" s="14">
        <v>33.6</v>
      </c>
      <c r="F200" s="12">
        <v>2021</v>
      </c>
    </row>
    <row r="201" spans="1:6" x14ac:dyDescent="0.45">
      <c r="A201" s="16" t="s">
        <v>876</v>
      </c>
      <c r="B201" s="12" t="s">
        <v>3</v>
      </c>
      <c r="C201" s="12">
        <v>38</v>
      </c>
      <c r="D201" s="12">
        <v>0.16</v>
      </c>
      <c r="E201" s="12">
        <v>38</v>
      </c>
      <c r="F201" s="12">
        <v>2021</v>
      </c>
    </row>
    <row r="202" spans="1:6" x14ac:dyDescent="0.45">
      <c r="A202" s="17" t="s">
        <v>856</v>
      </c>
      <c r="B202" s="14" t="s">
        <v>7</v>
      </c>
      <c r="C202" s="14">
        <v>1</v>
      </c>
      <c r="D202" s="14">
        <v>0.01</v>
      </c>
      <c r="E202" s="14">
        <v>38.799999999999997</v>
      </c>
      <c r="F202" s="12">
        <v>2021</v>
      </c>
    </row>
    <row r="203" spans="1:6" x14ac:dyDescent="0.45">
      <c r="A203" s="16" t="s">
        <v>865</v>
      </c>
      <c r="B203" s="12" t="s">
        <v>25</v>
      </c>
      <c r="C203" s="12">
        <v>-45</v>
      </c>
      <c r="D203" s="12">
        <v>-0.19</v>
      </c>
      <c r="E203" s="12">
        <v>38</v>
      </c>
      <c r="F203" s="12">
        <v>2021</v>
      </c>
    </row>
    <row r="204" spans="1:6" x14ac:dyDescent="0.45">
      <c r="A204" s="17" t="s">
        <v>884</v>
      </c>
      <c r="B204" s="14" t="s">
        <v>799</v>
      </c>
      <c r="C204" s="14">
        <v>57</v>
      </c>
      <c r="D204" s="14">
        <v>0.28000000000000003</v>
      </c>
      <c r="E204" s="14">
        <v>39</v>
      </c>
      <c r="F204" s="12">
        <v>2021</v>
      </c>
    </row>
    <row r="205" spans="1:6" x14ac:dyDescent="0.45">
      <c r="A205" s="16" t="s">
        <v>822</v>
      </c>
      <c r="B205" s="12" t="s">
        <v>4</v>
      </c>
      <c r="C205" s="12">
        <v>25</v>
      </c>
      <c r="D205" s="12">
        <v>0.11</v>
      </c>
      <c r="E205" s="12">
        <v>36.4</v>
      </c>
      <c r="F205" s="12">
        <v>2021</v>
      </c>
    </row>
    <row r="206" spans="1:6" x14ac:dyDescent="0.45">
      <c r="A206" s="17" t="s">
        <v>881</v>
      </c>
      <c r="B206" s="14" t="s">
        <v>797</v>
      </c>
      <c r="C206" s="14">
        <v>111</v>
      </c>
      <c r="D206" s="14">
        <v>0.56999999999999995</v>
      </c>
      <c r="E206" s="14">
        <v>42.3</v>
      </c>
      <c r="F206" s="12">
        <v>2021</v>
      </c>
    </row>
    <row r="207" spans="1:6" x14ac:dyDescent="0.45">
      <c r="A207" s="16" t="s">
        <v>950</v>
      </c>
      <c r="B207" s="12" t="s">
        <v>14</v>
      </c>
      <c r="C207" s="12">
        <v>74</v>
      </c>
      <c r="D207" s="12">
        <v>0.37</v>
      </c>
      <c r="E207" s="12">
        <v>38.1</v>
      </c>
      <c r="F207" s="12">
        <v>2021</v>
      </c>
    </row>
    <row r="208" spans="1:6" x14ac:dyDescent="0.45">
      <c r="A208" s="17" t="s">
        <v>866</v>
      </c>
      <c r="B208" s="14" t="s">
        <v>15</v>
      </c>
      <c r="C208" s="14">
        <v>-11</v>
      </c>
      <c r="D208" s="14">
        <v>-0.06</v>
      </c>
      <c r="E208" s="14">
        <v>38</v>
      </c>
      <c r="F208" s="12">
        <v>2021</v>
      </c>
    </row>
    <row r="209" spans="1:6" x14ac:dyDescent="0.45">
      <c r="A209" s="16" t="s">
        <v>812</v>
      </c>
      <c r="B209" s="12" t="s">
        <v>14</v>
      </c>
      <c r="C209" s="12">
        <v>11</v>
      </c>
      <c r="D209" s="12">
        <v>0.06</v>
      </c>
      <c r="E209" s="12">
        <v>36.299999999999997</v>
      </c>
      <c r="F209" s="12">
        <v>2021</v>
      </c>
    </row>
    <row r="210" spans="1:6" x14ac:dyDescent="0.45">
      <c r="A210" s="17" t="s">
        <v>848</v>
      </c>
      <c r="B210" s="14" t="s">
        <v>798</v>
      </c>
      <c r="C210" s="14">
        <v>-140</v>
      </c>
      <c r="D210" s="14">
        <v>-0.59</v>
      </c>
      <c r="E210" s="14">
        <v>31.5</v>
      </c>
      <c r="F210" s="12">
        <v>2021</v>
      </c>
    </row>
    <row r="211" spans="1:6" x14ac:dyDescent="0.45">
      <c r="A211" s="16" t="s">
        <v>826</v>
      </c>
      <c r="B211" s="12" t="s">
        <v>796</v>
      </c>
      <c r="C211" s="12">
        <v>-13</v>
      </c>
      <c r="D211" s="12">
        <v>-0.06</v>
      </c>
      <c r="E211" s="12">
        <v>41.8</v>
      </c>
      <c r="F211" s="12">
        <v>2021</v>
      </c>
    </row>
    <row r="212" spans="1:6" x14ac:dyDescent="0.45">
      <c r="A212" s="17" t="s">
        <v>841</v>
      </c>
      <c r="B212" s="14" t="s">
        <v>24</v>
      </c>
      <c r="C212" s="14">
        <v>17</v>
      </c>
      <c r="D212" s="14">
        <v>0.09</v>
      </c>
      <c r="E212" s="14">
        <v>36.799999999999997</v>
      </c>
      <c r="F212" s="12">
        <v>2021</v>
      </c>
    </row>
    <row r="213" spans="1:6" x14ac:dyDescent="0.45">
      <c r="A213" s="16" t="s">
        <v>838</v>
      </c>
      <c r="B213" s="12" t="s">
        <v>26</v>
      </c>
      <c r="C213" s="12">
        <v>-80</v>
      </c>
      <c r="D213" s="12">
        <v>-0.36</v>
      </c>
      <c r="E213" s="12">
        <v>34.5</v>
      </c>
      <c r="F213" s="12">
        <v>2021</v>
      </c>
    </row>
    <row r="214" spans="1:6" x14ac:dyDescent="0.45">
      <c r="A214" s="17" t="s">
        <v>885</v>
      </c>
      <c r="B214" s="14" t="s">
        <v>19</v>
      </c>
      <c r="C214" s="14">
        <v>-54</v>
      </c>
      <c r="D214" s="14">
        <v>-0.26</v>
      </c>
      <c r="E214" s="14">
        <v>33.299999999999997</v>
      </c>
      <c r="F214" s="12">
        <v>2021</v>
      </c>
    </row>
    <row r="215" spans="1:6" x14ac:dyDescent="0.45">
      <c r="A215" s="16" t="s">
        <v>879</v>
      </c>
      <c r="B215" s="12" t="s">
        <v>800</v>
      </c>
      <c r="C215" s="12">
        <v>48</v>
      </c>
      <c r="D215" s="12">
        <v>0.27</v>
      </c>
      <c r="E215" s="12">
        <v>42.1</v>
      </c>
      <c r="F215" s="12">
        <v>2021</v>
      </c>
    </row>
    <row r="216" spans="1:6" x14ac:dyDescent="0.45">
      <c r="A216" s="17" t="s">
        <v>947</v>
      </c>
      <c r="B216" s="14" t="s">
        <v>793</v>
      </c>
      <c r="C216" s="14">
        <v>47</v>
      </c>
      <c r="D216" s="14">
        <v>0.25</v>
      </c>
      <c r="E216" s="14">
        <v>45.2</v>
      </c>
      <c r="F216" s="12">
        <v>2021</v>
      </c>
    </row>
    <row r="217" spans="1:6" x14ac:dyDescent="0.45">
      <c r="A217" s="16" t="s">
        <v>942</v>
      </c>
      <c r="B217" s="12" t="s">
        <v>793</v>
      </c>
      <c r="C217" s="12">
        <v>49</v>
      </c>
      <c r="D217" s="12">
        <v>0.28999999999999998</v>
      </c>
      <c r="E217" s="12">
        <v>38.200000000000003</v>
      </c>
      <c r="F217" s="12">
        <v>2021</v>
      </c>
    </row>
    <row r="218" spans="1:6" x14ac:dyDescent="0.45">
      <c r="A218" s="17" t="s">
        <v>882</v>
      </c>
      <c r="B218" s="14" t="s">
        <v>837</v>
      </c>
      <c r="C218" s="14">
        <v>-16</v>
      </c>
      <c r="D218" s="14">
        <v>-0.1</v>
      </c>
      <c r="E218" s="14">
        <v>35.200000000000003</v>
      </c>
      <c r="F218" s="12">
        <v>2021</v>
      </c>
    </row>
    <row r="219" spans="1:6" x14ac:dyDescent="0.45">
      <c r="A219" s="16" t="s">
        <v>870</v>
      </c>
      <c r="B219" s="12" t="s">
        <v>8</v>
      </c>
      <c r="C219" s="12">
        <v>37</v>
      </c>
      <c r="D219" s="12">
        <v>0.27</v>
      </c>
      <c r="E219" s="12">
        <v>38.200000000000003</v>
      </c>
      <c r="F219" s="12">
        <v>2021</v>
      </c>
    </row>
    <row r="220" spans="1:6" x14ac:dyDescent="0.45">
      <c r="A220" s="17" t="s">
        <v>851</v>
      </c>
      <c r="B220" s="14" t="s">
        <v>886</v>
      </c>
      <c r="C220" s="14">
        <v>-66</v>
      </c>
      <c r="D220" s="14">
        <v>-0.33</v>
      </c>
      <c r="E220" s="14">
        <v>36.799999999999997</v>
      </c>
      <c r="F220" s="12">
        <v>2021</v>
      </c>
    </row>
    <row r="221" spans="1:6" x14ac:dyDescent="0.45">
      <c r="A221" s="16" t="s">
        <v>887</v>
      </c>
      <c r="B221" s="12" t="s">
        <v>5</v>
      </c>
      <c r="C221" s="12">
        <v>217</v>
      </c>
      <c r="D221" s="12">
        <v>1.86</v>
      </c>
      <c r="E221" s="12">
        <v>39.299999999999997</v>
      </c>
      <c r="F221" s="12">
        <v>2021</v>
      </c>
    </row>
    <row r="222" spans="1:6" x14ac:dyDescent="0.45">
      <c r="A222" s="17" t="s">
        <v>827</v>
      </c>
      <c r="B222" s="14" t="s">
        <v>25</v>
      </c>
      <c r="C222" s="14">
        <v>103</v>
      </c>
      <c r="D222" s="14">
        <v>0.81</v>
      </c>
      <c r="E222" s="14">
        <v>41.3</v>
      </c>
      <c r="F222" s="12">
        <v>2021</v>
      </c>
    </row>
    <row r="223" spans="1:6" x14ac:dyDescent="0.45">
      <c r="A223" s="16" t="s">
        <v>951</v>
      </c>
      <c r="B223" s="12" t="s">
        <v>19</v>
      </c>
      <c r="C223" s="12">
        <v>-47</v>
      </c>
      <c r="D223" s="12">
        <v>-0.32</v>
      </c>
      <c r="E223" s="12">
        <v>33.799999999999997</v>
      </c>
      <c r="F223" s="12">
        <v>2021</v>
      </c>
    </row>
    <row r="224" spans="1:6" x14ac:dyDescent="0.45">
      <c r="A224" s="17" t="s">
        <v>849</v>
      </c>
      <c r="B224" s="14" t="s">
        <v>18</v>
      </c>
      <c r="C224" s="14">
        <v>70</v>
      </c>
      <c r="D224" s="14">
        <v>0.48</v>
      </c>
      <c r="E224" s="14">
        <v>44.9</v>
      </c>
      <c r="F224" s="12">
        <v>2021</v>
      </c>
    </row>
    <row r="225" spans="1:6" x14ac:dyDescent="0.45">
      <c r="A225" s="16" t="s">
        <v>878</v>
      </c>
      <c r="B225" s="12" t="s">
        <v>17</v>
      </c>
      <c r="C225" s="12">
        <v>-9</v>
      </c>
      <c r="D225" s="12">
        <v>-0.06</v>
      </c>
      <c r="E225" s="12">
        <v>35.799999999999997</v>
      </c>
      <c r="F225" s="12">
        <v>2021</v>
      </c>
    </row>
    <row r="226" spans="1:6" x14ac:dyDescent="0.45">
      <c r="A226" s="17" t="s">
        <v>807</v>
      </c>
      <c r="B226" s="14" t="s">
        <v>6</v>
      </c>
      <c r="C226" s="14">
        <v>-59</v>
      </c>
      <c r="D226" s="14">
        <v>-0.39</v>
      </c>
      <c r="E226" s="14">
        <v>31.1</v>
      </c>
      <c r="F226" s="12">
        <v>2021</v>
      </c>
    </row>
    <row r="227" spans="1:6" x14ac:dyDescent="0.45">
      <c r="A227" s="16" t="s">
        <v>832</v>
      </c>
      <c r="B227" s="12" t="s">
        <v>13</v>
      </c>
      <c r="C227" s="12">
        <v>-101</v>
      </c>
      <c r="D227" s="12">
        <v>-0.6</v>
      </c>
      <c r="E227" s="12">
        <v>35.1</v>
      </c>
      <c r="F227" s="12">
        <v>2021</v>
      </c>
    </row>
    <row r="228" spans="1:6" x14ac:dyDescent="0.45">
      <c r="A228" s="17" t="s">
        <v>888</v>
      </c>
      <c r="B228" s="14" t="s">
        <v>20</v>
      </c>
      <c r="C228" s="14">
        <v>-115</v>
      </c>
      <c r="D228" s="14">
        <v>-0.67</v>
      </c>
      <c r="E228" s="14">
        <v>31</v>
      </c>
      <c r="F228" s="12">
        <v>2021</v>
      </c>
    </row>
    <row r="229" spans="1:6" x14ac:dyDescent="0.45">
      <c r="A229" s="16" t="s">
        <v>814</v>
      </c>
      <c r="B229" s="12" t="s">
        <v>797</v>
      </c>
      <c r="C229" s="12">
        <v>68</v>
      </c>
      <c r="D229" s="12">
        <v>0.51</v>
      </c>
      <c r="E229" s="12">
        <v>43.9</v>
      </c>
      <c r="F229" s="12">
        <v>2021</v>
      </c>
    </row>
    <row r="230" spans="1:6" x14ac:dyDescent="0.45">
      <c r="A230" s="17" t="s">
        <v>875</v>
      </c>
      <c r="B230" s="14" t="s">
        <v>6</v>
      </c>
      <c r="C230" s="14">
        <v>-50</v>
      </c>
      <c r="D230" s="14">
        <v>-0.33</v>
      </c>
      <c r="E230" s="14">
        <v>36.799999999999997</v>
      </c>
      <c r="F230" s="12">
        <v>2021</v>
      </c>
    </row>
    <row r="231" spans="1:6" x14ac:dyDescent="0.45">
      <c r="A231" s="16" t="s">
        <v>889</v>
      </c>
      <c r="B231" s="12" t="s">
        <v>10</v>
      </c>
      <c r="C231" s="12">
        <v>-35</v>
      </c>
      <c r="D231" s="12">
        <v>-0.24</v>
      </c>
      <c r="E231" s="12">
        <v>39.200000000000003</v>
      </c>
      <c r="F231" s="12">
        <v>2021</v>
      </c>
    </row>
    <row r="232" spans="1:6" x14ac:dyDescent="0.45">
      <c r="A232" s="17" t="s">
        <v>836</v>
      </c>
      <c r="B232" s="14" t="s">
        <v>10</v>
      </c>
      <c r="C232" s="14">
        <v>-45</v>
      </c>
      <c r="D232" s="14">
        <v>-0.28000000000000003</v>
      </c>
      <c r="E232" s="14">
        <v>32.299999999999997</v>
      </c>
      <c r="F232" s="12">
        <v>2021</v>
      </c>
    </row>
    <row r="233" spans="1:6" x14ac:dyDescent="0.45">
      <c r="A233" s="16" t="s">
        <v>890</v>
      </c>
      <c r="B233" s="12" t="s">
        <v>850</v>
      </c>
      <c r="C233" s="12">
        <v>8</v>
      </c>
      <c r="D233" s="12">
        <v>7.0000000000000007E-2</v>
      </c>
      <c r="E233" s="12">
        <v>33.9</v>
      </c>
      <c r="F233" s="12">
        <v>2021</v>
      </c>
    </row>
    <row r="234" spans="1:6" x14ac:dyDescent="0.45">
      <c r="A234" s="17" t="s">
        <v>891</v>
      </c>
      <c r="B234" s="14" t="s">
        <v>9</v>
      </c>
      <c r="C234" s="14">
        <v>-65</v>
      </c>
      <c r="D234" s="14">
        <v>-0.49</v>
      </c>
      <c r="E234" s="14">
        <v>36.6</v>
      </c>
      <c r="F234" s="12">
        <v>2021</v>
      </c>
    </row>
    <row r="235" spans="1:6" x14ac:dyDescent="0.45">
      <c r="A235" s="16" t="s">
        <v>871</v>
      </c>
      <c r="B235" s="12" t="s">
        <v>4</v>
      </c>
      <c r="C235" s="12">
        <v>11</v>
      </c>
      <c r="D235" s="12">
        <v>0.08</v>
      </c>
      <c r="E235" s="12">
        <v>33.1</v>
      </c>
      <c r="F235" s="12">
        <v>2021</v>
      </c>
    </row>
    <row r="236" spans="1:6" x14ac:dyDescent="0.45">
      <c r="A236" s="17" t="s">
        <v>892</v>
      </c>
      <c r="B236" s="14" t="s">
        <v>795</v>
      </c>
      <c r="C236" s="14">
        <v>-82</v>
      </c>
      <c r="D236" s="14">
        <v>-0.59</v>
      </c>
      <c r="E236" s="14">
        <v>36.700000000000003</v>
      </c>
      <c r="F236" s="12">
        <v>2021</v>
      </c>
    </row>
    <row r="237" spans="1:6" x14ac:dyDescent="0.45">
      <c r="A237" s="16" t="s">
        <v>952</v>
      </c>
      <c r="B237" s="12" t="s">
        <v>798</v>
      </c>
      <c r="C237" s="12">
        <v>-55</v>
      </c>
      <c r="D237" s="12">
        <v>-0.35</v>
      </c>
      <c r="E237" s="12">
        <v>32.5</v>
      </c>
      <c r="F237" s="12">
        <v>2021</v>
      </c>
    </row>
    <row r="238" spans="1:6" x14ac:dyDescent="0.45">
      <c r="A238" s="17" t="s">
        <v>893</v>
      </c>
      <c r="B238" s="14" t="s">
        <v>22</v>
      </c>
      <c r="C238" s="14">
        <v>140</v>
      </c>
      <c r="D238" s="14">
        <v>1.42</v>
      </c>
      <c r="E238" s="14">
        <v>58.6</v>
      </c>
      <c r="F238" s="12">
        <v>2021</v>
      </c>
    </row>
    <row r="239" spans="1:6" x14ac:dyDescent="0.45">
      <c r="A239" s="16" t="s">
        <v>894</v>
      </c>
      <c r="B239" s="12" t="s">
        <v>795</v>
      </c>
      <c r="C239" s="12">
        <v>-40</v>
      </c>
      <c r="D239" s="12">
        <v>-0.34</v>
      </c>
      <c r="E239" s="12">
        <v>39.799999999999997</v>
      </c>
      <c r="F239" s="12">
        <v>2021</v>
      </c>
    </row>
    <row r="240" spans="1:6" x14ac:dyDescent="0.45">
      <c r="A240" s="17" t="s">
        <v>895</v>
      </c>
      <c r="B240" s="14" t="s">
        <v>17</v>
      </c>
      <c r="C240" s="14">
        <v>-85</v>
      </c>
      <c r="D240" s="14">
        <v>-0.62</v>
      </c>
      <c r="E240" s="14">
        <v>28.5</v>
      </c>
      <c r="F240" s="12">
        <v>2021</v>
      </c>
    </row>
    <row r="241" spans="1:6" x14ac:dyDescent="0.45">
      <c r="A241" s="16" t="s">
        <v>877</v>
      </c>
      <c r="B241" s="12" t="s">
        <v>9</v>
      </c>
      <c r="C241" s="12">
        <v>8</v>
      </c>
      <c r="D241" s="12">
        <v>7.0000000000000007E-2</v>
      </c>
      <c r="E241" s="12">
        <v>33.6</v>
      </c>
      <c r="F241" s="12">
        <v>2021</v>
      </c>
    </row>
    <row r="242" spans="1:6" x14ac:dyDescent="0.45">
      <c r="A242" s="17" t="s">
        <v>860</v>
      </c>
      <c r="B242" s="14" t="s">
        <v>3</v>
      </c>
      <c r="C242" s="14">
        <v>-74</v>
      </c>
      <c r="D242" s="14">
        <v>-0.55000000000000004</v>
      </c>
      <c r="E242" s="14">
        <v>32.299999999999997</v>
      </c>
      <c r="F242" s="12">
        <v>2021</v>
      </c>
    </row>
    <row r="243" spans="1:6" x14ac:dyDescent="0.45">
      <c r="A243" s="16" t="s">
        <v>847</v>
      </c>
      <c r="B243" s="12" t="s">
        <v>13</v>
      </c>
      <c r="C243" s="12">
        <v>-6</v>
      </c>
      <c r="D243" s="12">
        <v>-0.06</v>
      </c>
      <c r="E243" s="12">
        <v>41.1</v>
      </c>
      <c r="F243" s="12">
        <v>2021</v>
      </c>
    </row>
    <row r="244" spans="1:6" x14ac:dyDescent="0.45">
      <c r="A244" s="17" t="s">
        <v>867</v>
      </c>
      <c r="B244" s="14" t="s">
        <v>26</v>
      </c>
      <c r="C244" s="14">
        <v>-14</v>
      </c>
      <c r="D244" s="14">
        <v>-0.14000000000000001</v>
      </c>
      <c r="E244" s="14">
        <v>38.200000000000003</v>
      </c>
      <c r="F244" s="12">
        <v>2021</v>
      </c>
    </row>
    <row r="245" spans="1:6" x14ac:dyDescent="0.45">
      <c r="A245" s="16" t="s">
        <v>953</v>
      </c>
      <c r="B245" s="12" t="s">
        <v>800</v>
      </c>
      <c r="C245" s="12">
        <v>-18</v>
      </c>
      <c r="D245" s="12">
        <v>-0.18</v>
      </c>
      <c r="E245" s="12">
        <v>40</v>
      </c>
      <c r="F245" s="12">
        <v>2021</v>
      </c>
    </row>
    <row r="246" spans="1:6" x14ac:dyDescent="0.45">
      <c r="A246" s="17" t="s">
        <v>896</v>
      </c>
      <c r="B246" s="14" t="s">
        <v>21</v>
      </c>
      <c r="C246" s="14">
        <v>-26</v>
      </c>
      <c r="D246" s="14">
        <v>-0.22</v>
      </c>
      <c r="E246" s="14">
        <v>33.299999999999997</v>
      </c>
      <c r="F246" s="12">
        <v>2021</v>
      </c>
    </row>
    <row r="247" spans="1:6" x14ac:dyDescent="0.45">
      <c r="A247" s="16" t="s">
        <v>897</v>
      </c>
      <c r="B247" s="12" t="s">
        <v>5</v>
      </c>
      <c r="C247" s="12">
        <v>-90</v>
      </c>
      <c r="D247" s="12">
        <v>-0.85</v>
      </c>
      <c r="E247" s="12">
        <v>27.4</v>
      </c>
      <c r="F247" s="12">
        <v>2021</v>
      </c>
    </row>
    <row r="248" spans="1:6" x14ac:dyDescent="0.45">
      <c r="A248" s="18" t="s">
        <v>864</v>
      </c>
      <c r="B248" s="15" t="s">
        <v>24</v>
      </c>
      <c r="C248" s="15">
        <v>-75</v>
      </c>
      <c r="D248" s="15">
        <v>-0.78</v>
      </c>
      <c r="E248" s="15">
        <v>35.4</v>
      </c>
      <c r="F248" s="12">
        <v>2021</v>
      </c>
    </row>
    <row r="249" spans="1:6" x14ac:dyDescent="0.45">
      <c r="A249" s="16" t="s">
        <v>822</v>
      </c>
      <c r="B249" s="12" t="s">
        <v>4</v>
      </c>
      <c r="C249" s="12">
        <v>367</v>
      </c>
      <c r="D249" s="12">
        <v>1</v>
      </c>
      <c r="E249" s="12">
        <v>42.7</v>
      </c>
      <c r="F249" s="12">
        <v>2020</v>
      </c>
    </row>
    <row r="250" spans="1:6" x14ac:dyDescent="0.45">
      <c r="A250" s="17" t="s">
        <v>876</v>
      </c>
      <c r="B250" s="14" t="s">
        <v>3</v>
      </c>
      <c r="C250" s="14">
        <v>171</v>
      </c>
      <c r="D250" s="14">
        <v>0.55000000000000004</v>
      </c>
      <c r="E250" s="14">
        <v>41.9</v>
      </c>
      <c r="F250" s="12">
        <v>2020</v>
      </c>
    </row>
    <row r="251" spans="1:6" x14ac:dyDescent="0.45">
      <c r="A251" s="16" t="s">
        <v>839</v>
      </c>
      <c r="B251" s="12" t="s">
        <v>12</v>
      </c>
      <c r="C251" s="12">
        <v>151</v>
      </c>
      <c r="D251" s="12">
        <v>0.66</v>
      </c>
      <c r="E251" s="12">
        <v>42.5</v>
      </c>
      <c r="F251" s="12">
        <v>2020</v>
      </c>
    </row>
    <row r="252" spans="1:6" x14ac:dyDescent="0.45">
      <c r="A252" s="17" t="s">
        <v>942</v>
      </c>
      <c r="B252" s="14" t="s">
        <v>793</v>
      </c>
      <c r="C252" s="14">
        <v>128</v>
      </c>
      <c r="D252" s="14">
        <v>0.64</v>
      </c>
      <c r="E252" s="14">
        <v>39.5</v>
      </c>
      <c r="F252" s="12">
        <v>2020</v>
      </c>
    </row>
    <row r="253" spans="1:6" x14ac:dyDescent="0.45">
      <c r="A253" s="16" t="s">
        <v>838</v>
      </c>
      <c r="B253" s="12" t="s">
        <v>26</v>
      </c>
      <c r="C253" s="12">
        <v>52</v>
      </c>
      <c r="D253" s="12">
        <v>0.21</v>
      </c>
      <c r="E253" s="12">
        <v>36.5</v>
      </c>
      <c r="F253" s="12">
        <v>2020</v>
      </c>
    </row>
    <row r="254" spans="1:6" x14ac:dyDescent="0.45">
      <c r="A254" s="17" t="s">
        <v>882</v>
      </c>
      <c r="B254" s="14" t="s">
        <v>837</v>
      </c>
      <c r="C254" s="14">
        <v>40</v>
      </c>
      <c r="D254" s="14">
        <v>0.17</v>
      </c>
      <c r="E254" s="14">
        <v>37.6</v>
      </c>
      <c r="F254" s="12">
        <v>2020</v>
      </c>
    </row>
    <row r="255" spans="1:6" x14ac:dyDescent="0.45">
      <c r="A255" s="16" t="s">
        <v>830</v>
      </c>
      <c r="B255" s="12" t="s">
        <v>22</v>
      </c>
      <c r="C255" s="12">
        <v>295</v>
      </c>
      <c r="D255" s="12">
        <v>1.58</v>
      </c>
      <c r="E255" s="12">
        <v>40.299999999999997</v>
      </c>
      <c r="F255" s="12">
        <v>2020</v>
      </c>
    </row>
    <row r="256" spans="1:6" x14ac:dyDescent="0.45">
      <c r="A256" s="17" t="s">
        <v>826</v>
      </c>
      <c r="B256" s="14" t="s">
        <v>796</v>
      </c>
      <c r="C256" s="14">
        <v>-8</v>
      </c>
      <c r="D256" s="14">
        <v>-0.03</v>
      </c>
      <c r="E256" s="14">
        <v>39.1</v>
      </c>
      <c r="F256" s="12">
        <v>2020</v>
      </c>
    </row>
    <row r="257" spans="1:6" x14ac:dyDescent="0.45">
      <c r="A257" s="16" t="s">
        <v>950</v>
      </c>
      <c r="B257" s="12" t="s">
        <v>14</v>
      </c>
      <c r="C257" s="12">
        <v>6</v>
      </c>
      <c r="D257" s="12">
        <v>0.03</v>
      </c>
      <c r="E257" s="12">
        <v>36.200000000000003</v>
      </c>
      <c r="F257" s="12">
        <v>2020</v>
      </c>
    </row>
    <row r="258" spans="1:6" x14ac:dyDescent="0.45">
      <c r="A258" s="17" t="s">
        <v>865</v>
      </c>
      <c r="B258" s="14" t="s">
        <v>25</v>
      </c>
      <c r="C258" s="14">
        <v>8</v>
      </c>
      <c r="D258" s="14">
        <v>0.03</v>
      </c>
      <c r="E258" s="14">
        <v>42.7</v>
      </c>
      <c r="F258" s="12">
        <v>2020</v>
      </c>
    </row>
    <row r="259" spans="1:6" x14ac:dyDescent="0.45">
      <c r="A259" s="16" t="s">
        <v>953</v>
      </c>
      <c r="B259" s="12" t="s">
        <v>800</v>
      </c>
      <c r="C259" s="12">
        <v>189</v>
      </c>
      <c r="D259" s="12">
        <v>0.99</v>
      </c>
      <c r="E259" s="12">
        <v>45.5</v>
      </c>
      <c r="F259" s="12">
        <v>2020</v>
      </c>
    </row>
    <row r="260" spans="1:6" x14ac:dyDescent="0.45">
      <c r="A260" s="17" t="s">
        <v>880</v>
      </c>
      <c r="B260" s="14" t="s">
        <v>850</v>
      </c>
      <c r="C260" s="14">
        <v>-64</v>
      </c>
      <c r="D260" s="14">
        <v>-0.27</v>
      </c>
      <c r="E260" s="14">
        <v>31.4</v>
      </c>
      <c r="F260" s="12">
        <v>2020</v>
      </c>
    </row>
    <row r="261" spans="1:6" x14ac:dyDescent="0.45">
      <c r="A261" s="16" t="s">
        <v>848</v>
      </c>
      <c r="B261" s="12" t="s">
        <v>798</v>
      </c>
      <c r="C261" s="12">
        <v>77</v>
      </c>
      <c r="D261" s="12">
        <v>0.42</v>
      </c>
      <c r="E261" s="12">
        <v>39.5</v>
      </c>
      <c r="F261" s="12">
        <v>2020</v>
      </c>
    </row>
    <row r="262" spans="1:6" x14ac:dyDescent="0.45">
      <c r="A262" s="17" t="s">
        <v>870</v>
      </c>
      <c r="B262" s="14" t="s">
        <v>8</v>
      </c>
      <c r="C262" s="14">
        <v>8</v>
      </c>
      <c r="D262" s="14">
        <v>0.05</v>
      </c>
      <c r="E262" s="14">
        <v>34.4</v>
      </c>
      <c r="F262" s="12">
        <v>2020</v>
      </c>
    </row>
    <row r="263" spans="1:6" x14ac:dyDescent="0.45">
      <c r="A263" s="16" t="s">
        <v>815</v>
      </c>
      <c r="B263" s="12" t="s">
        <v>22</v>
      </c>
      <c r="C263" s="12">
        <v>36</v>
      </c>
      <c r="D263" s="12">
        <v>0.18</v>
      </c>
      <c r="E263" s="12">
        <v>41.4</v>
      </c>
      <c r="F263" s="12">
        <v>2020</v>
      </c>
    </row>
    <row r="264" spans="1:6" x14ac:dyDescent="0.45">
      <c r="A264" s="17" t="s">
        <v>813</v>
      </c>
      <c r="B264" s="14" t="s">
        <v>9</v>
      </c>
      <c r="C264" s="14">
        <v>196</v>
      </c>
      <c r="D264" s="14">
        <v>1.47</v>
      </c>
      <c r="E264" s="14">
        <v>42.1</v>
      </c>
      <c r="F264" s="12">
        <v>2020</v>
      </c>
    </row>
    <row r="265" spans="1:6" x14ac:dyDescent="0.45">
      <c r="A265" s="16" t="s">
        <v>894</v>
      </c>
      <c r="B265" s="12" t="s">
        <v>795</v>
      </c>
      <c r="C265" s="12">
        <v>-111</v>
      </c>
      <c r="D265" s="12">
        <v>-0.63</v>
      </c>
      <c r="E265" s="12">
        <v>33.5</v>
      </c>
      <c r="F265" s="12">
        <v>2020</v>
      </c>
    </row>
    <row r="266" spans="1:6" x14ac:dyDescent="0.45">
      <c r="A266" s="17" t="s">
        <v>856</v>
      </c>
      <c r="B266" s="14" t="s">
        <v>7</v>
      </c>
      <c r="C266" s="14">
        <v>35</v>
      </c>
      <c r="D266" s="14">
        <v>0.21</v>
      </c>
      <c r="E266" s="14">
        <v>39.9</v>
      </c>
      <c r="F266" s="12">
        <v>2020</v>
      </c>
    </row>
    <row r="267" spans="1:6" x14ac:dyDescent="0.45">
      <c r="A267" s="16" t="s">
        <v>861</v>
      </c>
      <c r="B267" s="12" t="s">
        <v>9</v>
      </c>
      <c r="C267" s="12">
        <v>125</v>
      </c>
      <c r="D267" s="12">
        <v>0.88</v>
      </c>
      <c r="E267" s="12">
        <v>46.5</v>
      </c>
      <c r="F267" s="12">
        <v>2020</v>
      </c>
    </row>
    <row r="268" spans="1:6" x14ac:dyDescent="0.45">
      <c r="A268" s="17" t="s">
        <v>851</v>
      </c>
      <c r="B268" s="14" t="s">
        <v>16</v>
      </c>
      <c r="C268" s="14">
        <v>-10</v>
      </c>
      <c r="D268" s="14">
        <v>-0.06</v>
      </c>
      <c r="E268" s="14">
        <v>34.4</v>
      </c>
      <c r="F268" s="12">
        <v>2020</v>
      </c>
    </row>
    <row r="269" spans="1:6" x14ac:dyDescent="0.45">
      <c r="A269" s="16" t="s">
        <v>881</v>
      </c>
      <c r="B269" s="12" t="s">
        <v>797</v>
      </c>
      <c r="C269" s="12">
        <v>40</v>
      </c>
      <c r="D269" s="12">
        <v>0.28999999999999998</v>
      </c>
      <c r="E269" s="12">
        <v>40.9</v>
      </c>
      <c r="F269" s="12">
        <v>2020</v>
      </c>
    </row>
    <row r="270" spans="1:6" x14ac:dyDescent="0.45">
      <c r="A270" s="17" t="s">
        <v>898</v>
      </c>
      <c r="B270" s="14" t="s">
        <v>21</v>
      </c>
      <c r="C270" s="14">
        <v>60</v>
      </c>
      <c r="D270" s="14">
        <v>0.41</v>
      </c>
      <c r="E270" s="14">
        <v>36.1</v>
      </c>
      <c r="F270" s="12">
        <v>2020</v>
      </c>
    </row>
    <row r="271" spans="1:6" x14ac:dyDescent="0.45">
      <c r="A271" s="16" t="s">
        <v>841</v>
      </c>
      <c r="B271" s="12" t="s">
        <v>24</v>
      </c>
      <c r="C271" s="12">
        <v>37</v>
      </c>
      <c r="D271" s="12">
        <v>0.24</v>
      </c>
      <c r="E271" s="12">
        <v>38.200000000000003</v>
      </c>
      <c r="F271" s="12">
        <v>2020</v>
      </c>
    </row>
    <row r="272" spans="1:6" x14ac:dyDescent="0.45">
      <c r="A272" s="17" t="s">
        <v>956</v>
      </c>
      <c r="B272" s="14" t="s">
        <v>10</v>
      </c>
      <c r="C272" s="14">
        <v>79</v>
      </c>
      <c r="D272" s="14">
        <v>0.55000000000000004</v>
      </c>
      <c r="E272" s="14">
        <v>46.2</v>
      </c>
      <c r="F272" s="12">
        <v>2020</v>
      </c>
    </row>
    <row r="273" spans="1:6" x14ac:dyDescent="0.45">
      <c r="A273" s="16" t="s">
        <v>899</v>
      </c>
      <c r="B273" s="12" t="s">
        <v>5</v>
      </c>
      <c r="C273" s="12">
        <v>24</v>
      </c>
      <c r="D273" s="12">
        <v>0.18</v>
      </c>
      <c r="E273" s="12">
        <v>43.9</v>
      </c>
      <c r="F273" s="12">
        <v>2020</v>
      </c>
    </row>
    <row r="274" spans="1:6" x14ac:dyDescent="0.45">
      <c r="A274" s="17" t="s">
        <v>954</v>
      </c>
      <c r="B274" s="14" t="s">
        <v>17</v>
      </c>
      <c r="C274" s="14">
        <v>-103</v>
      </c>
      <c r="D274" s="14">
        <v>-0.54</v>
      </c>
      <c r="E274" s="14">
        <v>33.5</v>
      </c>
      <c r="F274" s="12">
        <v>2020</v>
      </c>
    </row>
    <row r="275" spans="1:6" x14ac:dyDescent="0.45">
      <c r="A275" s="16" t="s">
        <v>877</v>
      </c>
      <c r="B275" s="12" t="s">
        <v>798</v>
      </c>
      <c r="C275" s="12">
        <v>14</v>
      </c>
      <c r="D275" s="12">
        <v>0.1</v>
      </c>
      <c r="E275" s="12">
        <v>37.5</v>
      </c>
      <c r="F275" s="12">
        <v>2020</v>
      </c>
    </row>
    <row r="276" spans="1:6" x14ac:dyDescent="0.45">
      <c r="A276" s="17" t="s">
        <v>900</v>
      </c>
      <c r="B276" s="14" t="s">
        <v>18</v>
      </c>
      <c r="C276" s="14">
        <v>-92</v>
      </c>
      <c r="D276" s="14">
        <v>-0.5</v>
      </c>
      <c r="E276" s="14">
        <v>38</v>
      </c>
      <c r="F276" s="12">
        <v>2020</v>
      </c>
    </row>
    <row r="277" spans="1:6" x14ac:dyDescent="0.45">
      <c r="A277" s="16" t="s">
        <v>895</v>
      </c>
      <c r="B277" s="12" t="s">
        <v>13</v>
      </c>
      <c r="C277" s="12">
        <v>11</v>
      </c>
      <c r="D277" s="12">
        <v>7.0000000000000007E-2</v>
      </c>
      <c r="E277" s="12">
        <v>34.200000000000003</v>
      </c>
      <c r="F277" s="12">
        <v>2020</v>
      </c>
    </row>
    <row r="278" spans="1:6" x14ac:dyDescent="0.45">
      <c r="A278" s="17" t="s">
        <v>858</v>
      </c>
      <c r="B278" s="14" t="s">
        <v>19</v>
      </c>
      <c r="C278" s="14">
        <v>-39</v>
      </c>
      <c r="D278" s="14">
        <v>-0.28000000000000003</v>
      </c>
      <c r="E278" s="14">
        <v>28.2</v>
      </c>
      <c r="F278" s="12">
        <v>2020</v>
      </c>
    </row>
    <row r="279" spans="1:6" x14ac:dyDescent="0.45">
      <c r="A279" s="16" t="s">
        <v>951</v>
      </c>
      <c r="B279" s="12" t="s">
        <v>19</v>
      </c>
      <c r="C279" s="12">
        <v>2</v>
      </c>
      <c r="D279" s="12">
        <v>0.01</v>
      </c>
      <c r="E279" s="12">
        <v>36.799999999999997</v>
      </c>
      <c r="F279" s="12">
        <v>2020</v>
      </c>
    </row>
    <row r="280" spans="1:6" x14ac:dyDescent="0.45">
      <c r="A280" s="17" t="s">
        <v>901</v>
      </c>
      <c r="B280" s="14" t="s">
        <v>6</v>
      </c>
      <c r="C280" s="14">
        <v>-78</v>
      </c>
      <c r="D280" s="14">
        <v>-0.5</v>
      </c>
      <c r="E280" s="14">
        <v>27.7</v>
      </c>
      <c r="F280" s="12">
        <v>2020</v>
      </c>
    </row>
    <row r="281" spans="1:6" x14ac:dyDescent="0.45">
      <c r="A281" s="16" t="s">
        <v>949</v>
      </c>
      <c r="B281" s="12" t="s">
        <v>799</v>
      </c>
      <c r="C281" s="12">
        <v>5</v>
      </c>
      <c r="D281" s="12">
        <v>0.04</v>
      </c>
      <c r="E281" s="12">
        <v>39.799999999999997</v>
      </c>
      <c r="F281" s="12">
        <v>2020</v>
      </c>
    </row>
    <row r="282" spans="1:6" x14ac:dyDescent="0.45">
      <c r="A282" s="17" t="s">
        <v>888</v>
      </c>
      <c r="B282" s="14" t="s">
        <v>20</v>
      </c>
      <c r="C282" s="14">
        <v>19</v>
      </c>
      <c r="D282" s="14">
        <v>0.14000000000000001</v>
      </c>
      <c r="E282" s="14">
        <v>40.6</v>
      </c>
      <c r="F282" s="12">
        <v>2020</v>
      </c>
    </row>
    <row r="283" spans="1:6" x14ac:dyDescent="0.45">
      <c r="A283" s="16" t="s">
        <v>866</v>
      </c>
      <c r="B283" s="12" t="s">
        <v>15</v>
      </c>
      <c r="C283" s="12">
        <v>11</v>
      </c>
      <c r="D283" s="12">
        <v>0.1</v>
      </c>
      <c r="E283" s="12">
        <v>36.5</v>
      </c>
      <c r="F283" s="12">
        <v>2020</v>
      </c>
    </row>
    <row r="284" spans="1:6" x14ac:dyDescent="0.45">
      <c r="A284" s="17" t="s">
        <v>807</v>
      </c>
      <c r="B284" s="14" t="s">
        <v>6</v>
      </c>
      <c r="C284" s="14">
        <v>11</v>
      </c>
      <c r="D284" s="14">
        <v>0.1</v>
      </c>
      <c r="E284" s="14">
        <v>33.299999999999997</v>
      </c>
      <c r="F284" s="12">
        <v>2020</v>
      </c>
    </row>
    <row r="285" spans="1:6" x14ac:dyDescent="0.45">
      <c r="A285" s="16" t="s">
        <v>863</v>
      </c>
      <c r="B285" s="12" t="s">
        <v>799</v>
      </c>
      <c r="C285" s="12">
        <v>52</v>
      </c>
      <c r="D285" s="12">
        <v>0.51</v>
      </c>
      <c r="E285" s="12">
        <v>35.9</v>
      </c>
      <c r="F285" s="12">
        <v>2020</v>
      </c>
    </row>
    <row r="286" spans="1:6" x14ac:dyDescent="0.45">
      <c r="A286" s="17" t="s">
        <v>875</v>
      </c>
      <c r="B286" s="14" t="s">
        <v>793</v>
      </c>
      <c r="C286" s="14">
        <v>21</v>
      </c>
      <c r="D286" s="14">
        <v>0.18</v>
      </c>
      <c r="E286" s="14">
        <v>36.4</v>
      </c>
      <c r="F286" s="12">
        <v>2020</v>
      </c>
    </row>
    <row r="287" spans="1:6" x14ac:dyDescent="0.45">
      <c r="A287" s="16" t="s">
        <v>902</v>
      </c>
      <c r="B287" s="12" t="s">
        <v>14</v>
      </c>
      <c r="C287" s="12">
        <v>10</v>
      </c>
      <c r="D287" s="12">
        <v>0.09</v>
      </c>
      <c r="E287" s="12">
        <v>34.799999999999997</v>
      </c>
      <c r="F287" s="12">
        <v>2020</v>
      </c>
    </row>
    <row r="288" spans="1:6" x14ac:dyDescent="0.45">
      <c r="A288" s="17" t="s">
        <v>864</v>
      </c>
      <c r="B288" s="14" t="s">
        <v>24</v>
      </c>
      <c r="C288" s="14">
        <v>1</v>
      </c>
      <c r="D288" s="14">
        <v>0.01</v>
      </c>
      <c r="E288" s="14">
        <v>39.799999999999997</v>
      </c>
      <c r="F288" s="12">
        <v>2020</v>
      </c>
    </row>
    <row r="289" spans="1:6" x14ac:dyDescent="0.45">
      <c r="A289" s="16" t="s">
        <v>903</v>
      </c>
      <c r="B289" s="12" t="s">
        <v>17</v>
      </c>
      <c r="C289" s="12">
        <v>-11</v>
      </c>
      <c r="D289" s="12">
        <v>-0.12</v>
      </c>
      <c r="E289" s="12">
        <v>30.6</v>
      </c>
      <c r="F289" s="12">
        <v>2020</v>
      </c>
    </row>
    <row r="290" spans="1:6" x14ac:dyDescent="0.45">
      <c r="A290" s="17" t="s">
        <v>890</v>
      </c>
      <c r="B290" s="14" t="s">
        <v>850</v>
      </c>
      <c r="C290" s="14">
        <v>-2</v>
      </c>
      <c r="D290" s="14">
        <v>-0.02</v>
      </c>
      <c r="E290" s="14">
        <v>35.799999999999997</v>
      </c>
      <c r="F290" s="12">
        <v>2020</v>
      </c>
    </row>
    <row r="291" spans="1:6" x14ac:dyDescent="0.45">
      <c r="A291" s="16" t="s">
        <v>827</v>
      </c>
      <c r="B291" s="12" t="s">
        <v>25</v>
      </c>
      <c r="C291" s="12">
        <v>13</v>
      </c>
      <c r="D291" s="12">
        <v>0.13</v>
      </c>
      <c r="E291" s="12">
        <v>31.3</v>
      </c>
      <c r="F291" s="12">
        <v>2020</v>
      </c>
    </row>
    <row r="292" spans="1:6" x14ac:dyDescent="0.45">
      <c r="A292" s="17" t="s">
        <v>860</v>
      </c>
      <c r="B292" s="14" t="s">
        <v>3</v>
      </c>
      <c r="C292" s="14">
        <v>52</v>
      </c>
      <c r="D292" s="14">
        <v>0.55000000000000004</v>
      </c>
      <c r="E292" s="14">
        <v>46.8</v>
      </c>
      <c r="F292" s="12">
        <v>2020</v>
      </c>
    </row>
    <row r="293" spans="1:6" x14ac:dyDescent="0.45">
      <c r="A293" s="16" t="s">
        <v>853</v>
      </c>
      <c r="B293" s="12" t="s">
        <v>23</v>
      </c>
      <c r="C293" s="12">
        <v>-29</v>
      </c>
      <c r="D293" s="12">
        <v>-0.25</v>
      </c>
      <c r="E293" s="12">
        <v>37.6</v>
      </c>
      <c r="F293" s="12">
        <v>2020</v>
      </c>
    </row>
    <row r="294" spans="1:6" x14ac:dyDescent="0.45">
      <c r="A294" s="17" t="s">
        <v>889</v>
      </c>
      <c r="B294" s="14" t="s">
        <v>796</v>
      </c>
      <c r="C294" s="14">
        <v>46</v>
      </c>
      <c r="D294" s="14">
        <v>0.5</v>
      </c>
      <c r="E294" s="14">
        <v>34.4</v>
      </c>
      <c r="F294" s="12">
        <v>2020</v>
      </c>
    </row>
    <row r="295" spans="1:6" x14ac:dyDescent="0.45">
      <c r="A295" s="16" t="s">
        <v>904</v>
      </c>
      <c r="B295" s="12" t="s">
        <v>19</v>
      </c>
      <c r="C295" s="12">
        <v>-54</v>
      </c>
      <c r="D295" s="12">
        <v>-0.55000000000000004</v>
      </c>
      <c r="E295" s="12">
        <v>36.700000000000003</v>
      </c>
      <c r="F295" s="12">
        <v>2020</v>
      </c>
    </row>
    <row r="296" spans="1:6" x14ac:dyDescent="0.45">
      <c r="A296" s="17" t="s">
        <v>905</v>
      </c>
      <c r="B296" s="14" t="s">
        <v>23</v>
      </c>
      <c r="C296" s="14">
        <v>-98</v>
      </c>
      <c r="D296" s="14">
        <v>-0.8</v>
      </c>
      <c r="E296" s="14">
        <v>33.6</v>
      </c>
      <c r="F296" s="12">
        <v>2020</v>
      </c>
    </row>
    <row r="297" spans="1:6" x14ac:dyDescent="0.45">
      <c r="A297" s="16" t="s">
        <v>955</v>
      </c>
      <c r="B297" s="12" t="s">
        <v>12</v>
      </c>
      <c r="C297" s="12">
        <v>-7</v>
      </c>
      <c r="D297" s="12">
        <v>-0.08</v>
      </c>
      <c r="E297" s="12">
        <v>38.6</v>
      </c>
      <c r="F297" s="12">
        <v>2020</v>
      </c>
    </row>
    <row r="298" spans="1:6" x14ac:dyDescent="0.45">
      <c r="A298" s="17" t="s">
        <v>957</v>
      </c>
      <c r="B298" s="14" t="s">
        <v>16</v>
      </c>
      <c r="C298" s="14">
        <v>-43</v>
      </c>
      <c r="D298" s="14">
        <v>-0.39</v>
      </c>
      <c r="E298" s="14">
        <v>33.299999999999997</v>
      </c>
      <c r="F298" s="12">
        <v>2020</v>
      </c>
    </row>
    <row r="299" spans="1:6" x14ac:dyDescent="0.45">
      <c r="A299" s="16" t="s">
        <v>879</v>
      </c>
      <c r="B299" s="12" t="s">
        <v>800</v>
      </c>
      <c r="C299" s="12">
        <v>-25</v>
      </c>
      <c r="D299" s="12">
        <v>-0.27</v>
      </c>
      <c r="E299" s="12">
        <v>30.9</v>
      </c>
      <c r="F299" s="12">
        <v>2020</v>
      </c>
    </row>
    <row r="300" spans="1:6" x14ac:dyDescent="0.45">
      <c r="A300" s="17" t="s">
        <v>906</v>
      </c>
      <c r="B300" s="14" t="s">
        <v>7</v>
      </c>
      <c r="C300" s="14">
        <v>-52</v>
      </c>
      <c r="D300" s="14">
        <v>-0.61</v>
      </c>
      <c r="E300" s="14">
        <v>32.9</v>
      </c>
      <c r="F300" s="12">
        <v>2020</v>
      </c>
    </row>
    <row r="301" spans="1:6" x14ac:dyDescent="0.45">
      <c r="A301" s="16" t="s">
        <v>874</v>
      </c>
      <c r="B301" s="12" t="s">
        <v>15</v>
      </c>
      <c r="C301" s="12">
        <v>-80</v>
      </c>
      <c r="D301" s="12">
        <v>-0.76</v>
      </c>
      <c r="E301" s="12">
        <v>26.7</v>
      </c>
      <c r="F301" s="12">
        <v>2020</v>
      </c>
    </row>
    <row r="302" spans="1:6" x14ac:dyDescent="0.45">
      <c r="A302" s="17" t="s">
        <v>907</v>
      </c>
      <c r="B302" s="14" t="s">
        <v>15</v>
      </c>
      <c r="C302" s="14">
        <v>-51</v>
      </c>
      <c r="D302" s="14">
        <v>-0.56999999999999995</v>
      </c>
      <c r="E302" s="14">
        <v>40.4</v>
      </c>
      <c r="F302" s="12">
        <v>2020</v>
      </c>
    </row>
    <row r="303" spans="1:6" x14ac:dyDescent="0.45">
      <c r="A303" s="18" t="s">
        <v>908</v>
      </c>
      <c r="B303" s="15" t="s">
        <v>7</v>
      </c>
      <c r="C303" s="15">
        <v>-75</v>
      </c>
      <c r="D303" s="15">
        <v>-0.79</v>
      </c>
      <c r="E303" s="15">
        <v>35.1</v>
      </c>
      <c r="F303" s="12">
        <v>2020</v>
      </c>
    </row>
    <row r="304" spans="1:6" x14ac:dyDescent="0.45">
      <c r="A304" s="16" t="s">
        <v>822</v>
      </c>
      <c r="B304" s="15" t="s">
        <v>4</v>
      </c>
      <c r="C304" s="15">
        <v>326</v>
      </c>
      <c r="D304" s="15">
        <v>1.1299999999999999</v>
      </c>
      <c r="E304" s="15">
        <v>42</v>
      </c>
      <c r="F304" s="15">
        <v>2019</v>
      </c>
    </row>
    <row r="305" spans="1:6" x14ac:dyDescent="0.45">
      <c r="A305" s="17" t="s">
        <v>830</v>
      </c>
      <c r="B305" s="14" t="s">
        <v>22</v>
      </c>
      <c r="C305" s="14">
        <v>284</v>
      </c>
      <c r="D305" s="14">
        <v>0.96</v>
      </c>
      <c r="E305" s="14">
        <v>39.200000000000003</v>
      </c>
      <c r="F305" s="15">
        <v>2019</v>
      </c>
    </row>
    <row r="306" spans="1:6" x14ac:dyDescent="0.45">
      <c r="A306" s="16" t="s">
        <v>847</v>
      </c>
      <c r="B306" s="12" t="s">
        <v>13</v>
      </c>
      <c r="C306" s="12">
        <v>212</v>
      </c>
      <c r="D306" s="12">
        <v>0.74</v>
      </c>
      <c r="E306" s="12">
        <v>36.5</v>
      </c>
      <c r="F306" s="15">
        <v>2019</v>
      </c>
    </row>
    <row r="307" spans="1:6" x14ac:dyDescent="0.45">
      <c r="A307" s="17" t="s">
        <v>865</v>
      </c>
      <c r="B307" s="14" t="s">
        <v>25</v>
      </c>
      <c r="C307" s="14">
        <v>119</v>
      </c>
      <c r="D307" s="14">
        <v>0.4</v>
      </c>
      <c r="E307" s="14">
        <v>46.1</v>
      </c>
      <c r="F307" s="15">
        <v>2019</v>
      </c>
    </row>
    <row r="308" spans="1:6" x14ac:dyDescent="0.45">
      <c r="A308" s="16" t="s">
        <v>899</v>
      </c>
      <c r="B308" s="12" t="s">
        <v>5</v>
      </c>
      <c r="C308" s="12">
        <v>99</v>
      </c>
      <c r="D308" s="12">
        <v>0.36</v>
      </c>
      <c r="E308" s="12">
        <v>45</v>
      </c>
      <c r="F308" s="15">
        <v>2019</v>
      </c>
    </row>
    <row r="309" spans="1:6" x14ac:dyDescent="0.45">
      <c r="A309" s="17" t="s">
        <v>879</v>
      </c>
      <c r="B309" s="14" t="s">
        <v>837</v>
      </c>
      <c r="C309" s="14">
        <v>102</v>
      </c>
      <c r="D309" s="14">
        <v>0.39</v>
      </c>
      <c r="E309" s="14">
        <v>33.6</v>
      </c>
      <c r="F309" s="15">
        <v>2019</v>
      </c>
    </row>
    <row r="310" spans="1:6" x14ac:dyDescent="0.45">
      <c r="A310" s="16" t="s">
        <v>826</v>
      </c>
      <c r="B310" s="12" t="s">
        <v>796</v>
      </c>
      <c r="C310" s="12">
        <v>159</v>
      </c>
      <c r="D310" s="12">
        <v>0.67</v>
      </c>
      <c r="E310" s="12">
        <v>41.8</v>
      </c>
      <c r="F310" s="15">
        <v>2019</v>
      </c>
    </row>
    <row r="311" spans="1:6" x14ac:dyDescent="0.45">
      <c r="A311" s="17" t="s">
        <v>853</v>
      </c>
      <c r="B311" s="14" t="s">
        <v>23</v>
      </c>
      <c r="C311" s="14">
        <v>-28</v>
      </c>
      <c r="D311" s="14">
        <v>-0.1</v>
      </c>
      <c r="E311" s="14">
        <v>35.799999999999997</v>
      </c>
      <c r="F311" s="15">
        <v>2019</v>
      </c>
    </row>
    <row r="312" spans="1:6" x14ac:dyDescent="0.45">
      <c r="A312" s="16" t="s">
        <v>876</v>
      </c>
      <c r="B312" s="12" t="s">
        <v>3</v>
      </c>
      <c r="C312" s="12">
        <v>93</v>
      </c>
      <c r="D312" s="12">
        <v>0.38</v>
      </c>
      <c r="E312" s="12">
        <v>42</v>
      </c>
      <c r="F312" s="15">
        <v>2019</v>
      </c>
    </row>
    <row r="313" spans="1:6" x14ac:dyDescent="0.45">
      <c r="A313" s="17" t="s">
        <v>909</v>
      </c>
      <c r="B313" s="14" t="s">
        <v>12</v>
      </c>
      <c r="C313" s="14">
        <v>4</v>
      </c>
      <c r="D313" s="14">
        <v>0.02</v>
      </c>
      <c r="E313" s="14">
        <v>35.200000000000003</v>
      </c>
      <c r="F313" s="15">
        <v>2019</v>
      </c>
    </row>
    <row r="314" spans="1:6" x14ac:dyDescent="0.45">
      <c r="A314" s="16" t="s">
        <v>942</v>
      </c>
      <c r="B314" s="12" t="s">
        <v>793</v>
      </c>
      <c r="C314" s="12">
        <v>84</v>
      </c>
      <c r="D314" s="12">
        <v>0.36</v>
      </c>
      <c r="E314" s="12">
        <v>39.700000000000003</v>
      </c>
      <c r="F314" s="15">
        <v>2019</v>
      </c>
    </row>
    <row r="315" spans="1:6" x14ac:dyDescent="0.45">
      <c r="A315" s="17" t="s">
        <v>910</v>
      </c>
      <c r="B315" s="14" t="s">
        <v>21</v>
      </c>
      <c r="C315" s="14">
        <v>108</v>
      </c>
      <c r="D315" s="14">
        <v>0.44</v>
      </c>
      <c r="E315" s="14">
        <v>38.700000000000003</v>
      </c>
      <c r="F315" s="15">
        <v>2019</v>
      </c>
    </row>
    <row r="316" spans="1:6" x14ac:dyDescent="0.45">
      <c r="A316" s="16" t="s">
        <v>952</v>
      </c>
      <c r="B316" s="12" t="s">
        <v>9</v>
      </c>
      <c r="C316" s="12">
        <v>29</v>
      </c>
      <c r="D316" s="12">
        <v>0.15</v>
      </c>
      <c r="E316" s="12">
        <v>35.9</v>
      </c>
      <c r="F316" s="15">
        <v>2019</v>
      </c>
    </row>
    <row r="317" spans="1:6" x14ac:dyDescent="0.45">
      <c r="A317" s="17" t="s">
        <v>902</v>
      </c>
      <c r="B317" s="14" t="s">
        <v>14</v>
      </c>
      <c r="C317" s="14">
        <v>28</v>
      </c>
      <c r="D317" s="14">
        <v>0.13</v>
      </c>
      <c r="E317" s="14">
        <v>34.9</v>
      </c>
      <c r="F317" s="15">
        <v>2019</v>
      </c>
    </row>
    <row r="318" spans="1:6" x14ac:dyDescent="0.45">
      <c r="A318" s="16" t="s">
        <v>836</v>
      </c>
      <c r="B318" s="12" t="s">
        <v>10</v>
      </c>
      <c r="C318" s="12">
        <v>106</v>
      </c>
      <c r="D318" s="12">
        <v>0.49</v>
      </c>
      <c r="E318" s="12">
        <v>36</v>
      </c>
      <c r="F318" s="15">
        <v>2019</v>
      </c>
    </row>
    <row r="319" spans="1:6" x14ac:dyDescent="0.45">
      <c r="A319" s="17" t="s">
        <v>885</v>
      </c>
      <c r="B319" s="14" t="s">
        <v>797</v>
      </c>
      <c r="C319" s="14">
        <v>-69</v>
      </c>
      <c r="D319" s="14">
        <v>-0.28000000000000003</v>
      </c>
      <c r="E319" s="14">
        <v>34.799999999999997</v>
      </c>
      <c r="F319" s="15">
        <v>2019</v>
      </c>
    </row>
    <row r="320" spans="1:6" x14ac:dyDescent="0.45">
      <c r="A320" s="16" t="s">
        <v>901</v>
      </c>
      <c r="B320" s="12" t="s">
        <v>7</v>
      </c>
      <c r="C320" s="12">
        <v>101</v>
      </c>
      <c r="D320" s="12">
        <v>0.49</v>
      </c>
      <c r="E320" s="12">
        <v>42.1</v>
      </c>
      <c r="F320" s="15">
        <v>2019</v>
      </c>
    </row>
    <row r="321" spans="1:6" x14ac:dyDescent="0.45">
      <c r="A321" s="17" t="s">
        <v>838</v>
      </c>
      <c r="B321" s="14" t="s">
        <v>26</v>
      </c>
      <c r="C321" s="14">
        <v>-53</v>
      </c>
      <c r="D321" s="14">
        <v>-0.22</v>
      </c>
      <c r="E321" s="14">
        <v>36.1</v>
      </c>
      <c r="F321" s="15">
        <v>2019</v>
      </c>
    </row>
    <row r="322" spans="1:6" x14ac:dyDescent="0.45">
      <c r="A322" s="16" t="s">
        <v>954</v>
      </c>
      <c r="B322" s="12" t="s">
        <v>19</v>
      </c>
      <c r="C322" s="12">
        <v>-193</v>
      </c>
      <c r="D322" s="12">
        <v>-0.87</v>
      </c>
      <c r="E322" s="12">
        <v>32.4</v>
      </c>
      <c r="F322" s="15">
        <v>2019</v>
      </c>
    </row>
    <row r="323" spans="1:6" x14ac:dyDescent="0.45">
      <c r="A323" s="17" t="s">
        <v>870</v>
      </c>
      <c r="B323" s="14" t="s">
        <v>8</v>
      </c>
      <c r="C323" s="14">
        <v>-55</v>
      </c>
      <c r="D323" s="14">
        <v>-0.31</v>
      </c>
      <c r="E323" s="14">
        <v>31.4</v>
      </c>
      <c r="F323" s="15">
        <v>2019</v>
      </c>
    </row>
    <row r="324" spans="1:6" x14ac:dyDescent="0.45">
      <c r="A324" s="16" t="s">
        <v>880</v>
      </c>
      <c r="B324" s="12" t="s">
        <v>850</v>
      </c>
      <c r="C324" s="12">
        <v>39</v>
      </c>
      <c r="D324" s="12">
        <v>0.23</v>
      </c>
      <c r="E324" s="12">
        <v>31.4</v>
      </c>
      <c r="F324" s="15">
        <v>2019</v>
      </c>
    </row>
    <row r="325" spans="1:6" x14ac:dyDescent="0.45">
      <c r="A325" s="17" t="s">
        <v>848</v>
      </c>
      <c r="B325" s="14" t="s">
        <v>798</v>
      </c>
      <c r="C325" s="14">
        <v>29</v>
      </c>
      <c r="D325" s="14">
        <v>0.17</v>
      </c>
      <c r="E325" s="14">
        <v>36.700000000000003</v>
      </c>
      <c r="F325" s="15">
        <v>2019</v>
      </c>
    </row>
    <row r="326" spans="1:6" x14ac:dyDescent="0.45">
      <c r="A326" s="16" t="s">
        <v>911</v>
      </c>
      <c r="B326" s="12" t="s">
        <v>18</v>
      </c>
      <c r="C326" s="12">
        <v>-126</v>
      </c>
      <c r="D326" s="12">
        <v>-0.52</v>
      </c>
      <c r="E326" s="12">
        <v>39.1</v>
      </c>
      <c r="F326" s="15">
        <v>2019</v>
      </c>
    </row>
    <row r="327" spans="1:6" x14ac:dyDescent="0.45">
      <c r="A327" s="17" t="s">
        <v>841</v>
      </c>
      <c r="B327" s="14" t="s">
        <v>24</v>
      </c>
      <c r="C327" s="14">
        <v>59</v>
      </c>
      <c r="D327" s="14">
        <v>0.4</v>
      </c>
      <c r="E327" s="14">
        <v>40.1</v>
      </c>
      <c r="F327" s="15">
        <v>2019</v>
      </c>
    </row>
    <row r="328" spans="1:6" x14ac:dyDescent="0.45">
      <c r="A328" s="16" t="s">
        <v>863</v>
      </c>
      <c r="B328" s="12" t="s">
        <v>799</v>
      </c>
      <c r="C328" s="12">
        <v>38</v>
      </c>
      <c r="D328" s="12">
        <v>0.28999999999999998</v>
      </c>
      <c r="E328" s="12">
        <v>40.200000000000003</v>
      </c>
      <c r="F328" s="15">
        <v>2019</v>
      </c>
    </row>
    <row r="329" spans="1:6" x14ac:dyDescent="0.45">
      <c r="A329" s="17" t="s">
        <v>953</v>
      </c>
      <c r="B329" s="14" t="s">
        <v>800</v>
      </c>
      <c r="C329" s="14">
        <v>13</v>
      </c>
      <c r="D329" s="14">
        <v>0.08</v>
      </c>
      <c r="E329" s="14">
        <v>34.9</v>
      </c>
      <c r="F329" s="15">
        <v>2019</v>
      </c>
    </row>
    <row r="330" spans="1:6" x14ac:dyDescent="0.45">
      <c r="A330" s="16" t="s">
        <v>861</v>
      </c>
      <c r="B330" s="12" t="s">
        <v>9</v>
      </c>
      <c r="C330" s="12">
        <v>73</v>
      </c>
      <c r="D330" s="12">
        <v>0.56000000000000005</v>
      </c>
      <c r="E330" s="12">
        <v>34.4</v>
      </c>
      <c r="F330" s="15">
        <v>2019</v>
      </c>
    </row>
    <row r="331" spans="1:6" x14ac:dyDescent="0.45">
      <c r="A331" s="17" t="s">
        <v>891</v>
      </c>
      <c r="B331" s="14" t="s">
        <v>17</v>
      </c>
      <c r="C331" s="14">
        <v>-219</v>
      </c>
      <c r="D331" s="14">
        <v>-1.22</v>
      </c>
      <c r="E331" s="14">
        <v>27.4</v>
      </c>
      <c r="F331" s="15">
        <v>2019</v>
      </c>
    </row>
    <row r="332" spans="1:6" x14ac:dyDescent="0.45">
      <c r="A332" s="16" t="s">
        <v>877</v>
      </c>
      <c r="B332" s="12" t="s">
        <v>798</v>
      </c>
      <c r="C332" s="12">
        <v>0</v>
      </c>
      <c r="D332" s="12">
        <v>0</v>
      </c>
      <c r="E332" s="12">
        <v>37.700000000000003</v>
      </c>
      <c r="F332" s="15">
        <v>2019</v>
      </c>
    </row>
    <row r="333" spans="1:6" x14ac:dyDescent="0.45">
      <c r="A333" s="17" t="s">
        <v>912</v>
      </c>
      <c r="B333" s="14" t="s">
        <v>799</v>
      </c>
      <c r="C333" s="14">
        <v>0</v>
      </c>
      <c r="D333" s="14">
        <v>0</v>
      </c>
      <c r="E333" s="14">
        <v>29.8</v>
      </c>
      <c r="F333" s="15">
        <v>2019</v>
      </c>
    </row>
    <row r="334" spans="1:6" x14ac:dyDescent="0.45">
      <c r="A334" s="16" t="s">
        <v>950</v>
      </c>
      <c r="B334" s="12" t="s">
        <v>15</v>
      </c>
      <c r="C334" s="12">
        <v>-62</v>
      </c>
      <c r="D334" s="12">
        <v>-0.39</v>
      </c>
      <c r="E334" s="12">
        <v>32.9</v>
      </c>
      <c r="F334" s="15">
        <v>2019</v>
      </c>
    </row>
    <row r="335" spans="1:6" x14ac:dyDescent="0.45">
      <c r="A335" s="17" t="s">
        <v>900</v>
      </c>
      <c r="B335" s="14" t="s">
        <v>24</v>
      </c>
      <c r="C335" s="14">
        <v>-65</v>
      </c>
      <c r="D335" s="14">
        <v>-0.4</v>
      </c>
      <c r="E335" s="14">
        <v>32.299999999999997</v>
      </c>
      <c r="F335" s="15">
        <v>2019</v>
      </c>
    </row>
    <row r="336" spans="1:6" x14ac:dyDescent="0.45">
      <c r="A336" s="16" t="s">
        <v>866</v>
      </c>
      <c r="B336" s="12" t="s">
        <v>15</v>
      </c>
      <c r="C336" s="12">
        <v>-82</v>
      </c>
      <c r="D336" s="12">
        <v>-0.64</v>
      </c>
      <c r="E336" s="12">
        <v>31</v>
      </c>
      <c r="F336" s="15">
        <v>2019</v>
      </c>
    </row>
    <row r="337" spans="1:6" x14ac:dyDescent="0.45">
      <c r="A337" s="17" t="s">
        <v>913</v>
      </c>
      <c r="B337" s="14" t="s">
        <v>799</v>
      </c>
      <c r="C337" s="14">
        <v>-1</v>
      </c>
      <c r="D337" s="14">
        <v>-0.01</v>
      </c>
      <c r="E337" s="14">
        <v>34.6</v>
      </c>
      <c r="F337" s="15">
        <v>2019</v>
      </c>
    </row>
    <row r="338" spans="1:6" x14ac:dyDescent="0.45">
      <c r="A338" s="16" t="s">
        <v>914</v>
      </c>
      <c r="B338" s="12" t="s">
        <v>8</v>
      </c>
      <c r="C338" s="12">
        <v>-10</v>
      </c>
      <c r="D338" s="12">
        <v>-0.08</v>
      </c>
      <c r="E338" s="12">
        <v>41.2</v>
      </c>
      <c r="F338" s="15">
        <v>2019</v>
      </c>
    </row>
    <row r="339" spans="1:6" x14ac:dyDescent="0.45">
      <c r="A339" s="17" t="s">
        <v>915</v>
      </c>
      <c r="B339" s="14" t="s">
        <v>795</v>
      </c>
      <c r="C339" s="14">
        <v>59</v>
      </c>
      <c r="D339" s="14">
        <v>0.54</v>
      </c>
      <c r="E339" s="14">
        <v>33.6</v>
      </c>
      <c r="F339" s="15">
        <v>2019</v>
      </c>
    </row>
    <row r="340" spans="1:6" x14ac:dyDescent="0.45">
      <c r="A340" s="16" t="s">
        <v>916</v>
      </c>
      <c r="B340" s="12" t="s">
        <v>14</v>
      </c>
      <c r="C340" s="12">
        <v>-125</v>
      </c>
      <c r="D340" s="12">
        <v>-0.98</v>
      </c>
      <c r="E340" s="12">
        <v>27.3</v>
      </c>
      <c r="F340" s="15">
        <v>2019</v>
      </c>
    </row>
    <row r="341" spans="1:6" x14ac:dyDescent="0.45">
      <c r="A341" s="17" t="s">
        <v>908</v>
      </c>
      <c r="B341" s="14" t="s">
        <v>800</v>
      </c>
      <c r="C341" s="14">
        <v>-88</v>
      </c>
      <c r="D341" s="14">
        <v>-0.57999999999999996</v>
      </c>
      <c r="E341" s="14">
        <v>37.1</v>
      </c>
      <c r="F341" s="15">
        <v>2019</v>
      </c>
    </row>
    <row r="342" spans="1:6" x14ac:dyDescent="0.45">
      <c r="A342" s="16" t="s">
        <v>917</v>
      </c>
      <c r="B342" s="12" t="s">
        <v>795</v>
      </c>
      <c r="C342" s="12">
        <v>-22</v>
      </c>
      <c r="D342" s="12">
        <v>-0.23</v>
      </c>
      <c r="E342" s="12">
        <v>28.6</v>
      </c>
      <c r="F342" s="15">
        <v>2019</v>
      </c>
    </row>
    <row r="343" spans="1:6" x14ac:dyDescent="0.45">
      <c r="A343" s="17" t="s">
        <v>851</v>
      </c>
      <c r="B343" s="14" t="s">
        <v>16</v>
      </c>
      <c r="C343" s="14">
        <v>-35</v>
      </c>
      <c r="D343" s="14">
        <v>-0.31</v>
      </c>
      <c r="E343" s="14">
        <v>37.4</v>
      </c>
      <c r="F343" s="15">
        <v>2019</v>
      </c>
    </row>
    <row r="344" spans="1:6" x14ac:dyDescent="0.45">
      <c r="A344" s="16" t="s">
        <v>860</v>
      </c>
      <c r="B344" s="12" t="s">
        <v>3</v>
      </c>
      <c r="C344" s="12">
        <v>35</v>
      </c>
      <c r="D344" s="12">
        <v>0.36</v>
      </c>
      <c r="E344" s="12">
        <v>43.3</v>
      </c>
      <c r="F344" s="15">
        <v>2019</v>
      </c>
    </row>
    <row r="345" spans="1:6" x14ac:dyDescent="0.45">
      <c r="A345" s="17" t="s">
        <v>875</v>
      </c>
      <c r="B345" s="14" t="s">
        <v>793</v>
      </c>
      <c r="C345" s="14">
        <v>-9</v>
      </c>
      <c r="D345" s="14">
        <v>-0.08</v>
      </c>
      <c r="E345" s="14">
        <v>41.3</v>
      </c>
      <c r="F345" s="15">
        <v>2019</v>
      </c>
    </row>
    <row r="346" spans="1:6" x14ac:dyDescent="0.45">
      <c r="A346" s="16" t="s">
        <v>827</v>
      </c>
      <c r="B346" s="12" t="s">
        <v>25</v>
      </c>
      <c r="C346" s="12">
        <v>89</v>
      </c>
      <c r="D346" s="12">
        <v>1.0900000000000001</v>
      </c>
      <c r="E346" s="12">
        <v>52.4</v>
      </c>
      <c r="F346" s="15">
        <v>2019</v>
      </c>
    </row>
    <row r="347" spans="1:6" x14ac:dyDescent="0.45">
      <c r="A347" s="18" t="s">
        <v>957</v>
      </c>
      <c r="B347" s="14" t="s">
        <v>16</v>
      </c>
      <c r="C347" s="14">
        <v>52</v>
      </c>
      <c r="D347" s="14">
        <v>0.48</v>
      </c>
      <c r="E347" s="14">
        <v>48.6</v>
      </c>
      <c r="F347" s="15">
        <v>2019</v>
      </c>
    </row>
    <row r="348" spans="1:6" x14ac:dyDescent="0.45">
      <c r="A348" s="16" t="s">
        <v>918</v>
      </c>
      <c r="B348" s="12" t="s">
        <v>6</v>
      </c>
      <c r="C348" s="12">
        <v>-56</v>
      </c>
      <c r="D348" s="12">
        <v>-0.51</v>
      </c>
      <c r="E348" s="12">
        <v>36.4</v>
      </c>
      <c r="F348" s="15">
        <v>2019</v>
      </c>
    </row>
    <row r="349" spans="1:6" x14ac:dyDescent="0.45">
      <c r="A349" s="17" t="s">
        <v>919</v>
      </c>
      <c r="B349" s="14" t="s">
        <v>796</v>
      </c>
      <c r="C349" s="14">
        <v>-105</v>
      </c>
      <c r="D349" s="14">
        <v>-0.98</v>
      </c>
      <c r="E349" s="14">
        <v>30.6</v>
      </c>
      <c r="F349" s="15">
        <v>2019</v>
      </c>
    </row>
    <row r="350" spans="1:6" x14ac:dyDescent="0.45">
      <c r="A350" s="16" t="s">
        <v>920</v>
      </c>
      <c r="B350" s="12" t="s">
        <v>6</v>
      </c>
      <c r="C350" s="12">
        <v>-24</v>
      </c>
      <c r="D350" s="12">
        <v>-0.28000000000000003</v>
      </c>
      <c r="E350" s="12">
        <v>27.6</v>
      </c>
      <c r="F350" s="15">
        <v>2019</v>
      </c>
    </row>
    <row r="351" spans="1:6" x14ac:dyDescent="0.45">
      <c r="A351" s="17" t="s">
        <v>898</v>
      </c>
      <c r="B351" s="14" t="s">
        <v>850</v>
      </c>
      <c r="C351" s="14">
        <v>-64</v>
      </c>
      <c r="D351" s="14">
        <v>-0.68</v>
      </c>
      <c r="E351" s="14">
        <v>27.7</v>
      </c>
      <c r="F351" s="15">
        <v>2019</v>
      </c>
    </row>
    <row r="352" spans="1:6" x14ac:dyDescent="0.45">
      <c r="A352" s="16" t="s">
        <v>865</v>
      </c>
      <c r="B352" s="12" t="s">
        <v>25</v>
      </c>
      <c r="C352" s="12">
        <v>135</v>
      </c>
      <c r="D352" s="12">
        <v>0.45</v>
      </c>
      <c r="E352" s="12">
        <v>41.1</v>
      </c>
      <c r="F352" s="12">
        <v>2018</v>
      </c>
    </row>
    <row r="353" spans="1:6" x14ac:dyDescent="0.45">
      <c r="A353" s="17" t="s">
        <v>836</v>
      </c>
      <c r="B353" s="14" t="s">
        <v>10</v>
      </c>
      <c r="C353" s="14">
        <v>395</v>
      </c>
      <c r="D353" s="14">
        <v>1.54</v>
      </c>
      <c r="E353" s="14">
        <v>39.700000000000003</v>
      </c>
      <c r="F353" s="12">
        <v>2018</v>
      </c>
    </row>
    <row r="354" spans="1:6" x14ac:dyDescent="0.45">
      <c r="A354" s="16" t="s">
        <v>954</v>
      </c>
      <c r="B354" s="12" t="s">
        <v>19</v>
      </c>
      <c r="C354" s="12">
        <v>-23</v>
      </c>
      <c r="D354" s="12">
        <v>-0.09</v>
      </c>
      <c r="E354" s="12">
        <v>38</v>
      </c>
      <c r="F354" s="12">
        <v>2018</v>
      </c>
    </row>
    <row r="355" spans="1:6" x14ac:dyDescent="0.45">
      <c r="A355" s="17" t="s">
        <v>853</v>
      </c>
      <c r="B355" s="14" t="s">
        <v>23</v>
      </c>
      <c r="C355" s="14">
        <v>174</v>
      </c>
      <c r="D355" s="14">
        <v>0.75</v>
      </c>
      <c r="E355" s="14">
        <v>39.9</v>
      </c>
      <c r="F355" s="12">
        <v>2018</v>
      </c>
    </row>
    <row r="356" spans="1:6" x14ac:dyDescent="0.45">
      <c r="A356" s="16" t="s">
        <v>899</v>
      </c>
      <c r="B356" s="12" t="s">
        <v>5</v>
      </c>
      <c r="C356" s="12">
        <v>110</v>
      </c>
      <c r="D356" s="12">
        <v>0.45</v>
      </c>
      <c r="E356" s="12">
        <v>44.5</v>
      </c>
      <c r="F356" s="12">
        <v>2018</v>
      </c>
    </row>
    <row r="357" spans="1:6" x14ac:dyDescent="0.45">
      <c r="A357" s="17" t="s">
        <v>847</v>
      </c>
      <c r="B357" s="14" t="s">
        <v>13</v>
      </c>
      <c r="C357" s="14">
        <v>89</v>
      </c>
      <c r="D357" s="14">
        <v>0.41</v>
      </c>
      <c r="E357" s="14">
        <v>37.9</v>
      </c>
      <c r="F357" s="12">
        <v>2018</v>
      </c>
    </row>
    <row r="358" spans="1:6" x14ac:dyDescent="0.45">
      <c r="A358" s="16" t="s">
        <v>822</v>
      </c>
      <c r="B358" s="12" t="s">
        <v>4</v>
      </c>
      <c r="C358" s="12">
        <v>236</v>
      </c>
      <c r="D358" s="12">
        <v>1.1100000000000001</v>
      </c>
      <c r="E358" s="12">
        <v>47.4</v>
      </c>
      <c r="F358" s="12">
        <v>2018</v>
      </c>
    </row>
    <row r="359" spans="1:6" x14ac:dyDescent="0.45">
      <c r="A359" s="17" t="s">
        <v>901</v>
      </c>
      <c r="B359" s="14" t="s">
        <v>7</v>
      </c>
      <c r="C359" s="14">
        <v>61</v>
      </c>
      <c r="D359" s="14">
        <v>0.25</v>
      </c>
      <c r="E359" s="14">
        <v>35.799999999999997</v>
      </c>
      <c r="F359" s="12">
        <v>2018</v>
      </c>
    </row>
    <row r="360" spans="1:6" x14ac:dyDescent="0.45">
      <c r="A360" s="16" t="s">
        <v>902</v>
      </c>
      <c r="B360" s="12" t="s">
        <v>14</v>
      </c>
      <c r="C360" s="12">
        <v>181</v>
      </c>
      <c r="D360" s="12">
        <v>0.98</v>
      </c>
      <c r="E360" s="12">
        <v>41.9</v>
      </c>
      <c r="F360" s="12">
        <v>2018</v>
      </c>
    </row>
    <row r="361" spans="1:6" x14ac:dyDescent="0.45">
      <c r="A361" s="17" t="s">
        <v>830</v>
      </c>
      <c r="B361" s="14" t="s">
        <v>22</v>
      </c>
      <c r="C361" s="14">
        <v>195</v>
      </c>
      <c r="D361" s="14">
        <v>1.04</v>
      </c>
      <c r="E361" s="14">
        <v>35.6</v>
      </c>
      <c r="F361" s="12">
        <v>2018</v>
      </c>
    </row>
    <row r="362" spans="1:6" x14ac:dyDescent="0.45">
      <c r="A362" s="16" t="s">
        <v>921</v>
      </c>
      <c r="B362" s="12" t="s">
        <v>21</v>
      </c>
      <c r="C362" s="12">
        <v>130</v>
      </c>
      <c r="D362" s="12">
        <v>0.62</v>
      </c>
      <c r="E362" s="12">
        <v>38.6</v>
      </c>
      <c r="F362" s="12">
        <v>2018</v>
      </c>
    </row>
    <row r="363" spans="1:6" x14ac:dyDescent="0.45">
      <c r="A363" s="17" t="s">
        <v>851</v>
      </c>
      <c r="B363" s="14" t="s">
        <v>16</v>
      </c>
      <c r="C363" s="14">
        <v>118</v>
      </c>
      <c r="D363" s="14">
        <v>0.56000000000000005</v>
      </c>
      <c r="E363" s="14">
        <v>40.200000000000003</v>
      </c>
      <c r="F363" s="12">
        <v>2018</v>
      </c>
    </row>
    <row r="364" spans="1:6" x14ac:dyDescent="0.45">
      <c r="A364" s="16" t="s">
        <v>898</v>
      </c>
      <c r="B364" s="12" t="s">
        <v>850</v>
      </c>
      <c r="C364" s="12">
        <v>-56</v>
      </c>
      <c r="D364" s="12">
        <v>-0.22</v>
      </c>
      <c r="E364" s="12">
        <v>37.700000000000003</v>
      </c>
      <c r="F364" s="12">
        <v>2018</v>
      </c>
    </row>
    <row r="365" spans="1:6" x14ac:dyDescent="0.45">
      <c r="A365" s="17" t="s">
        <v>914</v>
      </c>
      <c r="B365" s="14" t="s">
        <v>26</v>
      </c>
      <c r="C365" s="14">
        <v>-113</v>
      </c>
      <c r="D365" s="14">
        <v>-0.45</v>
      </c>
      <c r="E365" s="14">
        <v>33.5</v>
      </c>
      <c r="F365" s="12">
        <v>2018</v>
      </c>
    </row>
    <row r="366" spans="1:6" x14ac:dyDescent="0.45">
      <c r="A366" s="16" t="s">
        <v>885</v>
      </c>
      <c r="B366" s="12" t="s">
        <v>797</v>
      </c>
      <c r="C366" s="12">
        <v>-60</v>
      </c>
      <c r="D366" s="12">
        <v>-0.3</v>
      </c>
      <c r="E366" s="12">
        <v>35.799999999999997</v>
      </c>
      <c r="F366" s="12">
        <v>2018</v>
      </c>
    </row>
    <row r="367" spans="1:6" x14ac:dyDescent="0.45">
      <c r="A367" s="17" t="s">
        <v>909</v>
      </c>
      <c r="B367" s="14" t="s">
        <v>12</v>
      </c>
      <c r="C367" s="14">
        <v>39</v>
      </c>
      <c r="D367" s="14">
        <v>0.2</v>
      </c>
      <c r="E367" s="14">
        <v>40.799999999999997</v>
      </c>
      <c r="F367" s="12">
        <v>2018</v>
      </c>
    </row>
    <row r="368" spans="1:6" x14ac:dyDescent="0.45">
      <c r="A368" s="16" t="s">
        <v>950</v>
      </c>
      <c r="B368" s="12" t="s">
        <v>15</v>
      </c>
      <c r="C368" s="12">
        <v>-1</v>
      </c>
      <c r="D368" s="12">
        <v>-0.01</v>
      </c>
      <c r="E368" s="12">
        <v>36</v>
      </c>
      <c r="F368" s="12">
        <v>2018</v>
      </c>
    </row>
    <row r="369" spans="1:6" x14ac:dyDescent="0.45">
      <c r="A369" s="17" t="s">
        <v>848</v>
      </c>
      <c r="B369" s="14" t="s">
        <v>798</v>
      </c>
      <c r="C369" s="14">
        <v>-82</v>
      </c>
      <c r="D369" s="14">
        <v>-0.43</v>
      </c>
      <c r="E369" s="14">
        <v>35.6</v>
      </c>
      <c r="F369" s="12">
        <v>2018</v>
      </c>
    </row>
    <row r="370" spans="1:6" x14ac:dyDescent="0.45">
      <c r="A370" s="16" t="s">
        <v>908</v>
      </c>
      <c r="B370" s="12" t="s">
        <v>800</v>
      </c>
      <c r="C370" s="12">
        <v>-1</v>
      </c>
      <c r="D370" s="12">
        <v>-0.01</v>
      </c>
      <c r="E370" s="12">
        <v>41.5</v>
      </c>
      <c r="F370" s="12">
        <v>2018</v>
      </c>
    </row>
    <row r="371" spans="1:6" x14ac:dyDescent="0.45">
      <c r="A371" s="17" t="s">
        <v>815</v>
      </c>
      <c r="B371" s="14" t="s">
        <v>795</v>
      </c>
      <c r="C371" s="14">
        <v>94</v>
      </c>
      <c r="D371" s="14">
        <v>0.53</v>
      </c>
      <c r="E371" s="14">
        <v>38.4</v>
      </c>
      <c r="F371" s="12">
        <v>2018</v>
      </c>
    </row>
    <row r="372" spans="1:6" x14ac:dyDescent="0.45">
      <c r="A372" s="16" t="s">
        <v>912</v>
      </c>
      <c r="B372" s="12" t="s">
        <v>799</v>
      </c>
      <c r="C372" s="12">
        <v>90</v>
      </c>
      <c r="D372" s="12">
        <v>0.61</v>
      </c>
      <c r="E372" s="12">
        <v>37.200000000000003</v>
      </c>
      <c r="F372" s="12">
        <v>2018</v>
      </c>
    </row>
    <row r="373" spans="1:6" x14ac:dyDescent="0.45">
      <c r="A373" s="17" t="s">
        <v>913</v>
      </c>
      <c r="B373" s="14" t="s">
        <v>17</v>
      </c>
      <c r="C373" s="14">
        <v>-25</v>
      </c>
      <c r="D373" s="14">
        <v>-0.15</v>
      </c>
      <c r="E373" s="14">
        <v>32.299999999999997</v>
      </c>
      <c r="F373" s="12">
        <v>2018</v>
      </c>
    </row>
    <row r="374" spans="1:6" x14ac:dyDescent="0.45">
      <c r="A374" s="16" t="s">
        <v>942</v>
      </c>
      <c r="B374" s="12" t="s">
        <v>793</v>
      </c>
      <c r="C374" s="12">
        <v>86</v>
      </c>
      <c r="D374" s="12">
        <v>0.66</v>
      </c>
      <c r="E374" s="12">
        <v>42.7</v>
      </c>
      <c r="F374" s="12">
        <v>2018</v>
      </c>
    </row>
    <row r="375" spans="1:6" x14ac:dyDescent="0.45">
      <c r="A375" s="17" t="s">
        <v>922</v>
      </c>
      <c r="B375" s="14" t="s">
        <v>796</v>
      </c>
      <c r="C375" s="14">
        <v>5</v>
      </c>
      <c r="D375" s="14">
        <v>0.03</v>
      </c>
      <c r="E375" s="14">
        <v>38.4</v>
      </c>
      <c r="F375" s="12">
        <v>2018</v>
      </c>
    </row>
    <row r="376" spans="1:6" x14ac:dyDescent="0.45">
      <c r="A376" s="16" t="s">
        <v>900</v>
      </c>
      <c r="B376" s="12" t="s">
        <v>20</v>
      </c>
      <c r="C376" s="12">
        <v>53</v>
      </c>
      <c r="D376" s="12">
        <v>0.34</v>
      </c>
      <c r="E376" s="12">
        <v>39</v>
      </c>
      <c r="F376" s="12">
        <v>2018</v>
      </c>
    </row>
    <row r="377" spans="1:6" x14ac:dyDescent="0.45">
      <c r="A377" s="17" t="s">
        <v>861</v>
      </c>
      <c r="B377" s="14" t="s">
        <v>9</v>
      </c>
      <c r="C377" s="14">
        <v>46</v>
      </c>
      <c r="D377" s="14">
        <v>0.34</v>
      </c>
      <c r="E377" s="14">
        <v>41.9</v>
      </c>
      <c r="F377" s="12">
        <v>2018</v>
      </c>
    </row>
    <row r="378" spans="1:6" x14ac:dyDescent="0.45">
      <c r="A378" s="16" t="s">
        <v>923</v>
      </c>
      <c r="B378" s="12" t="s">
        <v>18</v>
      </c>
      <c r="C378" s="12">
        <v>134</v>
      </c>
      <c r="D378" s="12">
        <v>0.94</v>
      </c>
      <c r="E378" s="12">
        <v>32.200000000000003</v>
      </c>
      <c r="F378" s="12">
        <v>2018</v>
      </c>
    </row>
    <row r="379" spans="1:6" x14ac:dyDescent="0.45">
      <c r="A379" s="17" t="s">
        <v>952</v>
      </c>
      <c r="B379" s="14" t="s">
        <v>798</v>
      </c>
      <c r="C379" s="14">
        <v>68</v>
      </c>
      <c r="D379" s="14">
        <v>0.51</v>
      </c>
      <c r="E379" s="14">
        <v>36.6</v>
      </c>
      <c r="F379" s="12">
        <v>2018</v>
      </c>
    </row>
    <row r="380" spans="1:6" x14ac:dyDescent="0.45">
      <c r="A380" s="16" t="s">
        <v>918</v>
      </c>
      <c r="B380" s="12" t="s">
        <v>6</v>
      </c>
      <c r="C380" s="12">
        <v>152</v>
      </c>
      <c r="D380" s="12">
        <v>1.29</v>
      </c>
      <c r="E380" s="12">
        <v>44.9</v>
      </c>
      <c r="F380" s="12">
        <v>2018</v>
      </c>
    </row>
    <row r="381" spans="1:6" x14ac:dyDescent="0.45">
      <c r="A381" s="17" t="s">
        <v>876</v>
      </c>
      <c r="B381" s="14" t="s">
        <v>3</v>
      </c>
      <c r="C381" s="14">
        <v>21</v>
      </c>
      <c r="D381" s="14">
        <v>0.16</v>
      </c>
      <c r="E381" s="14">
        <v>32.1</v>
      </c>
      <c r="F381" s="12">
        <v>2018</v>
      </c>
    </row>
    <row r="382" spans="1:6" x14ac:dyDescent="0.45">
      <c r="A382" s="16" t="s">
        <v>877</v>
      </c>
      <c r="B382" s="12" t="s">
        <v>3</v>
      </c>
      <c r="C382" s="12">
        <v>37</v>
      </c>
      <c r="D382" s="12">
        <v>0.27</v>
      </c>
      <c r="E382" s="12">
        <v>39.1</v>
      </c>
      <c r="F382" s="12">
        <v>2018</v>
      </c>
    </row>
    <row r="383" spans="1:6" x14ac:dyDescent="0.45">
      <c r="A383" s="17" t="s">
        <v>910</v>
      </c>
      <c r="B383" s="14" t="s">
        <v>837</v>
      </c>
      <c r="C383" s="14">
        <v>-94</v>
      </c>
      <c r="D383" s="14">
        <v>-0.57999999999999996</v>
      </c>
      <c r="E383" s="14">
        <v>40.5</v>
      </c>
      <c r="F383" s="12">
        <v>2018</v>
      </c>
    </row>
    <row r="384" spans="1:6" x14ac:dyDescent="0.45">
      <c r="A384" s="16" t="s">
        <v>866</v>
      </c>
      <c r="B384" s="12" t="s">
        <v>15</v>
      </c>
      <c r="C384" s="12">
        <v>7</v>
      </c>
      <c r="D384" s="12">
        <v>0.06</v>
      </c>
      <c r="E384" s="12">
        <v>36.9</v>
      </c>
      <c r="F384" s="12">
        <v>2018</v>
      </c>
    </row>
    <row r="385" spans="1:6" x14ac:dyDescent="0.45">
      <c r="A385" s="17" t="s">
        <v>880</v>
      </c>
      <c r="B385" s="14" t="s">
        <v>20</v>
      </c>
      <c r="C385" s="14">
        <v>13</v>
      </c>
      <c r="D385" s="14">
        <v>0.11</v>
      </c>
      <c r="E385" s="14">
        <v>37.6</v>
      </c>
      <c r="F385" s="12">
        <v>2018</v>
      </c>
    </row>
    <row r="386" spans="1:6" x14ac:dyDescent="0.45">
      <c r="A386" s="16" t="s">
        <v>895</v>
      </c>
      <c r="B386" s="12" t="s">
        <v>5</v>
      </c>
      <c r="C386" s="12">
        <v>48</v>
      </c>
      <c r="D386" s="12">
        <v>0.43</v>
      </c>
      <c r="E386" s="12">
        <v>43.2</v>
      </c>
      <c r="F386" s="12">
        <v>2018</v>
      </c>
    </row>
    <row r="387" spans="1:6" x14ac:dyDescent="0.45">
      <c r="A387" s="17" t="s">
        <v>916</v>
      </c>
      <c r="B387" s="14" t="s">
        <v>14</v>
      </c>
      <c r="C387" s="14">
        <v>-3</v>
      </c>
      <c r="D387" s="14">
        <v>-0.03</v>
      </c>
      <c r="E387" s="14">
        <v>42.2</v>
      </c>
      <c r="F387" s="12">
        <v>2018</v>
      </c>
    </row>
    <row r="388" spans="1:6" x14ac:dyDescent="0.45">
      <c r="A388" s="16" t="s">
        <v>924</v>
      </c>
      <c r="B388" s="12" t="s">
        <v>4</v>
      </c>
      <c r="C388" s="12">
        <v>-64</v>
      </c>
      <c r="D388" s="12">
        <v>-0.41</v>
      </c>
      <c r="E388" s="12">
        <v>34.200000000000003</v>
      </c>
      <c r="F388" s="12">
        <v>2018</v>
      </c>
    </row>
    <row r="389" spans="1:6" x14ac:dyDescent="0.45">
      <c r="A389" s="17" t="s">
        <v>917</v>
      </c>
      <c r="B389" s="14" t="s">
        <v>24</v>
      </c>
      <c r="C389" s="14">
        <v>-165</v>
      </c>
      <c r="D389" s="14">
        <v>-1.05</v>
      </c>
      <c r="E389" s="14">
        <v>30.6</v>
      </c>
      <c r="F389" s="12">
        <v>2018</v>
      </c>
    </row>
    <row r="390" spans="1:6" x14ac:dyDescent="0.45">
      <c r="A390" s="16" t="s">
        <v>925</v>
      </c>
      <c r="B390" s="12" t="s">
        <v>8</v>
      </c>
      <c r="C390" s="12">
        <v>-18</v>
      </c>
      <c r="D390" s="12">
        <v>-0.15</v>
      </c>
      <c r="E390" s="12">
        <v>35</v>
      </c>
      <c r="F390" s="12">
        <v>2018</v>
      </c>
    </row>
    <row r="391" spans="1:6" x14ac:dyDescent="0.45">
      <c r="A391" s="17" t="s">
        <v>926</v>
      </c>
      <c r="B391" s="14" t="s">
        <v>21</v>
      </c>
      <c r="C391" s="14">
        <v>-50</v>
      </c>
      <c r="D391" s="14">
        <v>-0.34</v>
      </c>
      <c r="E391" s="14">
        <v>36.1</v>
      </c>
      <c r="F391" s="12">
        <v>2018</v>
      </c>
    </row>
    <row r="392" spans="1:6" x14ac:dyDescent="0.45">
      <c r="A392" s="16" t="s">
        <v>875</v>
      </c>
      <c r="B392" s="12" t="s">
        <v>793</v>
      </c>
      <c r="C392" s="12">
        <v>-64</v>
      </c>
      <c r="D392" s="12">
        <v>-0.53</v>
      </c>
      <c r="E392" s="12">
        <v>36.1</v>
      </c>
      <c r="F392" s="12">
        <v>2018</v>
      </c>
    </row>
    <row r="393" spans="1:6" x14ac:dyDescent="0.45">
      <c r="A393" s="17" t="s">
        <v>927</v>
      </c>
      <c r="B393" s="14" t="s">
        <v>26</v>
      </c>
      <c r="C393" s="14">
        <v>-41</v>
      </c>
      <c r="D393" s="14">
        <v>-0.43</v>
      </c>
      <c r="E393" s="14">
        <v>36.799999999999997</v>
      </c>
      <c r="F393" s="12">
        <v>2018</v>
      </c>
    </row>
    <row r="394" spans="1:6" x14ac:dyDescent="0.45">
      <c r="A394" s="16" t="s">
        <v>879</v>
      </c>
      <c r="B394" s="12" t="s">
        <v>837</v>
      </c>
      <c r="C394" s="12">
        <v>-25</v>
      </c>
      <c r="D394" s="12">
        <v>-0.19</v>
      </c>
      <c r="E394" s="12">
        <v>38.6</v>
      </c>
      <c r="F394" s="12">
        <v>2018</v>
      </c>
    </row>
    <row r="395" spans="1:6" x14ac:dyDescent="0.45">
      <c r="A395" s="17" t="s">
        <v>928</v>
      </c>
      <c r="B395" s="14" t="s">
        <v>799</v>
      </c>
      <c r="C395" s="14">
        <v>-58</v>
      </c>
      <c r="D395" s="14">
        <v>-0.53</v>
      </c>
      <c r="E395" s="14">
        <v>35.799999999999997</v>
      </c>
      <c r="F395" s="12">
        <v>2018</v>
      </c>
    </row>
    <row r="396" spans="1:6" x14ac:dyDescent="0.45">
      <c r="A396" s="16" t="s">
        <v>929</v>
      </c>
      <c r="B396" s="12" t="s">
        <v>797</v>
      </c>
      <c r="C396" s="12">
        <v>-7</v>
      </c>
      <c r="D396" s="12">
        <v>-0.08</v>
      </c>
      <c r="E396" s="12">
        <v>33.700000000000003</v>
      </c>
      <c r="F396" s="12">
        <v>2018</v>
      </c>
    </row>
    <row r="397" spans="1:6" x14ac:dyDescent="0.45">
      <c r="A397" s="17" t="s">
        <v>887</v>
      </c>
      <c r="B397" s="14" t="s">
        <v>5</v>
      </c>
      <c r="C397" s="14">
        <v>56</v>
      </c>
      <c r="D397" s="14">
        <v>0.66</v>
      </c>
      <c r="E397" s="14">
        <v>32.9</v>
      </c>
      <c r="F397" s="12">
        <v>2018</v>
      </c>
    </row>
    <row r="398" spans="1:6" x14ac:dyDescent="0.45">
      <c r="A398" s="16" t="s">
        <v>930</v>
      </c>
      <c r="B398" s="12" t="s">
        <v>6</v>
      </c>
      <c r="C398" s="12">
        <v>-152</v>
      </c>
      <c r="D398" s="12">
        <v>-0.98</v>
      </c>
      <c r="E398" s="12">
        <v>26.6</v>
      </c>
      <c r="F398" s="12">
        <v>2018</v>
      </c>
    </row>
    <row r="399" spans="1:6" x14ac:dyDescent="0.45">
      <c r="A399" s="17" t="s">
        <v>931</v>
      </c>
      <c r="B399" s="14" t="s">
        <v>837</v>
      </c>
      <c r="C399" s="14">
        <v>4</v>
      </c>
      <c r="D399" s="14">
        <v>0.03</v>
      </c>
      <c r="E399" s="14">
        <v>41.7</v>
      </c>
      <c r="F399" s="12">
        <v>2018</v>
      </c>
    </row>
    <row r="400" spans="1:6" x14ac:dyDescent="0.45">
      <c r="A400" s="16" t="s">
        <v>897</v>
      </c>
      <c r="B400" s="12" t="s">
        <v>9</v>
      </c>
      <c r="C400" s="12">
        <v>-39</v>
      </c>
      <c r="D400" s="12">
        <v>-0.36</v>
      </c>
      <c r="E400" s="12">
        <v>41.3</v>
      </c>
      <c r="F400" s="12">
        <v>2018</v>
      </c>
    </row>
    <row r="401" spans="1:6" x14ac:dyDescent="0.45">
      <c r="A401" s="17" t="s">
        <v>932</v>
      </c>
      <c r="B401" s="14" t="s">
        <v>24</v>
      </c>
      <c r="C401" s="14">
        <v>-53</v>
      </c>
      <c r="D401" s="14">
        <v>-0.47</v>
      </c>
      <c r="E401" s="14">
        <v>36.799999999999997</v>
      </c>
      <c r="F401" s="12">
        <v>2018</v>
      </c>
    </row>
    <row r="402" spans="1:6" x14ac:dyDescent="0.45">
      <c r="A402" s="16" t="s">
        <v>933</v>
      </c>
      <c r="B402" s="12" t="s">
        <v>796</v>
      </c>
      <c r="C402" s="12">
        <v>-3</v>
      </c>
      <c r="D402" s="12">
        <v>-0.03</v>
      </c>
      <c r="E402" s="12">
        <v>49.4</v>
      </c>
      <c r="F402" s="12">
        <v>2018</v>
      </c>
    </row>
    <row r="403" spans="1:6" x14ac:dyDescent="0.45">
      <c r="A403" s="17" t="s">
        <v>934</v>
      </c>
      <c r="B403" s="14" t="s">
        <v>8</v>
      </c>
      <c r="C403" s="14">
        <v>-42</v>
      </c>
      <c r="D403" s="14">
        <v>-0.48</v>
      </c>
      <c r="E403" s="14">
        <v>39.1</v>
      </c>
      <c r="F403" s="12">
        <v>2018</v>
      </c>
    </row>
    <row r="404" spans="1:6" x14ac:dyDescent="0.45">
      <c r="A404" s="16" t="s">
        <v>935</v>
      </c>
      <c r="B404" s="12" t="s">
        <v>17</v>
      </c>
      <c r="C404" s="12">
        <v>-47</v>
      </c>
      <c r="D404" s="12">
        <v>-0.54</v>
      </c>
      <c r="E404" s="12">
        <v>35.6</v>
      </c>
      <c r="F404" s="12">
        <v>2018</v>
      </c>
    </row>
    <row r="405" spans="1:6" x14ac:dyDescent="0.45">
      <c r="A405" s="17" t="s">
        <v>955</v>
      </c>
      <c r="B405" s="14" t="s">
        <v>12</v>
      </c>
      <c r="C405" s="14">
        <v>-74</v>
      </c>
      <c r="D405" s="14">
        <v>-0.88</v>
      </c>
      <c r="E405" s="14">
        <v>31</v>
      </c>
      <c r="F405" s="12">
        <v>2018</v>
      </c>
    </row>
    <row r="406" spans="1:6" x14ac:dyDescent="0.45">
      <c r="A406" s="18" t="s">
        <v>936</v>
      </c>
      <c r="B406" s="15" t="s">
        <v>18</v>
      </c>
      <c r="C406" s="15">
        <v>-45</v>
      </c>
      <c r="D406" s="15">
        <v>-0.5</v>
      </c>
      <c r="E406" s="15">
        <v>33.299999999999997</v>
      </c>
      <c r="F406" s="12">
        <v>2018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EC86-8746-4D6A-9C8E-A7B3F854269B}">
  <dimension ref="A1:C193"/>
  <sheetViews>
    <sheetView workbookViewId="0">
      <selection activeCell="B28" sqref="B28"/>
    </sheetView>
  </sheetViews>
  <sheetFormatPr defaultRowHeight="14.25" x14ac:dyDescent="0.45"/>
  <sheetData>
    <row r="1" spans="1:3" x14ac:dyDescent="0.45">
      <c r="A1" t="s">
        <v>2</v>
      </c>
      <c r="B1" t="s">
        <v>792</v>
      </c>
      <c r="C1" t="s">
        <v>0</v>
      </c>
    </row>
    <row r="2" spans="1:3" x14ac:dyDescent="0.45">
      <c r="A2" t="s">
        <v>11</v>
      </c>
      <c r="B2">
        <v>71</v>
      </c>
      <c r="C2">
        <v>2025</v>
      </c>
    </row>
    <row r="3" spans="1:3" x14ac:dyDescent="0.45">
      <c r="A3" t="s">
        <v>17</v>
      </c>
      <c r="B3">
        <v>70</v>
      </c>
      <c r="C3">
        <v>2025</v>
      </c>
    </row>
    <row r="4" spans="1:3" x14ac:dyDescent="0.45">
      <c r="A4" t="s">
        <v>9</v>
      </c>
      <c r="B4">
        <v>71</v>
      </c>
      <c r="C4">
        <v>2025</v>
      </c>
    </row>
    <row r="5" spans="1:3" x14ac:dyDescent="0.45">
      <c r="A5" t="s">
        <v>24</v>
      </c>
      <c r="B5">
        <v>75</v>
      </c>
      <c r="C5">
        <v>2025</v>
      </c>
    </row>
    <row r="6" spans="1:3" x14ac:dyDescent="0.45">
      <c r="A6" t="s">
        <v>13</v>
      </c>
      <c r="B6">
        <v>70</v>
      </c>
      <c r="C6">
        <v>2025</v>
      </c>
    </row>
    <row r="7" spans="1:3" x14ac:dyDescent="0.45">
      <c r="A7" t="s">
        <v>26</v>
      </c>
      <c r="B7">
        <v>74</v>
      </c>
      <c r="C7">
        <v>2025</v>
      </c>
    </row>
    <row r="8" spans="1:3" x14ac:dyDescent="0.45">
      <c r="A8" t="s">
        <v>23</v>
      </c>
      <c r="B8">
        <v>72</v>
      </c>
      <c r="C8">
        <v>2025</v>
      </c>
    </row>
    <row r="9" spans="1:3" x14ac:dyDescent="0.45">
      <c r="A9" t="s">
        <v>22</v>
      </c>
      <c r="B9">
        <v>70</v>
      </c>
      <c r="C9">
        <v>2025</v>
      </c>
    </row>
    <row r="10" spans="1:3" x14ac:dyDescent="0.45">
      <c r="A10" t="s">
        <v>25</v>
      </c>
      <c r="B10">
        <v>72</v>
      </c>
      <c r="C10">
        <v>2025</v>
      </c>
    </row>
    <row r="11" spans="1:3" x14ac:dyDescent="0.45">
      <c r="A11" t="s">
        <v>14</v>
      </c>
      <c r="B11">
        <v>74</v>
      </c>
      <c r="C11">
        <v>2025</v>
      </c>
    </row>
    <row r="12" spans="1:3" x14ac:dyDescent="0.45">
      <c r="A12" t="s">
        <v>6</v>
      </c>
      <c r="B12">
        <v>71</v>
      </c>
      <c r="C12">
        <v>2025</v>
      </c>
    </row>
    <row r="13" spans="1:3" x14ac:dyDescent="0.45">
      <c r="A13" t="s">
        <v>793</v>
      </c>
      <c r="B13">
        <v>71</v>
      </c>
      <c r="C13">
        <v>2025</v>
      </c>
    </row>
    <row r="14" spans="1:3" x14ac:dyDescent="0.45">
      <c r="A14" t="s">
        <v>21</v>
      </c>
      <c r="B14">
        <v>68</v>
      </c>
      <c r="C14">
        <v>2025</v>
      </c>
    </row>
    <row r="15" spans="1:3" x14ac:dyDescent="0.45">
      <c r="A15" t="s">
        <v>12</v>
      </c>
      <c r="B15">
        <v>73</v>
      </c>
      <c r="C15">
        <v>2025</v>
      </c>
    </row>
    <row r="16" spans="1:3" x14ac:dyDescent="0.45">
      <c r="A16" t="s">
        <v>794</v>
      </c>
      <c r="B16">
        <v>73</v>
      </c>
      <c r="C16">
        <v>2025</v>
      </c>
    </row>
    <row r="17" spans="1:3" x14ac:dyDescent="0.45">
      <c r="A17" t="s">
        <v>795</v>
      </c>
      <c r="B17">
        <v>70</v>
      </c>
      <c r="C17">
        <v>2025</v>
      </c>
    </row>
    <row r="18" spans="1:3" x14ac:dyDescent="0.45">
      <c r="A18" t="s">
        <v>796</v>
      </c>
      <c r="B18">
        <v>70</v>
      </c>
      <c r="C18">
        <v>2025</v>
      </c>
    </row>
    <row r="19" spans="1:3" x14ac:dyDescent="0.45">
      <c r="A19" t="s">
        <v>15</v>
      </c>
      <c r="B19">
        <v>69</v>
      </c>
      <c r="C19">
        <v>2025</v>
      </c>
    </row>
    <row r="20" spans="1:3" x14ac:dyDescent="0.45">
      <c r="A20" t="s">
        <v>19</v>
      </c>
      <c r="B20">
        <v>74</v>
      </c>
      <c r="C20">
        <v>2025</v>
      </c>
    </row>
    <row r="21" spans="1:3" x14ac:dyDescent="0.45">
      <c r="A21" t="s">
        <v>20</v>
      </c>
      <c r="B21">
        <v>70</v>
      </c>
      <c r="C21">
        <v>2025</v>
      </c>
    </row>
    <row r="22" spans="1:3" x14ac:dyDescent="0.45">
      <c r="A22" t="s">
        <v>3</v>
      </c>
      <c r="B22">
        <v>74</v>
      </c>
      <c r="C22">
        <v>2025</v>
      </c>
    </row>
    <row r="23" spans="1:3" x14ac:dyDescent="0.45">
      <c r="A23" t="s">
        <v>797</v>
      </c>
      <c r="B23">
        <v>72</v>
      </c>
      <c r="C23">
        <v>2025</v>
      </c>
    </row>
    <row r="24" spans="1:3" x14ac:dyDescent="0.45">
      <c r="A24" t="s">
        <v>798</v>
      </c>
      <c r="B24">
        <v>70</v>
      </c>
      <c r="C24">
        <v>2025</v>
      </c>
    </row>
    <row r="25" spans="1:3" x14ac:dyDescent="0.45">
      <c r="A25" t="s">
        <v>10</v>
      </c>
      <c r="B25">
        <v>71</v>
      </c>
      <c r="C25">
        <v>2025</v>
      </c>
    </row>
    <row r="26" spans="1:3" x14ac:dyDescent="0.45">
      <c r="A26" t="s">
        <v>18</v>
      </c>
      <c r="B26">
        <v>71</v>
      </c>
      <c r="C26">
        <v>2025</v>
      </c>
    </row>
    <row r="27" spans="1:3" x14ac:dyDescent="0.45">
      <c r="A27" t="s">
        <v>8</v>
      </c>
      <c r="B27">
        <v>71</v>
      </c>
      <c r="C27">
        <v>2025</v>
      </c>
    </row>
    <row r="28" spans="1:3" x14ac:dyDescent="0.45">
      <c r="A28" t="s">
        <v>16</v>
      </c>
      <c r="B28">
        <v>72</v>
      </c>
      <c r="C28">
        <v>2025</v>
      </c>
    </row>
    <row r="29" spans="1:3" x14ac:dyDescent="0.45">
      <c r="A29" t="s">
        <v>799</v>
      </c>
      <c r="B29">
        <v>72</v>
      </c>
      <c r="C29">
        <v>2025</v>
      </c>
    </row>
    <row r="30" spans="1:3" x14ac:dyDescent="0.45">
      <c r="A30" t="s">
        <v>5</v>
      </c>
      <c r="B30">
        <v>73</v>
      </c>
      <c r="C30">
        <v>2025</v>
      </c>
    </row>
    <row r="31" spans="1:3" x14ac:dyDescent="0.45">
      <c r="A31" t="s">
        <v>800</v>
      </c>
      <c r="B31">
        <v>70</v>
      </c>
      <c r="C31">
        <v>2025</v>
      </c>
    </row>
    <row r="32" spans="1:3" x14ac:dyDescent="0.45">
      <c r="A32" t="s">
        <v>4</v>
      </c>
      <c r="B32">
        <v>70</v>
      </c>
      <c r="C32">
        <v>2025</v>
      </c>
    </row>
    <row r="33" spans="1:3" x14ac:dyDescent="0.45">
      <c r="A33" t="s">
        <v>7</v>
      </c>
      <c r="B33">
        <v>70</v>
      </c>
      <c r="C33">
        <v>2025</v>
      </c>
    </row>
    <row r="34" spans="1:3" x14ac:dyDescent="0.45">
      <c r="A34" t="s">
        <v>11</v>
      </c>
      <c r="B34">
        <v>72</v>
      </c>
      <c r="C34">
        <v>2024</v>
      </c>
    </row>
    <row r="35" spans="1:3" x14ac:dyDescent="0.45">
      <c r="A35" t="s">
        <v>17</v>
      </c>
      <c r="B35">
        <v>71</v>
      </c>
      <c r="C35">
        <v>2024</v>
      </c>
    </row>
    <row r="36" spans="1:3" x14ac:dyDescent="0.45">
      <c r="A36" t="s">
        <v>9</v>
      </c>
      <c r="B36">
        <v>74</v>
      </c>
      <c r="C36">
        <v>2024</v>
      </c>
    </row>
    <row r="37" spans="1:3" x14ac:dyDescent="0.45">
      <c r="A37" t="s">
        <v>24</v>
      </c>
      <c r="B37">
        <v>71</v>
      </c>
      <c r="C37">
        <v>2024</v>
      </c>
    </row>
    <row r="38" spans="1:3" x14ac:dyDescent="0.45">
      <c r="A38" t="s">
        <v>13</v>
      </c>
      <c r="B38">
        <v>72</v>
      </c>
      <c r="C38">
        <v>2024</v>
      </c>
    </row>
    <row r="39" spans="1:3" x14ac:dyDescent="0.45">
      <c r="A39" t="s">
        <v>26</v>
      </c>
      <c r="B39">
        <v>73</v>
      </c>
      <c r="C39">
        <v>2024</v>
      </c>
    </row>
    <row r="40" spans="1:3" x14ac:dyDescent="0.45">
      <c r="A40" t="s">
        <v>23</v>
      </c>
      <c r="B40">
        <v>68</v>
      </c>
      <c r="C40">
        <v>2024</v>
      </c>
    </row>
    <row r="41" spans="1:3" x14ac:dyDescent="0.45">
      <c r="A41" t="s">
        <v>22</v>
      </c>
      <c r="B41">
        <v>72</v>
      </c>
      <c r="C41">
        <v>2024</v>
      </c>
    </row>
    <row r="42" spans="1:3" x14ac:dyDescent="0.45">
      <c r="A42" t="s">
        <v>25</v>
      </c>
      <c r="B42">
        <v>73</v>
      </c>
      <c r="C42">
        <v>2024</v>
      </c>
    </row>
    <row r="43" spans="1:3" x14ac:dyDescent="0.45">
      <c r="A43" t="s">
        <v>14</v>
      </c>
      <c r="B43">
        <v>75</v>
      </c>
      <c r="C43">
        <v>2024</v>
      </c>
    </row>
    <row r="44" spans="1:3" x14ac:dyDescent="0.45">
      <c r="A44" t="s">
        <v>6</v>
      </c>
      <c r="B44">
        <v>72</v>
      </c>
      <c r="C44">
        <v>2024</v>
      </c>
    </row>
    <row r="45" spans="1:3" x14ac:dyDescent="0.45">
      <c r="A45" t="s">
        <v>793</v>
      </c>
      <c r="B45">
        <v>71</v>
      </c>
      <c r="C45">
        <v>2024</v>
      </c>
    </row>
    <row r="46" spans="1:3" x14ac:dyDescent="0.45">
      <c r="A46" t="s">
        <v>21</v>
      </c>
      <c r="B46">
        <v>68</v>
      </c>
      <c r="C46">
        <v>2024</v>
      </c>
    </row>
    <row r="47" spans="1:3" x14ac:dyDescent="0.45">
      <c r="A47" t="s">
        <v>12</v>
      </c>
      <c r="B47">
        <v>74</v>
      </c>
      <c r="C47">
        <v>2024</v>
      </c>
    </row>
    <row r="48" spans="1:3" x14ac:dyDescent="0.45">
      <c r="A48" t="s">
        <v>794</v>
      </c>
      <c r="B48">
        <v>70</v>
      </c>
      <c r="C48">
        <v>2024</v>
      </c>
    </row>
    <row r="49" spans="1:3" x14ac:dyDescent="0.45">
      <c r="A49" t="s">
        <v>795</v>
      </c>
      <c r="B49">
        <v>73</v>
      </c>
      <c r="C49">
        <v>2024</v>
      </c>
    </row>
    <row r="50" spans="1:3" x14ac:dyDescent="0.45">
      <c r="A50" t="s">
        <v>796</v>
      </c>
      <c r="B50">
        <v>71</v>
      </c>
      <c r="C50">
        <v>2024</v>
      </c>
    </row>
    <row r="51" spans="1:3" x14ac:dyDescent="0.45">
      <c r="A51" t="s">
        <v>15</v>
      </c>
      <c r="B51">
        <v>72</v>
      </c>
      <c r="C51">
        <v>2024</v>
      </c>
    </row>
    <row r="52" spans="1:3" x14ac:dyDescent="0.45">
      <c r="A52" t="s">
        <v>19</v>
      </c>
      <c r="B52">
        <v>72</v>
      </c>
      <c r="C52">
        <v>2024</v>
      </c>
    </row>
    <row r="53" spans="1:3" x14ac:dyDescent="0.45">
      <c r="A53" t="s">
        <v>20</v>
      </c>
      <c r="B53">
        <v>70</v>
      </c>
      <c r="C53">
        <v>2024</v>
      </c>
    </row>
    <row r="54" spans="1:3" x14ac:dyDescent="0.45">
      <c r="A54" t="s">
        <v>3</v>
      </c>
      <c r="B54">
        <v>72</v>
      </c>
      <c r="C54">
        <v>2024</v>
      </c>
    </row>
    <row r="55" spans="1:3" x14ac:dyDescent="0.45">
      <c r="A55" t="s">
        <v>797</v>
      </c>
      <c r="B55">
        <v>67</v>
      </c>
      <c r="C55">
        <v>2024</v>
      </c>
    </row>
    <row r="56" spans="1:3" x14ac:dyDescent="0.45">
      <c r="A56" t="s">
        <v>798</v>
      </c>
      <c r="B56">
        <v>71</v>
      </c>
      <c r="C56">
        <v>2024</v>
      </c>
    </row>
    <row r="57" spans="1:3" x14ac:dyDescent="0.45">
      <c r="A57" t="s">
        <v>10</v>
      </c>
      <c r="B57">
        <v>69</v>
      </c>
      <c r="C57">
        <v>2024</v>
      </c>
    </row>
    <row r="58" spans="1:3" x14ac:dyDescent="0.45">
      <c r="A58" t="s">
        <v>18</v>
      </c>
      <c r="B58">
        <v>68</v>
      </c>
      <c r="C58">
        <v>2024</v>
      </c>
    </row>
    <row r="59" spans="1:3" x14ac:dyDescent="0.45">
      <c r="A59" t="s">
        <v>8</v>
      </c>
      <c r="B59">
        <v>72</v>
      </c>
      <c r="C59">
        <v>2024</v>
      </c>
    </row>
    <row r="60" spans="1:3" x14ac:dyDescent="0.45">
      <c r="A60" t="s">
        <v>16</v>
      </c>
      <c r="B60">
        <v>71</v>
      </c>
      <c r="C60">
        <v>2024</v>
      </c>
    </row>
    <row r="61" spans="1:3" x14ac:dyDescent="0.45">
      <c r="A61" t="s">
        <v>799</v>
      </c>
      <c r="B61">
        <v>71</v>
      </c>
      <c r="C61">
        <v>2024</v>
      </c>
    </row>
    <row r="62" spans="1:3" x14ac:dyDescent="0.45">
      <c r="A62" t="s">
        <v>5</v>
      </c>
      <c r="B62">
        <v>69</v>
      </c>
      <c r="C62">
        <v>2024</v>
      </c>
    </row>
    <row r="63" spans="1:3" x14ac:dyDescent="0.45">
      <c r="A63" t="s">
        <v>800</v>
      </c>
      <c r="B63">
        <v>73</v>
      </c>
      <c r="C63">
        <v>2024</v>
      </c>
    </row>
    <row r="64" spans="1:3" x14ac:dyDescent="0.45">
      <c r="A64" t="s">
        <v>4</v>
      </c>
      <c r="B64">
        <v>71</v>
      </c>
      <c r="C64">
        <v>2024</v>
      </c>
    </row>
    <row r="65" spans="1:3" x14ac:dyDescent="0.45">
      <c r="A65" t="s">
        <v>7</v>
      </c>
      <c r="B65">
        <v>74</v>
      </c>
      <c r="C65">
        <v>2024</v>
      </c>
    </row>
    <row r="66" spans="1:3" x14ac:dyDescent="0.45">
      <c r="A66" t="s">
        <v>11</v>
      </c>
      <c r="B66">
        <v>72</v>
      </c>
      <c r="C66">
        <v>2023</v>
      </c>
    </row>
    <row r="67" spans="1:3" x14ac:dyDescent="0.45">
      <c r="A67" t="s">
        <v>17</v>
      </c>
      <c r="B67">
        <v>72</v>
      </c>
      <c r="C67">
        <v>2023</v>
      </c>
    </row>
    <row r="68" spans="1:3" x14ac:dyDescent="0.45">
      <c r="A68" t="s">
        <v>9</v>
      </c>
      <c r="B68">
        <v>74</v>
      </c>
      <c r="C68">
        <v>2023</v>
      </c>
    </row>
    <row r="69" spans="1:3" x14ac:dyDescent="0.45">
      <c r="A69" t="s">
        <v>24</v>
      </c>
      <c r="B69">
        <v>71</v>
      </c>
      <c r="C69">
        <v>2023</v>
      </c>
    </row>
    <row r="70" spans="1:3" x14ac:dyDescent="0.45">
      <c r="A70" t="s">
        <v>13</v>
      </c>
      <c r="B70">
        <v>72</v>
      </c>
      <c r="C70">
        <v>2023</v>
      </c>
    </row>
    <row r="71" spans="1:3" x14ac:dyDescent="0.45">
      <c r="A71" t="s">
        <v>26</v>
      </c>
      <c r="B71">
        <v>75</v>
      </c>
      <c r="C71">
        <v>2023</v>
      </c>
    </row>
    <row r="72" spans="1:3" x14ac:dyDescent="0.45">
      <c r="A72" t="s">
        <v>23</v>
      </c>
      <c r="B72">
        <v>67</v>
      </c>
      <c r="C72">
        <v>2023</v>
      </c>
    </row>
    <row r="73" spans="1:3" x14ac:dyDescent="0.45">
      <c r="A73" t="s">
        <v>22</v>
      </c>
      <c r="B73">
        <v>70</v>
      </c>
      <c r="C73">
        <v>2023</v>
      </c>
    </row>
    <row r="74" spans="1:3" x14ac:dyDescent="0.45">
      <c r="A74" t="s">
        <v>25</v>
      </c>
      <c r="B74">
        <v>73</v>
      </c>
      <c r="C74">
        <v>2023</v>
      </c>
    </row>
    <row r="75" spans="1:3" x14ac:dyDescent="0.45">
      <c r="A75" t="s">
        <v>14</v>
      </c>
      <c r="B75">
        <v>74</v>
      </c>
      <c r="C75">
        <v>2023</v>
      </c>
    </row>
    <row r="76" spans="1:3" x14ac:dyDescent="0.45">
      <c r="A76" t="s">
        <v>6</v>
      </c>
      <c r="B76">
        <v>73</v>
      </c>
      <c r="C76">
        <v>2023</v>
      </c>
    </row>
    <row r="77" spans="1:3" x14ac:dyDescent="0.45">
      <c r="A77" t="s">
        <v>793</v>
      </c>
      <c r="B77">
        <v>70</v>
      </c>
      <c r="C77">
        <v>2023</v>
      </c>
    </row>
    <row r="78" spans="1:3" x14ac:dyDescent="0.45">
      <c r="A78" t="s">
        <v>21</v>
      </c>
      <c r="B78">
        <v>68</v>
      </c>
      <c r="C78">
        <v>2023</v>
      </c>
    </row>
    <row r="79" spans="1:3" x14ac:dyDescent="0.45">
      <c r="A79" t="s">
        <v>12</v>
      </c>
      <c r="B79">
        <v>74</v>
      </c>
      <c r="C79">
        <v>2023</v>
      </c>
    </row>
    <row r="80" spans="1:3" x14ac:dyDescent="0.45">
      <c r="A80" t="s">
        <v>794</v>
      </c>
      <c r="B80">
        <v>70</v>
      </c>
      <c r="C80">
        <v>2023</v>
      </c>
    </row>
    <row r="81" spans="1:3" x14ac:dyDescent="0.45">
      <c r="A81" t="s">
        <v>795</v>
      </c>
      <c r="B81">
        <v>75</v>
      </c>
      <c r="C81">
        <v>2023</v>
      </c>
    </row>
    <row r="82" spans="1:3" x14ac:dyDescent="0.45">
      <c r="A82" t="s">
        <v>796</v>
      </c>
      <c r="B82">
        <v>67</v>
      </c>
      <c r="C82">
        <v>2023</v>
      </c>
    </row>
    <row r="83" spans="1:3" x14ac:dyDescent="0.45">
      <c r="A83" t="s">
        <v>15</v>
      </c>
      <c r="B83">
        <v>72</v>
      </c>
      <c r="C83">
        <v>2023</v>
      </c>
    </row>
    <row r="84" spans="1:3" x14ac:dyDescent="0.45">
      <c r="A84" t="s">
        <v>19</v>
      </c>
      <c r="B84">
        <v>72</v>
      </c>
      <c r="C84">
        <v>2023</v>
      </c>
    </row>
    <row r="85" spans="1:3" x14ac:dyDescent="0.45">
      <c r="A85" t="s">
        <v>20</v>
      </c>
      <c r="B85">
        <v>71</v>
      </c>
      <c r="C85">
        <v>2023</v>
      </c>
    </row>
    <row r="86" spans="1:3" x14ac:dyDescent="0.45">
      <c r="A86" t="s">
        <v>3</v>
      </c>
      <c r="B86">
        <v>72</v>
      </c>
      <c r="C86">
        <v>2023</v>
      </c>
    </row>
    <row r="87" spans="1:3" x14ac:dyDescent="0.45">
      <c r="A87" t="s">
        <v>797</v>
      </c>
      <c r="B87">
        <v>68</v>
      </c>
      <c r="C87">
        <v>2023</v>
      </c>
    </row>
    <row r="88" spans="1:3" x14ac:dyDescent="0.45">
      <c r="A88" t="s">
        <v>798</v>
      </c>
      <c r="B88">
        <v>72</v>
      </c>
      <c r="C88">
        <v>2023</v>
      </c>
    </row>
    <row r="89" spans="1:3" x14ac:dyDescent="0.45">
      <c r="A89" t="s">
        <v>10</v>
      </c>
      <c r="B89">
        <v>71</v>
      </c>
      <c r="C89">
        <v>2023</v>
      </c>
    </row>
    <row r="90" spans="1:3" x14ac:dyDescent="0.45">
      <c r="A90" t="s">
        <v>18</v>
      </c>
      <c r="B90">
        <v>68</v>
      </c>
      <c r="C90">
        <v>2023</v>
      </c>
    </row>
    <row r="91" spans="1:3" x14ac:dyDescent="0.45">
      <c r="A91" t="s">
        <v>8</v>
      </c>
      <c r="B91">
        <v>73</v>
      </c>
      <c r="C91">
        <v>2023</v>
      </c>
    </row>
    <row r="92" spans="1:3" x14ac:dyDescent="0.45">
      <c r="A92" t="s">
        <v>16</v>
      </c>
      <c r="B92">
        <v>72</v>
      </c>
      <c r="C92">
        <v>2023</v>
      </c>
    </row>
    <row r="93" spans="1:3" x14ac:dyDescent="0.45">
      <c r="A93" t="s">
        <v>799</v>
      </c>
      <c r="B93">
        <v>69</v>
      </c>
      <c r="C93">
        <v>2023</v>
      </c>
    </row>
    <row r="94" spans="1:3" x14ac:dyDescent="0.45">
      <c r="A94" t="s">
        <v>5</v>
      </c>
      <c r="B94">
        <v>68</v>
      </c>
      <c r="C94">
        <v>2023</v>
      </c>
    </row>
    <row r="95" spans="1:3" x14ac:dyDescent="0.45">
      <c r="A95" t="s">
        <v>800</v>
      </c>
      <c r="B95">
        <v>72</v>
      </c>
      <c r="C95">
        <v>2023</v>
      </c>
    </row>
    <row r="96" spans="1:3" x14ac:dyDescent="0.45">
      <c r="A96" t="s">
        <v>4</v>
      </c>
      <c r="B96">
        <v>71</v>
      </c>
      <c r="C96">
        <v>2023</v>
      </c>
    </row>
    <row r="97" spans="1:3" x14ac:dyDescent="0.45">
      <c r="A97" t="s">
        <v>7</v>
      </c>
      <c r="B97">
        <v>75</v>
      </c>
      <c r="C97">
        <v>2023</v>
      </c>
    </row>
    <row r="98" spans="1:3" x14ac:dyDescent="0.45">
      <c r="A98" t="s">
        <v>11</v>
      </c>
      <c r="B98">
        <v>73</v>
      </c>
      <c r="C98">
        <v>2022</v>
      </c>
    </row>
    <row r="99" spans="1:3" x14ac:dyDescent="0.45">
      <c r="A99" t="s">
        <v>17</v>
      </c>
      <c r="B99">
        <v>71</v>
      </c>
      <c r="C99">
        <v>2022</v>
      </c>
    </row>
    <row r="100" spans="1:3" x14ac:dyDescent="0.45">
      <c r="A100" t="s">
        <v>9</v>
      </c>
      <c r="B100">
        <v>77</v>
      </c>
      <c r="C100">
        <v>2022</v>
      </c>
    </row>
    <row r="101" spans="1:3" x14ac:dyDescent="0.45">
      <c r="A101" t="s">
        <v>24</v>
      </c>
      <c r="B101">
        <v>71</v>
      </c>
      <c r="C101">
        <v>2022</v>
      </c>
    </row>
    <row r="102" spans="1:3" x14ac:dyDescent="0.45">
      <c r="A102" t="s">
        <v>13</v>
      </c>
      <c r="B102">
        <v>72</v>
      </c>
      <c r="C102">
        <v>2022</v>
      </c>
    </row>
    <row r="103" spans="1:3" x14ac:dyDescent="0.45">
      <c r="A103" t="s">
        <v>26</v>
      </c>
      <c r="B103">
        <v>74</v>
      </c>
      <c r="C103">
        <v>2022</v>
      </c>
    </row>
    <row r="104" spans="1:3" x14ac:dyDescent="0.45">
      <c r="A104" t="s">
        <v>23</v>
      </c>
      <c r="B104">
        <v>72</v>
      </c>
      <c r="C104">
        <v>2022</v>
      </c>
    </row>
    <row r="105" spans="1:3" x14ac:dyDescent="0.45">
      <c r="A105" t="s">
        <v>22</v>
      </c>
      <c r="B105">
        <v>72</v>
      </c>
      <c r="C105">
        <v>2022</v>
      </c>
    </row>
    <row r="106" spans="1:3" x14ac:dyDescent="0.45">
      <c r="A106" t="s">
        <v>25</v>
      </c>
      <c r="B106">
        <v>73</v>
      </c>
      <c r="C106">
        <v>2022</v>
      </c>
    </row>
    <row r="107" spans="1:3" x14ac:dyDescent="0.45">
      <c r="A107" t="s">
        <v>14</v>
      </c>
      <c r="B107">
        <v>74</v>
      </c>
      <c r="C107">
        <v>2022</v>
      </c>
    </row>
    <row r="108" spans="1:3" x14ac:dyDescent="0.45">
      <c r="A108" t="s">
        <v>6</v>
      </c>
      <c r="B108">
        <v>72</v>
      </c>
      <c r="C108">
        <v>2022</v>
      </c>
    </row>
    <row r="109" spans="1:3" x14ac:dyDescent="0.45">
      <c r="A109" t="s">
        <v>793</v>
      </c>
      <c r="B109">
        <v>72</v>
      </c>
      <c r="C109">
        <v>2022</v>
      </c>
    </row>
    <row r="110" spans="1:3" x14ac:dyDescent="0.45">
      <c r="A110" t="s">
        <v>21</v>
      </c>
      <c r="B110">
        <v>70</v>
      </c>
      <c r="C110">
        <v>2022</v>
      </c>
    </row>
    <row r="111" spans="1:3" x14ac:dyDescent="0.45">
      <c r="A111" t="s">
        <v>12</v>
      </c>
      <c r="B111">
        <v>71</v>
      </c>
      <c r="C111">
        <v>2022</v>
      </c>
    </row>
    <row r="112" spans="1:3" x14ac:dyDescent="0.45">
      <c r="A112" t="s">
        <v>794</v>
      </c>
      <c r="B112">
        <v>70</v>
      </c>
      <c r="C112">
        <v>2022</v>
      </c>
    </row>
    <row r="113" spans="1:3" x14ac:dyDescent="0.45">
      <c r="A113" t="s">
        <v>795</v>
      </c>
      <c r="B113">
        <v>74</v>
      </c>
      <c r="C113">
        <v>2022</v>
      </c>
    </row>
    <row r="114" spans="1:3" x14ac:dyDescent="0.45">
      <c r="A114" t="s">
        <v>796</v>
      </c>
      <c r="B114">
        <v>72</v>
      </c>
      <c r="C114">
        <v>2022</v>
      </c>
    </row>
    <row r="115" spans="1:3" x14ac:dyDescent="0.45">
      <c r="A115" t="s">
        <v>15</v>
      </c>
      <c r="B115">
        <v>70</v>
      </c>
      <c r="C115">
        <v>2022</v>
      </c>
    </row>
    <row r="116" spans="1:3" x14ac:dyDescent="0.45">
      <c r="A116" t="s">
        <v>19</v>
      </c>
      <c r="B116">
        <v>72</v>
      </c>
      <c r="C116">
        <v>2022</v>
      </c>
    </row>
    <row r="117" spans="1:3" x14ac:dyDescent="0.45">
      <c r="A117" t="s">
        <v>20</v>
      </c>
      <c r="B117">
        <v>71</v>
      </c>
      <c r="C117">
        <v>2022</v>
      </c>
    </row>
    <row r="118" spans="1:3" x14ac:dyDescent="0.45">
      <c r="A118" t="s">
        <v>3</v>
      </c>
      <c r="B118">
        <v>71</v>
      </c>
      <c r="C118">
        <v>2022</v>
      </c>
    </row>
    <row r="119" spans="1:3" x14ac:dyDescent="0.45">
      <c r="A119" t="s">
        <v>797</v>
      </c>
      <c r="B119">
        <v>68</v>
      </c>
      <c r="C119">
        <v>2022</v>
      </c>
    </row>
    <row r="120" spans="1:3" x14ac:dyDescent="0.45">
      <c r="A120" t="s">
        <v>798</v>
      </c>
      <c r="B120">
        <v>71</v>
      </c>
      <c r="C120">
        <v>2022</v>
      </c>
    </row>
    <row r="121" spans="1:3" x14ac:dyDescent="0.45">
      <c r="A121" t="s">
        <v>10</v>
      </c>
      <c r="B121">
        <v>70</v>
      </c>
      <c r="C121">
        <v>2022</v>
      </c>
    </row>
    <row r="122" spans="1:3" x14ac:dyDescent="0.45">
      <c r="A122" t="s">
        <v>18</v>
      </c>
      <c r="B122">
        <v>69</v>
      </c>
      <c r="C122">
        <v>2022</v>
      </c>
    </row>
    <row r="123" spans="1:3" x14ac:dyDescent="0.45">
      <c r="A123" t="s">
        <v>8</v>
      </c>
      <c r="B123">
        <v>75</v>
      </c>
      <c r="C123">
        <v>2022</v>
      </c>
    </row>
    <row r="124" spans="1:3" x14ac:dyDescent="0.45">
      <c r="A124" t="s">
        <v>16</v>
      </c>
      <c r="B124">
        <v>72</v>
      </c>
      <c r="C124">
        <v>2022</v>
      </c>
    </row>
    <row r="125" spans="1:3" x14ac:dyDescent="0.45">
      <c r="A125" t="s">
        <v>799</v>
      </c>
      <c r="B125">
        <v>71</v>
      </c>
      <c r="C125">
        <v>2022</v>
      </c>
    </row>
    <row r="126" spans="1:3" x14ac:dyDescent="0.45">
      <c r="A126" t="s">
        <v>5</v>
      </c>
      <c r="B126">
        <v>71</v>
      </c>
      <c r="C126">
        <v>2022</v>
      </c>
    </row>
    <row r="127" spans="1:3" x14ac:dyDescent="0.45">
      <c r="A127" t="s">
        <v>800</v>
      </c>
      <c r="B127">
        <v>69</v>
      </c>
      <c r="C127">
        <v>2022</v>
      </c>
    </row>
    <row r="128" spans="1:3" x14ac:dyDescent="0.45">
      <c r="A128" t="s">
        <v>4</v>
      </c>
      <c r="B128">
        <v>71</v>
      </c>
      <c r="C128">
        <v>2022</v>
      </c>
    </row>
    <row r="129" spans="1:3" x14ac:dyDescent="0.45">
      <c r="A129" t="s">
        <v>7</v>
      </c>
      <c r="B129">
        <v>71</v>
      </c>
      <c r="C129">
        <v>2022</v>
      </c>
    </row>
    <row r="130" spans="1:3" x14ac:dyDescent="0.45">
      <c r="A130" t="s">
        <v>11</v>
      </c>
      <c r="B130">
        <v>70</v>
      </c>
      <c r="C130">
        <v>2021</v>
      </c>
    </row>
    <row r="131" spans="1:3" x14ac:dyDescent="0.45">
      <c r="A131" t="s">
        <v>17</v>
      </c>
      <c r="B131">
        <v>67</v>
      </c>
      <c r="C131">
        <v>2021</v>
      </c>
    </row>
    <row r="132" spans="1:3" x14ac:dyDescent="0.45">
      <c r="A132" t="s">
        <v>9</v>
      </c>
      <c r="B132">
        <v>73</v>
      </c>
      <c r="C132">
        <v>2021</v>
      </c>
    </row>
    <row r="133" spans="1:3" x14ac:dyDescent="0.45">
      <c r="A133" t="s">
        <v>24</v>
      </c>
      <c r="B133">
        <v>69</v>
      </c>
      <c r="C133">
        <v>2021</v>
      </c>
    </row>
    <row r="134" spans="1:3" x14ac:dyDescent="0.45">
      <c r="A134" t="s">
        <v>13</v>
      </c>
      <c r="B134">
        <v>68</v>
      </c>
      <c r="C134">
        <v>2021</v>
      </c>
    </row>
    <row r="135" spans="1:3" x14ac:dyDescent="0.45">
      <c r="A135" t="s">
        <v>26</v>
      </c>
      <c r="B135">
        <v>71</v>
      </c>
      <c r="C135">
        <v>2021</v>
      </c>
    </row>
    <row r="136" spans="1:3" x14ac:dyDescent="0.45">
      <c r="A136" t="s">
        <v>23</v>
      </c>
      <c r="B136">
        <v>71</v>
      </c>
      <c r="C136">
        <v>2021</v>
      </c>
    </row>
    <row r="137" spans="1:3" x14ac:dyDescent="0.45">
      <c r="A137" t="s">
        <v>22</v>
      </c>
      <c r="B137">
        <v>72</v>
      </c>
      <c r="C137">
        <v>2021</v>
      </c>
    </row>
    <row r="138" spans="1:3" x14ac:dyDescent="0.45">
      <c r="A138" t="s">
        <v>25</v>
      </c>
      <c r="B138">
        <v>73</v>
      </c>
      <c r="C138">
        <v>2021</v>
      </c>
    </row>
    <row r="139" spans="1:3" x14ac:dyDescent="0.45">
      <c r="A139" t="s">
        <v>14</v>
      </c>
      <c r="B139">
        <v>70</v>
      </c>
      <c r="C139">
        <v>2021</v>
      </c>
    </row>
    <row r="140" spans="1:3" x14ac:dyDescent="0.45">
      <c r="A140" t="s">
        <v>6</v>
      </c>
      <c r="B140">
        <v>70</v>
      </c>
      <c r="C140">
        <v>2021</v>
      </c>
    </row>
    <row r="141" spans="1:3" x14ac:dyDescent="0.45">
      <c r="A141" t="s">
        <v>793</v>
      </c>
      <c r="B141">
        <v>73</v>
      </c>
      <c r="C141">
        <v>2021</v>
      </c>
    </row>
    <row r="142" spans="1:3" x14ac:dyDescent="0.45">
      <c r="A142" t="s">
        <v>21</v>
      </c>
      <c r="B142">
        <v>65</v>
      </c>
      <c r="C142">
        <v>2021</v>
      </c>
    </row>
    <row r="143" spans="1:3" x14ac:dyDescent="0.45">
      <c r="A143" t="s">
        <v>12</v>
      </c>
      <c r="B143">
        <v>72</v>
      </c>
      <c r="C143">
        <v>2021</v>
      </c>
    </row>
    <row r="144" spans="1:3" x14ac:dyDescent="0.45">
      <c r="A144" t="s">
        <v>794</v>
      </c>
      <c r="B144">
        <v>70</v>
      </c>
      <c r="C144">
        <v>2021</v>
      </c>
    </row>
    <row r="145" spans="1:3" x14ac:dyDescent="0.45">
      <c r="A145" t="s">
        <v>795</v>
      </c>
      <c r="B145">
        <v>74</v>
      </c>
      <c r="C145">
        <v>2021</v>
      </c>
    </row>
    <row r="146" spans="1:3" x14ac:dyDescent="0.45">
      <c r="A146" t="s">
        <v>796</v>
      </c>
      <c r="B146">
        <v>67</v>
      </c>
      <c r="C146">
        <v>2021</v>
      </c>
    </row>
    <row r="147" spans="1:3" x14ac:dyDescent="0.45">
      <c r="A147" t="s">
        <v>15</v>
      </c>
      <c r="B147">
        <v>70</v>
      </c>
      <c r="C147">
        <v>2021</v>
      </c>
    </row>
    <row r="148" spans="1:3" x14ac:dyDescent="0.45">
      <c r="A148" t="s">
        <v>19</v>
      </c>
      <c r="B148">
        <v>71</v>
      </c>
      <c r="C148">
        <v>2021</v>
      </c>
    </row>
    <row r="149" spans="1:3" x14ac:dyDescent="0.45">
      <c r="A149" t="s">
        <v>20</v>
      </c>
      <c r="B149">
        <v>71</v>
      </c>
      <c r="C149">
        <v>2021</v>
      </c>
    </row>
    <row r="150" spans="1:3" x14ac:dyDescent="0.45">
      <c r="A150" t="s">
        <v>3</v>
      </c>
      <c r="B150">
        <v>71</v>
      </c>
      <c r="C150">
        <v>2021</v>
      </c>
    </row>
    <row r="151" spans="1:3" x14ac:dyDescent="0.45">
      <c r="A151" t="s">
        <v>797</v>
      </c>
      <c r="B151">
        <v>70</v>
      </c>
      <c r="C151">
        <v>2021</v>
      </c>
    </row>
    <row r="152" spans="1:3" x14ac:dyDescent="0.45">
      <c r="A152" t="s">
        <v>798</v>
      </c>
      <c r="B152">
        <v>69</v>
      </c>
      <c r="C152">
        <v>2021</v>
      </c>
    </row>
    <row r="153" spans="1:3" x14ac:dyDescent="0.45">
      <c r="A153" t="s">
        <v>10</v>
      </c>
      <c r="B153">
        <v>71</v>
      </c>
      <c r="C153">
        <v>2021</v>
      </c>
    </row>
    <row r="154" spans="1:3" x14ac:dyDescent="0.45">
      <c r="A154" t="s">
        <v>18</v>
      </c>
      <c r="B154">
        <v>68</v>
      </c>
      <c r="C154">
        <v>2021</v>
      </c>
    </row>
    <row r="155" spans="1:3" x14ac:dyDescent="0.45">
      <c r="A155" t="s">
        <v>8</v>
      </c>
      <c r="B155">
        <v>74</v>
      </c>
      <c r="C155">
        <v>2021</v>
      </c>
    </row>
    <row r="156" spans="1:3" x14ac:dyDescent="0.45">
      <c r="A156" t="s">
        <v>16</v>
      </c>
      <c r="B156">
        <v>67</v>
      </c>
      <c r="C156">
        <v>2021</v>
      </c>
    </row>
    <row r="157" spans="1:3" x14ac:dyDescent="0.45">
      <c r="A157" t="s">
        <v>799</v>
      </c>
      <c r="B157">
        <v>70</v>
      </c>
      <c r="C157">
        <v>2021</v>
      </c>
    </row>
    <row r="158" spans="1:3" x14ac:dyDescent="0.45">
      <c r="A158" t="s">
        <v>5</v>
      </c>
      <c r="B158">
        <v>68</v>
      </c>
      <c r="C158">
        <v>2021</v>
      </c>
    </row>
    <row r="159" spans="1:3" x14ac:dyDescent="0.45">
      <c r="A159" t="s">
        <v>800</v>
      </c>
      <c r="B159">
        <v>70</v>
      </c>
      <c r="C159">
        <v>2021</v>
      </c>
    </row>
    <row r="160" spans="1:3" x14ac:dyDescent="0.45">
      <c r="A160" t="s">
        <v>4</v>
      </c>
      <c r="B160">
        <v>69</v>
      </c>
      <c r="C160">
        <v>2021</v>
      </c>
    </row>
    <row r="161" spans="1:3" x14ac:dyDescent="0.45">
      <c r="A161" t="s">
        <v>7</v>
      </c>
      <c r="B161">
        <v>75</v>
      </c>
      <c r="C161">
        <v>2021</v>
      </c>
    </row>
    <row r="162" spans="1:3" x14ac:dyDescent="0.45">
      <c r="A162" t="s">
        <v>11</v>
      </c>
      <c r="B162">
        <v>72</v>
      </c>
      <c r="C162">
        <v>2020</v>
      </c>
    </row>
    <row r="163" spans="1:3" x14ac:dyDescent="0.45">
      <c r="A163" t="s">
        <v>17</v>
      </c>
      <c r="B163">
        <v>69</v>
      </c>
      <c r="C163">
        <v>2020</v>
      </c>
    </row>
    <row r="164" spans="1:3" x14ac:dyDescent="0.45">
      <c r="A164" t="s">
        <v>9</v>
      </c>
      <c r="B164">
        <v>73</v>
      </c>
      <c r="C164">
        <v>2020</v>
      </c>
    </row>
    <row r="165" spans="1:3" x14ac:dyDescent="0.45">
      <c r="A165" t="s">
        <v>24</v>
      </c>
      <c r="B165">
        <v>69</v>
      </c>
      <c r="C165">
        <v>2020</v>
      </c>
    </row>
    <row r="166" spans="1:3" x14ac:dyDescent="0.45">
      <c r="A166" t="s">
        <v>13</v>
      </c>
      <c r="B166">
        <v>72</v>
      </c>
      <c r="C166">
        <v>2020</v>
      </c>
    </row>
    <row r="167" spans="1:3" x14ac:dyDescent="0.45">
      <c r="A167" t="s">
        <v>26</v>
      </c>
      <c r="B167">
        <v>71</v>
      </c>
      <c r="C167">
        <v>2020</v>
      </c>
    </row>
    <row r="168" spans="1:3" x14ac:dyDescent="0.45">
      <c r="A168" t="s">
        <v>23</v>
      </c>
      <c r="B168">
        <v>71</v>
      </c>
      <c r="C168">
        <v>2020</v>
      </c>
    </row>
    <row r="169" spans="1:3" x14ac:dyDescent="0.45">
      <c r="A169" t="s">
        <v>22</v>
      </c>
      <c r="B169">
        <v>71</v>
      </c>
      <c r="C169">
        <v>2020</v>
      </c>
    </row>
    <row r="170" spans="1:3" x14ac:dyDescent="0.45">
      <c r="A170" t="s">
        <v>25</v>
      </c>
      <c r="B170">
        <v>70</v>
      </c>
      <c r="C170">
        <v>2020</v>
      </c>
    </row>
    <row r="171" spans="1:3" x14ac:dyDescent="0.45">
      <c r="A171" t="s">
        <v>14</v>
      </c>
      <c r="B171">
        <v>70</v>
      </c>
      <c r="C171">
        <v>2020</v>
      </c>
    </row>
    <row r="172" spans="1:3" x14ac:dyDescent="0.45">
      <c r="A172" t="s">
        <v>6</v>
      </c>
      <c r="B172">
        <v>70</v>
      </c>
      <c r="C172">
        <v>2020</v>
      </c>
    </row>
    <row r="173" spans="1:3" x14ac:dyDescent="0.45">
      <c r="A173" t="s">
        <v>793</v>
      </c>
      <c r="B173">
        <v>74</v>
      </c>
      <c r="C173">
        <v>2020</v>
      </c>
    </row>
    <row r="174" spans="1:3" x14ac:dyDescent="0.45">
      <c r="A174" t="s">
        <v>21</v>
      </c>
      <c r="B174">
        <v>73</v>
      </c>
      <c r="C174">
        <v>2020</v>
      </c>
    </row>
    <row r="175" spans="1:3" x14ac:dyDescent="0.45">
      <c r="A175" t="s">
        <v>12</v>
      </c>
      <c r="B175">
        <v>72</v>
      </c>
      <c r="C175">
        <v>2020</v>
      </c>
    </row>
    <row r="176" spans="1:3" x14ac:dyDescent="0.45">
      <c r="A176" t="s">
        <v>794</v>
      </c>
      <c r="B176">
        <v>69</v>
      </c>
      <c r="C176">
        <v>2020</v>
      </c>
    </row>
    <row r="177" spans="1:3" x14ac:dyDescent="0.45">
      <c r="A177" t="s">
        <v>795</v>
      </c>
      <c r="B177">
        <v>67</v>
      </c>
      <c r="C177">
        <v>2020</v>
      </c>
    </row>
    <row r="178" spans="1:3" x14ac:dyDescent="0.45">
      <c r="A178" t="s">
        <v>796</v>
      </c>
      <c r="B178">
        <v>69</v>
      </c>
      <c r="C178">
        <v>2020</v>
      </c>
    </row>
    <row r="179" spans="1:3" x14ac:dyDescent="0.45">
      <c r="A179" t="s">
        <v>15</v>
      </c>
      <c r="B179">
        <v>67</v>
      </c>
      <c r="C179">
        <v>2020</v>
      </c>
    </row>
    <row r="180" spans="1:3" x14ac:dyDescent="0.45">
      <c r="A180" t="s">
        <v>19</v>
      </c>
      <c r="B180">
        <v>70</v>
      </c>
      <c r="C180">
        <v>2020</v>
      </c>
    </row>
    <row r="181" spans="1:3" x14ac:dyDescent="0.45">
      <c r="A181" t="s">
        <v>20</v>
      </c>
      <c r="B181">
        <v>69</v>
      </c>
      <c r="C181">
        <v>2020</v>
      </c>
    </row>
    <row r="182" spans="1:3" x14ac:dyDescent="0.45">
      <c r="A182" t="s">
        <v>3</v>
      </c>
      <c r="B182">
        <v>70</v>
      </c>
      <c r="C182">
        <v>2020</v>
      </c>
    </row>
    <row r="183" spans="1:3" x14ac:dyDescent="0.45">
      <c r="A183" t="s">
        <v>797</v>
      </c>
      <c r="B183">
        <v>72</v>
      </c>
      <c r="C183">
        <v>2020</v>
      </c>
    </row>
    <row r="184" spans="1:3" x14ac:dyDescent="0.45">
      <c r="A184" t="s">
        <v>798</v>
      </c>
      <c r="B184">
        <v>72</v>
      </c>
      <c r="C184">
        <v>2020</v>
      </c>
    </row>
    <row r="185" spans="1:3" x14ac:dyDescent="0.45">
      <c r="A185" t="s">
        <v>10</v>
      </c>
      <c r="B185">
        <v>70</v>
      </c>
      <c r="C185">
        <v>2020</v>
      </c>
    </row>
    <row r="186" spans="1:3" x14ac:dyDescent="0.45">
      <c r="A186" t="s">
        <v>18</v>
      </c>
      <c r="B186">
        <v>67</v>
      </c>
      <c r="C186">
        <v>2020</v>
      </c>
    </row>
    <row r="187" spans="1:3" x14ac:dyDescent="0.45">
      <c r="A187" t="s">
        <v>8</v>
      </c>
      <c r="B187">
        <v>73</v>
      </c>
      <c r="C187">
        <v>2020</v>
      </c>
    </row>
    <row r="188" spans="1:3" x14ac:dyDescent="0.45">
      <c r="A188" t="s">
        <v>16</v>
      </c>
      <c r="B188">
        <v>69</v>
      </c>
      <c r="C188">
        <v>2020</v>
      </c>
    </row>
    <row r="189" spans="1:3" x14ac:dyDescent="0.45">
      <c r="A189" t="s">
        <v>799</v>
      </c>
      <c r="B189">
        <v>69</v>
      </c>
      <c r="C189">
        <v>2020</v>
      </c>
    </row>
    <row r="190" spans="1:3" x14ac:dyDescent="0.45">
      <c r="A190" t="s">
        <v>5</v>
      </c>
      <c r="B190">
        <v>70</v>
      </c>
      <c r="C190">
        <v>2020</v>
      </c>
    </row>
    <row r="191" spans="1:3" x14ac:dyDescent="0.45">
      <c r="A191" t="s">
        <v>800</v>
      </c>
      <c r="B191">
        <v>70</v>
      </c>
      <c r="C191">
        <v>2020</v>
      </c>
    </row>
    <row r="192" spans="1:3" x14ac:dyDescent="0.45">
      <c r="A192" t="s">
        <v>4</v>
      </c>
      <c r="B192">
        <v>70</v>
      </c>
      <c r="C192">
        <v>2020</v>
      </c>
    </row>
    <row r="193" spans="1:3" x14ac:dyDescent="0.45">
      <c r="A193" t="s">
        <v>7</v>
      </c>
      <c r="B193">
        <v>73</v>
      </c>
      <c r="C193">
        <v>2020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RB_rush</vt:lpstr>
      <vt:lpstr>RYOE</vt:lpstr>
      <vt:lpstr>RBWR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Michael Beckley</dc:creator>
  <cp:lastModifiedBy>Daniel Michael Beckley</cp:lastModifiedBy>
  <dcterms:created xsi:type="dcterms:W3CDTF">2026-08-07T22:03:46Z</dcterms:created>
  <dcterms:modified xsi:type="dcterms:W3CDTF">2026-08-14T23:52:54Z</dcterms:modified>
</cp:coreProperties>
</file>